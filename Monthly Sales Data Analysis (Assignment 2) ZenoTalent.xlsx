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man\Documents\"/>
    </mc:Choice>
  </mc:AlternateContent>
  <xr:revisionPtr revIDLastSave="0" documentId="13_ncr:1_{3BE37BA0-D5AC-438A-AA52-3FDC5F7A92BE}" xr6:coauthVersionLast="47" xr6:coauthVersionMax="47" xr10:uidLastSave="{00000000-0000-0000-0000-000000000000}"/>
  <bookViews>
    <workbookView xWindow="-108" yWindow="-108" windowWidth="23256" windowHeight="13896" activeTab="2" xr2:uid="{F8C19208-B131-4C95-9949-3FAD7D80AC8C}"/>
  </bookViews>
  <sheets>
    <sheet name="Data" sheetId="1" r:id="rId1"/>
    <sheet name="Pivot Table" sheetId="2" r:id="rId2"/>
    <sheet name="Assignment Questions" sheetId="3" r:id="rId3"/>
  </sheets>
  <externalReferences>
    <externalReference r:id="rId4"/>
  </externalReferenc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14" i="1" l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<sst xmlns="http://schemas.openxmlformats.org/spreadsheetml/2006/main" count="12071" uniqueCount="1608">
  <si>
    <t>order_number</t>
  </si>
  <si>
    <t>order_date</t>
  </si>
  <si>
    <t>customer_name</t>
  </si>
  <si>
    <t>channel</t>
  </si>
  <si>
    <t>product_name</t>
  </si>
  <si>
    <t>quantity</t>
  </si>
  <si>
    <t>unit_price</t>
  </si>
  <si>
    <t>total_sales</t>
  </si>
  <si>
    <t>cost</t>
  </si>
  <si>
    <t>state</t>
  </si>
  <si>
    <t>state_name</t>
  </si>
  <si>
    <t>us_region</t>
  </si>
  <si>
    <t>total_cost</t>
  </si>
  <si>
    <t>profit</t>
  </si>
  <si>
    <t>profit_margin_pct</t>
  </si>
  <si>
    <t>order_month_name</t>
  </si>
  <si>
    <t>order_month_num</t>
  </si>
  <si>
    <t>order_month</t>
  </si>
  <si>
    <t>weeknum</t>
  </si>
  <si>
    <t>SO - 0002805</t>
  </si>
  <si>
    <t>Gabvine Ltd</t>
  </si>
  <si>
    <t>Wholesale</t>
  </si>
  <si>
    <t>Product 30</t>
  </si>
  <si>
    <t>IL</t>
  </si>
  <si>
    <t>Illinois</t>
  </si>
  <si>
    <t>Midwest</t>
  </si>
  <si>
    <t>December</t>
  </si>
  <si>
    <t>2017-12</t>
  </si>
  <si>
    <t>SO - 0006558</t>
  </si>
  <si>
    <t>Sanum-Kehl Group</t>
  </si>
  <si>
    <t>Distributor</t>
  </si>
  <si>
    <t>Product 25</t>
  </si>
  <si>
    <t>FL</t>
  </si>
  <si>
    <t>Florida</t>
  </si>
  <si>
    <t>South</t>
  </si>
  <si>
    <t>SO - 0006756</t>
  </si>
  <si>
    <t>Twimbo Company</t>
  </si>
  <si>
    <t>Product 14</t>
  </si>
  <si>
    <t>NY</t>
  </si>
  <si>
    <t>New York</t>
  </si>
  <si>
    <t>Northeast</t>
  </si>
  <si>
    <t>SO - 0008942</t>
  </si>
  <si>
    <t>Skinder Group</t>
  </si>
  <si>
    <t>Export</t>
  </si>
  <si>
    <t>Product 8</t>
  </si>
  <si>
    <t>TX</t>
  </si>
  <si>
    <t>Texas</t>
  </si>
  <si>
    <t>SO - 0009265</t>
  </si>
  <si>
    <t>Aimbo Corp</t>
  </si>
  <si>
    <t>Product 18</t>
  </si>
  <si>
    <t>PA</t>
  </si>
  <si>
    <t>Pennsylvania</t>
  </si>
  <si>
    <t>SO - 0001687</t>
  </si>
  <si>
    <t>Mydeo Ltd</t>
  </si>
  <si>
    <t>CA</t>
  </si>
  <si>
    <t>California</t>
  </si>
  <si>
    <t>West</t>
  </si>
  <si>
    <t>SO - 0001878</t>
  </si>
  <si>
    <t>Geiss Company</t>
  </si>
  <si>
    <t>Product 28</t>
  </si>
  <si>
    <t>SO - 0003016</t>
  </si>
  <si>
    <t>Unit Ltd</t>
  </si>
  <si>
    <t>Product 5</t>
  </si>
  <si>
    <t>AR</t>
  </si>
  <si>
    <t>Arkansas</t>
  </si>
  <si>
    <t>SO - 0003861</t>
  </si>
  <si>
    <t>Fivechat Company</t>
  </si>
  <si>
    <t>SO - 0005161</t>
  </si>
  <si>
    <t>Clinique Ltd</t>
  </si>
  <si>
    <t>IA</t>
  </si>
  <si>
    <t>Iowa</t>
  </si>
  <si>
    <t>SO - 0007758</t>
  </si>
  <si>
    <t>Realbridge Corp</t>
  </si>
  <si>
    <t>Product 2</t>
  </si>
  <si>
    <t>SO - 0008139</t>
  </si>
  <si>
    <t>Vimbo Company</t>
  </si>
  <si>
    <t>WA</t>
  </si>
  <si>
    <t>Washington</t>
  </si>
  <si>
    <t>SO - 0001113</t>
  </si>
  <si>
    <t>Oozz Group</t>
  </si>
  <si>
    <t>Product 22</t>
  </si>
  <si>
    <t>SO - 0004085</t>
  </si>
  <si>
    <t>Bath Group</t>
  </si>
  <si>
    <t>MD</t>
  </si>
  <si>
    <t>Maryland</t>
  </si>
  <si>
    <t>SO - 0007594</t>
  </si>
  <si>
    <t>Dynazzy Company</t>
  </si>
  <si>
    <t>NV</t>
  </si>
  <si>
    <t>Nevada</t>
  </si>
  <si>
    <t>SO - 0007676</t>
  </si>
  <si>
    <t>Meijer Corp</t>
  </si>
  <si>
    <t>Product 13</t>
  </si>
  <si>
    <t>SO - 0010099</t>
  </si>
  <si>
    <t>Product 6</t>
  </si>
  <si>
    <t>CT</t>
  </si>
  <si>
    <t>Connecticut</t>
  </si>
  <si>
    <t>SO - 0009123</t>
  </si>
  <si>
    <t>AZ</t>
  </si>
  <si>
    <t>Arizona</t>
  </si>
  <si>
    <t>SO - 000597</t>
  </si>
  <si>
    <t>Voolia Ltd</t>
  </si>
  <si>
    <t>SO - 0001835</t>
  </si>
  <si>
    <t>Supervalu Ltd</t>
  </si>
  <si>
    <t>Product 26</t>
  </si>
  <si>
    <t>OH</t>
  </si>
  <si>
    <t>Ohio</t>
  </si>
  <si>
    <t>SO - 0002851</t>
  </si>
  <si>
    <t>Meejo Corp</t>
  </si>
  <si>
    <t>SO - 0005364</t>
  </si>
  <si>
    <t>Realbuzz Ltd</t>
  </si>
  <si>
    <t>Product 21</t>
  </si>
  <si>
    <t>SO - 0009010</t>
  </si>
  <si>
    <t>Ncs Group</t>
  </si>
  <si>
    <t>SO - 0009324</t>
  </si>
  <si>
    <t>Buzzshare Company</t>
  </si>
  <si>
    <t>Product 15</t>
  </si>
  <si>
    <t>MA</t>
  </si>
  <si>
    <t>Massachusetts</t>
  </si>
  <si>
    <t>SO - 0009705</t>
  </si>
  <si>
    <t>Eidel Corp</t>
  </si>
  <si>
    <t>Product 17</t>
  </si>
  <si>
    <t>OK</t>
  </si>
  <si>
    <t>Oklahoma</t>
  </si>
  <si>
    <t>SO - 0009597</t>
  </si>
  <si>
    <t>Roomm Company</t>
  </si>
  <si>
    <t>SO - 000368</t>
  </si>
  <si>
    <t>Skippad Ltd</t>
  </si>
  <si>
    <t>Product 16</t>
  </si>
  <si>
    <t>SO - 000632</t>
  </si>
  <si>
    <t>Arbor Company</t>
  </si>
  <si>
    <t>SO - 0001155</t>
  </si>
  <si>
    <t>Emd Group</t>
  </si>
  <si>
    <t>GA</t>
  </si>
  <si>
    <t>Georgia</t>
  </si>
  <si>
    <t>SO - 0002389</t>
  </si>
  <si>
    <t>SO - 0003889</t>
  </si>
  <si>
    <t>Dazzlesphe Corp</t>
  </si>
  <si>
    <t>SO - 0007099</t>
  </si>
  <si>
    <t>Jayo Company</t>
  </si>
  <si>
    <t>KY</t>
  </si>
  <si>
    <t>Kentucky</t>
  </si>
  <si>
    <t>SO - 0007467</t>
  </si>
  <si>
    <t>Bta Corp</t>
  </si>
  <si>
    <t>SO - 0009103</t>
  </si>
  <si>
    <t>SO - 0008468</t>
  </si>
  <si>
    <t>Alembic Ltd</t>
  </si>
  <si>
    <t>Product 1</t>
  </si>
  <si>
    <t>SO - 0003875</t>
  </si>
  <si>
    <t>Linkbuzz Ltd</t>
  </si>
  <si>
    <t>Product 3</t>
  </si>
  <si>
    <t>SO - 0006577</t>
  </si>
  <si>
    <t>True Ltd</t>
  </si>
  <si>
    <t>SO - 0002158</t>
  </si>
  <si>
    <t>SO - 0005722</t>
  </si>
  <si>
    <t>Organon Corp</t>
  </si>
  <si>
    <t>UT</t>
  </si>
  <si>
    <t>Utah</t>
  </si>
  <si>
    <t>SO - 0006683</t>
  </si>
  <si>
    <t>Terumo Corp</t>
  </si>
  <si>
    <t>WI</t>
  </si>
  <si>
    <t>Wisconsin</t>
  </si>
  <si>
    <t>SO - 0007603</t>
  </si>
  <si>
    <t>Colgate-Pa Group</t>
  </si>
  <si>
    <t>RI</t>
  </si>
  <si>
    <t>Rhode Island</t>
  </si>
  <si>
    <t>SO - 0010731</t>
  </si>
  <si>
    <t>Pixoboo Corp</t>
  </si>
  <si>
    <t>Product 23</t>
  </si>
  <si>
    <t>SO - 0002133</t>
  </si>
  <si>
    <t>SO - 0002560</t>
  </si>
  <si>
    <t>Linklinks Ltd</t>
  </si>
  <si>
    <t>SO - 0004584</t>
  </si>
  <si>
    <t>Wockhardt Group</t>
  </si>
  <si>
    <t>SO - 0004970</t>
  </si>
  <si>
    <t>Janyx Group</t>
  </si>
  <si>
    <t>SO - 0005600</t>
  </si>
  <si>
    <t>Cadila Ltd</t>
  </si>
  <si>
    <t>NJ</t>
  </si>
  <si>
    <t>New Jersey</t>
  </si>
  <si>
    <t>SO - 0005679</t>
  </si>
  <si>
    <t>State Ltd</t>
  </si>
  <si>
    <t>SO - 0006417</t>
  </si>
  <si>
    <t>Rochester Group</t>
  </si>
  <si>
    <t>SO - 0008210</t>
  </si>
  <si>
    <t>SO - 0008137</t>
  </si>
  <si>
    <t>Ascend Ltd</t>
  </si>
  <si>
    <t>SO - 0003048</t>
  </si>
  <si>
    <t>SO - 0003195</t>
  </si>
  <si>
    <t>Kaymbo Company</t>
  </si>
  <si>
    <t>SO - 0008098</t>
  </si>
  <si>
    <t>Revitol Company</t>
  </si>
  <si>
    <t>Product 4</t>
  </si>
  <si>
    <t>SO - 0008497</t>
  </si>
  <si>
    <t>SO - 0009293</t>
  </si>
  <si>
    <t>Camido Company</t>
  </si>
  <si>
    <t>SO - 0009684</t>
  </si>
  <si>
    <t>SO - 0005367</t>
  </si>
  <si>
    <t>Product 27</t>
  </si>
  <si>
    <t>SO - 0007598</t>
  </si>
  <si>
    <t>Woonsocket Corp</t>
  </si>
  <si>
    <t>SO - 0008830</t>
  </si>
  <si>
    <t>Snaptags Ltd</t>
  </si>
  <si>
    <t>SO - 0008408</t>
  </si>
  <si>
    <t>SO - 0008679</t>
  </si>
  <si>
    <t>SC</t>
  </si>
  <si>
    <t>South Carolina</t>
  </si>
  <si>
    <t>SO - 0001172</t>
  </si>
  <si>
    <t>Lazzy Group</t>
  </si>
  <si>
    <t>SO - 0001177</t>
  </si>
  <si>
    <t>Cogidoo Company</t>
  </si>
  <si>
    <t>SO - 0001428</t>
  </si>
  <si>
    <t>Rhynoodle Ltd</t>
  </si>
  <si>
    <t>NC</t>
  </si>
  <si>
    <t>North Carolina</t>
  </si>
  <si>
    <t>SO - 0003646</t>
  </si>
  <si>
    <t>General Company</t>
  </si>
  <si>
    <t>SO - 0004031</t>
  </si>
  <si>
    <t>Skyble Corp</t>
  </si>
  <si>
    <t>VA</t>
  </si>
  <si>
    <t>Virginia</t>
  </si>
  <si>
    <t>SO - 0007636</t>
  </si>
  <si>
    <t>Flipbug Ltd</t>
  </si>
  <si>
    <t>MO</t>
  </si>
  <si>
    <t>Missouri</t>
  </si>
  <si>
    <t>SO - 000928</t>
  </si>
  <si>
    <t>IN</t>
  </si>
  <si>
    <t>Indiana</t>
  </si>
  <si>
    <t>SO - 0001572</t>
  </si>
  <si>
    <t>Product 11</t>
  </si>
  <si>
    <t>SO - 0002888</t>
  </si>
  <si>
    <t>Product 9</t>
  </si>
  <si>
    <t>ME</t>
  </si>
  <si>
    <t>Maine</t>
  </si>
  <si>
    <t>SO - 0004411</t>
  </si>
  <si>
    <t>Voolith Ltd</t>
  </si>
  <si>
    <t>SO - 0006081</t>
  </si>
  <si>
    <t>Shuffledri Group</t>
  </si>
  <si>
    <t>SO - 0007607</t>
  </si>
  <si>
    <t>SO - 0009046</t>
  </si>
  <si>
    <t>Kare Corp</t>
  </si>
  <si>
    <t>SO - 0009485</t>
  </si>
  <si>
    <t>Fred'S Company</t>
  </si>
  <si>
    <t>SO - 0001011</t>
  </si>
  <si>
    <t>SO - 0002792</t>
  </si>
  <si>
    <t>SO - 0003142</t>
  </si>
  <si>
    <t>SO - 0004194</t>
  </si>
  <si>
    <t>SO - 0007886</t>
  </si>
  <si>
    <t>Aibox Company</t>
  </si>
  <si>
    <t>SO - 0008618</t>
  </si>
  <si>
    <t>Johnson Ltd</t>
  </si>
  <si>
    <t>SO - 000298</t>
  </si>
  <si>
    <t>Neutrogena Ltd</t>
  </si>
  <si>
    <t>Product 19</t>
  </si>
  <si>
    <t>SO - 000868</t>
  </si>
  <si>
    <t>Vitz Company</t>
  </si>
  <si>
    <t>SO - 0001796</t>
  </si>
  <si>
    <t>Yodoo Ltd</t>
  </si>
  <si>
    <t>MI</t>
  </si>
  <si>
    <t>Michigan</t>
  </si>
  <si>
    <t>SO - 0003017</t>
  </si>
  <si>
    <t>SO - 0005133</t>
  </si>
  <si>
    <t>Yombu Corp</t>
  </si>
  <si>
    <t>SO - 0005187</t>
  </si>
  <si>
    <t>SO - 0005280</t>
  </si>
  <si>
    <t>Realcube Company</t>
  </si>
  <si>
    <t>Product 29</t>
  </si>
  <si>
    <t>TN</t>
  </si>
  <si>
    <t>Tennessee</t>
  </si>
  <si>
    <t>SO - 0007801</t>
  </si>
  <si>
    <t>SO - 000428</t>
  </si>
  <si>
    <t>Cogilith Group</t>
  </si>
  <si>
    <t>SO - 0001781</t>
  </si>
  <si>
    <t>SO - 0003690</t>
  </si>
  <si>
    <t>Mycone Ltd</t>
  </si>
  <si>
    <t>SO - 0003794</t>
  </si>
  <si>
    <t>Fivebridge Ltd</t>
  </si>
  <si>
    <t>SO - 0004623</t>
  </si>
  <si>
    <t>Golden Corp</t>
  </si>
  <si>
    <t>SO - 0008249</t>
  </si>
  <si>
    <t>Aldi Ltd</t>
  </si>
  <si>
    <t>SO - 0009179</t>
  </si>
  <si>
    <t>SO - 0010470</t>
  </si>
  <si>
    <t>Holston Company</t>
  </si>
  <si>
    <t>SO - 0002236</t>
  </si>
  <si>
    <t>Product 7</t>
  </si>
  <si>
    <t>SO - 0006280</t>
  </si>
  <si>
    <t>Epic Group</t>
  </si>
  <si>
    <t>SO - 0008457</t>
  </si>
  <si>
    <t>Cantrell Company</t>
  </si>
  <si>
    <t>LA</t>
  </si>
  <si>
    <t>Louisiana</t>
  </si>
  <si>
    <t>SO - 000430</t>
  </si>
  <si>
    <t>SO - 000824</t>
  </si>
  <si>
    <t>SO - 0002075</t>
  </si>
  <si>
    <t>Trunyx Ltd</t>
  </si>
  <si>
    <t>SO - 0006202</t>
  </si>
  <si>
    <t>SO - 0007084</t>
  </si>
  <si>
    <t>Talane Group</t>
  </si>
  <si>
    <t>SO - 0010401</t>
  </si>
  <si>
    <t>American Corp</t>
  </si>
  <si>
    <t>SO - 0001446</t>
  </si>
  <si>
    <t>SO - 0002734</t>
  </si>
  <si>
    <t>SO - 0004897</t>
  </si>
  <si>
    <t>SO - 0005215</t>
  </si>
  <si>
    <t>Remedy Ltd</t>
  </si>
  <si>
    <t>SO - 0005678</t>
  </si>
  <si>
    <t>Product 12</t>
  </si>
  <si>
    <t>SO - 0008701</t>
  </si>
  <si>
    <t>Cardinal Group</t>
  </si>
  <si>
    <t>SO - 0001173</t>
  </si>
  <si>
    <t>SO - 0001252</t>
  </si>
  <si>
    <t>Chatterbri Ltd</t>
  </si>
  <si>
    <t>SO - 0001791</t>
  </si>
  <si>
    <t>SO - 0006072</t>
  </si>
  <si>
    <t>Rooxo Company</t>
  </si>
  <si>
    <t>SO - 0009418</t>
  </si>
  <si>
    <t>Liberty Group</t>
  </si>
  <si>
    <t>SO - 000210</t>
  </si>
  <si>
    <t>SO - 000907</t>
  </si>
  <si>
    <t>Fatz Group</t>
  </si>
  <si>
    <t>SO - 0001338</t>
  </si>
  <si>
    <t>Nexus Group</t>
  </si>
  <si>
    <t>SO - 0001441</t>
  </si>
  <si>
    <t>SO - 0001566</t>
  </si>
  <si>
    <t>SO - 0002565</t>
  </si>
  <si>
    <t>Brightdog Corp</t>
  </si>
  <si>
    <t>Product 20</t>
  </si>
  <si>
    <t>SO - 0007412</t>
  </si>
  <si>
    <t>Nars Group</t>
  </si>
  <si>
    <t>SO - 0009890</t>
  </si>
  <si>
    <t>SO - 0001747</t>
  </si>
  <si>
    <t>SO - 0006014</t>
  </si>
  <si>
    <t>SO - 0007513</t>
  </si>
  <si>
    <t>SO - 0008813</t>
  </si>
  <si>
    <t>SO - 000957</t>
  </si>
  <si>
    <t>Tekfly Group</t>
  </si>
  <si>
    <t>SO - 0001596</t>
  </si>
  <si>
    <t>SO - 0006080</t>
  </si>
  <si>
    <t>SO - 0008233</t>
  </si>
  <si>
    <t>SO - 0010739</t>
  </si>
  <si>
    <t>SO - 0001661</t>
  </si>
  <si>
    <t>Oba Company</t>
  </si>
  <si>
    <t>SO - 0001735</t>
  </si>
  <si>
    <t>SO - 0002673</t>
  </si>
  <si>
    <t>SO - 0006871</t>
  </si>
  <si>
    <t>Zoovu Corp</t>
  </si>
  <si>
    <t>SO - 0007768</t>
  </si>
  <si>
    <t>Voonyx Group</t>
  </si>
  <si>
    <t>SO - 0008265</t>
  </si>
  <si>
    <t>Wordware Company</t>
  </si>
  <si>
    <t>SO - 0002469</t>
  </si>
  <si>
    <t>SO - 0006040</t>
  </si>
  <si>
    <t>Actavis Company</t>
  </si>
  <si>
    <t>SO - 0006348</t>
  </si>
  <si>
    <t>Twinte Group</t>
  </si>
  <si>
    <t>SO - 0008076</t>
  </si>
  <si>
    <t>Skyvu Group</t>
  </si>
  <si>
    <t>SO - 0009789</t>
  </si>
  <si>
    <t>Divanoodle Ltd</t>
  </si>
  <si>
    <t>SO - 0009607</t>
  </si>
  <si>
    <t>Product 24</t>
  </si>
  <si>
    <t>SO - 0001534</t>
  </si>
  <si>
    <t>SO - 0001536</t>
  </si>
  <si>
    <t>Eayo Company</t>
  </si>
  <si>
    <t>SO - 0007626</t>
  </si>
  <si>
    <t>SO - 0009342</t>
  </si>
  <si>
    <t>SO - 0009199</t>
  </si>
  <si>
    <t>Zava Group</t>
  </si>
  <si>
    <t>SO - 0004874</t>
  </si>
  <si>
    <t>Skiptube Ltd</t>
  </si>
  <si>
    <t>SO - 0004929</t>
  </si>
  <si>
    <t>Quimm Company</t>
  </si>
  <si>
    <t>SO - 0006005</t>
  </si>
  <si>
    <t>SO - 0006388</t>
  </si>
  <si>
    <t>Realpoint Corp</t>
  </si>
  <si>
    <t>SO - 0006602</t>
  </si>
  <si>
    <t>SO - 0006862</t>
  </si>
  <si>
    <t>SO - 0007022</t>
  </si>
  <si>
    <t>Sanofi-Ave Group</t>
  </si>
  <si>
    <t>SO - 0010250</t>
  </si>
  <si>
    <t>Safeway Ltd</t>
  </si>
  <si>
    <t>SO - 0010749</t>
  </si>
  <si>
    <t>SO - 0001114</t>
  </si>
  <si>
    <t>SO - 0004995</t>
  </si>
  <si>
    <t>Z.H.T. Group</t>
  </si>
  <si>
    <t>SO - 0006966</t>
  </si>
  <si>
    <t>MT</t>
  </si>
  <si>
    <t>Montana</t>
  </si>
  <si>
    <t>SO - 0010618</t>
  </si>
  <si>
    <t>Zooveo Company</t>
  </si>
  <si>
    <t>SO - 000169</t>
  </si>
  <si>
    <t>SO - 0001865</t>
  </si>
  <si>
    <t>SO - 0004591</t>
  </si>
  <si>
    <t>NM</t>
  </si>
  <si>
    <t>New Mexico</t>
  </si>
  <si>
    <t>SO - 0006564</t>
  </si>
  <si>
    <t>SO - 0009960</t>
  </si>
  <si>
    <t>SO - 000138</t>
  </si>
  <si>
    <t>SO - 0001349</t>
  </si>
  <si>
    <t>SO - 0001737</t>
  </si>
  <si>
    <t>SO - 0002435</t>
  </si>
  <si>
    <t>SO - 0003232</t>
  </si>
  <si>
    <t>Wordtune Company</t>
  </si>
  <si>
    <t>SO - 0003676</t>
  </si>
  <si>
    <t>Viva Ltd</t>
  </si>
  <si>
    <t>OR</t>
  </si>
  <si>
    <t>Oregon</t>
  </si>
  <si>
    <t>SO - 0004880</t>
  </si>
  <si>
    <t>Browsebug Company</t>
  </si>
  <si>
    <t>SO - 0006902</t>
  </si>
  <si>
    <t>SO - 0006968</t>
  </si>
  <si>
    <t>CO</t>
  </si>
  <si>
    <t>Colorado</t>
  </si>
  <si>
    <t>SO - 0010041</t>
  </si>
  <si>
    <t>Skidoo Company</t>
  </si>
  <si>
    <t>SO - 0010075</t>
  </si>
  <si>
    <t>Tagfeed Ltd</t>
  </si>
  <si>
    <t>SO - 000108</t>
  </si>
  <si>
    <t>Product 10</t>
  </si>
  <si>
    <t>SO - 000901</t>
  </si>
  <si>
    <t>SO - 000954</t>
  </si>
  <si>
    <t>SO - 0002176</t>
  </si>
  <si>
    <t>SO - 0003505</t>
  </si>
  <si>
    <t>SO - 0004465</t>
  </si>
  <si>
    <t>SO - 0006550</t>
  </si>
  <si>
    <t>SO - 0007292</t>
  </si>
  <si>
    <t>SO - 0007983</t>
  </si>
  <si>
    <t>SO - 0009829</t>
  </si>
  <si>
    <t>The Ltd</t>
  </si>
  <si>
    <t>SO - 0008707</t>
  </si>
  <si>
    <t>SO - 0001342</t>
  </si>
  <si>
    <t>SO - 0004026</t>
  </si>
  <si>
    <t>SO - 0007490</t>
  </si>
  <si>
    <t>SO - 0007498</t>
  </si>
  <si>
    <t>SO - 0007874</t>
  </si>
  <si>
    <t>Jaxbean Group</t>
  </si>
  <si>
    <t>MN</t>
  </si>
  <si>
    <t>Minnesota</t>
  </si>
  <si>
    <t>SO - 0001406</t>
  </si>
  <si>
    <t>SO - 0001794</t>
  </si>
  <si>
    <t>SO - 0002691</t>
  </si>
  <si>
    <t>SO - 0005458</t>
  </si>
  <si>
    <t>SO - 0004021</t>
  </si>
  <si>
    <t>SO - 0005963</t>
  </si>
  <si>
    <t>SO - 0006077</t>
  </si>
  <si>
    <t>SO - 0006170</t>
  </si>
  <si>
    <t>SO - 0007023</t>
  </si>
  <si>
    <t>SO - 0008125</t>
  </si>
  <si>
    <t>Alk-Abello Ltd</t>
  </si>
  <si>
    <t>SO - 000394</t>
  </si>
  <si>
    <t>SO - 0001996</t>
  </si>
  <si>
    <t>SO - 0002393</t>
  </si>
  <si>
    <t>SO - 0003437</t>
  </si>
  <si>
    <t>Blogspan Ltd</t>
  </si>
  <si>
    <t>ND</t>
  </si>
  <si>
    <t>North Dakota</t>
  </si>
  <si>
    <t>SO - 0004209</t>
  </si>
  <si>
    <t>SO - 0007556</t>
  </si>
  <si>
    <t>MS</t>
  </si>
  <si>
    <t>Mississippi</t>
  </si>
  <si>
    <t>SO - 0007643</t>
  </si>
  <si>
    <t>Aveda Group</t>
  </si>
  <si>
    <t>SO - 0009316</t>
  </si>
  <si>
    <t>SO - 0010228</t>
  </si>
  <si>
    <t>Zoonoodle Ltd</t>
  </si>
  <si>
    <t>SO - 0010711</t>
  </si>
  <si>
    <t>SO - 0002484</t>
  </si>
  <si>
    <t>SO - 0006503</t>
  </si>
  <si>
    <t>Mydo Corp</t>
  </si>
  <si>
    <t>SO - 0010038</t>
  </si>
  <si>
    <t>Nlounge Ltd</t>
  </si>
  <si>
    <t>SO - 0008549</t>
  </si>
  <si>
    <t>Devpoint Group</t>
  </si>
  <si>
    <t>SO - 000620</t>
  </si>
  <si>
    <t>H Ltd</t>
  </si>
  <si>
    <t>SO - 0001383</t>
  </si>
  <si>
    <t>SO - 0002778</t>
  </si>
  <si>
    <t>SO - 0006233</t>
  </si>
  <si>
    <t>Centizu Company</t>
  </si>
  <si>
    <t>SO - 0006556</t>
  </si>
  <si>
    <t>Bb17 Company</t>
  </si>
  <si>
    <t>DC</t>
  </si>
  <si>
    <t>District of Columbia</t>
  </si>
  <si>
    <t>SO - 0010036</t>
  </si>
  <si>
    <t>SO - 000369</t>
  </si>
  <si>
    <t>SO - 000611</t>
  </si>
  <si>
    <t>SO - 000652</t>
  </si>
  <si>
    <t>Buzzbean Group</t>
  </si>
  <si>
    <t>SO - 000946</t>
  </si>
  <si>
    <t>SO - 0001450</t>
  </si>
  <si>
    <t>SO - 0001837</t>
  </si>
  <si>
    <t>Topiczoom Corp</t>
  </si>
  <si>
    <t>SO - 0002652</t>
  </si>
  <si>
    <t>SO - 0003591</t>
  </si>
  <si>
    <t>SO - 0003930</t>
  </si>
  <si>
    <t>SO - 0004122</t>
  </si>
  <si>
    <t>SO - 0006684</t>
  </si>
  <si>
    <t>Accord Group</t>
  </si>
  <si>
    <t>SO - 0007089</t>
  </si>
  <si>
    <t>Wise Company</t>
  </si>
  <si>
    <t>SO - 0010461</t>
  </si>
  <si>
    <t>SO - 000141</t>
  </si>
  <si>
    <t>SO - 000179</t>
  </si>
  <si>
    <t>SO - 0009875</t>
  </si>
  <si>
    <t>SO - 0009716</t>
  </si>
  <si>
    <t>SO - 0009464</t>
  </si>
  <si>
    <t>SO - 0010552</t>
  </si>
  <si>
    <t>Quaxo Ltd</t>
  </si>
  <si>
    <t>SO - 0002598</t>
  </si>
  <si>
    <t>Avavee Group</t>
  </si>
  <si>
    <t>SO - 0003066</t>
  </si>
  <si>
    <t>SO - 0003745</t>
  </si>
  <si>
    <t>SO - 0004198</t>
  </si>
  <si>
    <t>SO - 0005486</t>
  </si>
  <si>
    <t>Seindni Corp</t>
  </si>
  <si>
    <t>SO - 0006617</t>
  </si>
  <si>
    <t>SO - 0001005</t>
  </si>
  <si>
    <t>SO - 0004075</t>
  </si>
  <si>
    <t>SO - 0006580</t>
  </si>
  <si>
    <t>Eire Corp</t>
  </si>
  <si>
    <t>SO - 0009376</t>
  </si>
  <si>
    <t>Zoonder Group</t>
  </si>
  <si>
    <t>SO - 000591</t>
  </si>
  <si>
    <t>SO - 0003353</t>
  </si>
  <si>
    <t>SO - 0009858</t>
  </si>
  <si>
    <t>SO - 0010756</t>
  </si>
  <si>
    <t>Topco Company</t>
  </si>
  <si>
    <t>SO - 0010439</t>
  </si>
  <si>
    <t>SO - 000229</t>
  </si>
  <si>
    <t>Thoughtmix Ltd</t>
  </si>
  <si>
    <t>SO - 0002428</t>
  </si>
  <si>
    <t>SO - 0002665</t>
  </si>
  <si>
    <t>SO - 0003688</t>
  </si>
  <si>
    <t>SO - 0005996</t>
  </si>
  <si>
    <t>SO - 0006612</t>
  </si>
  <si>
    <t>SO - 0008303</t>
  </si>
  <si>
    <t>KS</t>
  </si>
  <si>
    <t>Kansas</t>
  </si>
  <si>
    <t>SO - 0010184</t>
  </si>
  <si>
    <t>SO - 0009988</t>
  </si>
  <si>
    <t>SO - 0001925</t>
  </si>
  <si>
    <t>SO - 0007923</t>
  </si>
  <si>
    <t>SO - 0009536</t>
  </si>
  <si>
    <t>Browsetype Corp</t>
  </si>
  <si>
    <t>SO - 0009419</t>
  </si>
  <si>
    <t>SO - 0010591</t>
  </si>
  <si>
    <t>SO - 0001040</t>
  </si>
  <si>
    <t>SO - 0002991</t>
  </si>
  <si>
    <t>SO - 0005197</t>
  </si>
  <si>
    <t>Vinte Group</t>
  </si>
  <si>
    <t>SO - 0005633</t>
  </si>
  <si>
    <t>Good Ltd</t>
  </si>
  <si>
    <t>SO - 0007657</t>
  </si>
  <si>
    <t>SO - 0001599</t>
  </si>
  <si>
    <t>Feednation Corp</t>
  </si>
  <si>
    <t>SO - 0004545</t>
  </si>
  <si>
    <t>SO - 0008032</t>
  </si>
  <si>
    <t>SO - 0008164</t>
  </si>
  <si>
    <t>SO - 0009627</t>
  </si>
  <si>
    <t>SO - 0001762</t>
  </si>
  <si>
    <t>SO - 0004255</t>
  </si>
  <si>
    <t>SO - 0004657</t>
  </si>
  <si>
    <t>SO - 0006305</t>
  </si>
  <si>
    <t>SO - 0007675</t>
  </si>
  <si>
    <t>SO - 000481</t>
  </si>
  <si>
    <t>SO - 000733</t>
  </si>
  <si>
    <t>SO - 0001788</t>
  </si>
  <si>
    <t>SO - 0002551</t>
  </si>
  <si>
    <t>Gigabox Group</t>
  </si>
  <si>
    <t>SO - 0004324</t>
  </si>
  <si>
    <t>Zooxo Ltd</t>
  </si>
  <si>
    <t>SO - 0006358</t>
  </si>
  <si>
    <t>SO - 0006861</t>
  </si>
  <si>
    <t>SO - 0007811</t>
  </si>
  <si>
    <t>SO - 0010409</t>
  </si>
  <si>
    <t>SO - 0009955</t>
  </si>
  <si>
    <t>SO - 0008671</t>
  </si>
  <si>
    <t>SO - 0008107</t>
  </si>
  <si>
    <t>Mita Corp</t>
  </si>
  <si>
    <t>SO - 0006164</t>
  </si>
  <si>
    <t>SO - 0009161</t>
  </si>
  <si>
    <t>SO - 0002748</t>
  </si>
  <si>
    <t>SO - 0004426</t>
  </si>
  <si>
    <t>SO - 0004624</t>
  </si>
  <si>
    <t>SO - 0007210</t>
  </si>
  <si>
    <t>SO - 0008072</t>
  </si>
  <si>
    <t>SO - 0008580</t>
  </si>
  <si>
    <t>SO - 000403</t>
  </si>
  <si>
    <t>SO - 0004100</t>
  </si>
  <si>
    <t>SO - 0005511</t>
  </si>
  <si>
    <t>SO - 0005623</t>
  </si>
  <si>
    <t>Blogtags Ltd</t>
  </si>
  <si>
    <t>SO - 0007720</t>
  </si>
  <si>
    <t>SO - 0010300</t>
  </si>
  <si>
    <t>Natures Group</t>
  </si>
  <si>
    <t>SO - 000978</t>
  </si>
  <si>
    <t>SO - 0001872</t>
  </si>
  <si>
    <t>SO - 0003662</t>
  </si>
  <si>
    <t>SO - 0003970</t>
  </si>
  <si>
    <t>SO - 0005237</t>
  </si>
  <si>
    <t>SO - 0005392</t>
  </si>
  <si>
    <t>SO - 0009554</t>
  </si>
  <si>
    <t>SO - 000867</t>
  </si>
  <si>
    <t>SO - 0005924</t>
  </si>
  <si>
    <t>SO - 0007353</t>
  </si>
  <si>
    <t>SO - 0007509</t>
  </si>
  <si>
    <t>SO - 0010044</t>
  </si>
  <si>
    <t>SO - 0010518</t>
  </si>
  <si>
    <t>SO - 0001301</t>
  </si>
  <si>
    <t>SO - 0001420</t>
  </si>
  <si>
    <t>SO - 0004398</t>
  </si>
  <si>
    <t>SO - 0010340</t>
  </si>
  <si>
    <t>SO - 0003121</t>
  </si>
  <si>
    <t>SO - 0003630</t>
  </si>
  <si>
    <t>AL</t>
  </si>
  <si>
    <t>Alabama</t>
  </si>
  <si>
    <t>SO - 0005621</t>
  </si>
  <si>
    <t>SO - 0006841</t>
  </si>
  <si>
    <t>Flipstorm Group</t>
  </si>
  <si>
    <t>SO - 0009712</t>
  </si>
  <si>
    <t>SO - 0009834</t>
  </si>
  <si>
    <t>SO - 0003229</t>
  </si>
  <si>
    <t>SO - 0004153</t>
  </si>
  <si>
    <t>SO - 0006611</t>
  </si>
  <si>
    <t>SO - 0006961</t>
  </si>
  <si>
    <t>SO - 0007119</t>
  </si>
  <si>
    <t>Tambee Company</t>
  </si>
  <si>
    <t>SO - 0007217</t>
  </si>
  <si>
    <t>SO - 0009730</t>
  </si>
  <si>
    <t>SO - 0010606</t>
  </si>
  <si>
    <t>SO - 000333</t>
  </si>
  <si>
    <t>SO - 0005058</t>
  </si>
  <si>
    <t>Walgreen Corp</t>
  </si>
  <si>
    <t>SO - 0007820</t>
  </si>
  <si>
    <t>SO - 0009057</t>
  </si>
  <si>
    <t>SO - 0009289</t>
  </si>
  <si>
    <t>SO - 0003795</t>
  </si>
  <si>
    <t>NH</t>
  </si>
  <si>
    <t>New Hampshire</t>
  </si>
  <si>
    <t>SO - 0007612</t>
  </si>
  <si>
    <t>Us Ltd</t>
  </si>
  <si>
    <t>SO - 0010708</t>
  </si>
  <si>
    <t>SO - 0001852</t>
  </si>
  <si>
    <t>Accudial Company</t>
  </si>
  <si>
    <t>SO - 0001980</t>
  </si>
  <si>
    <t>SO - 0006552</t>
  </si>
  <si>
    <t>Jabbercube Corp</t>
  </si>
  <si>
    <t>SO - 0007049</t>
  </si>
  <si>
    <t>SO - 0009288</t>
  </si>
  <si>
    <t>SO - 0009924</t>
  </si>
  <si>
    <t>SO - 0001258</t>
  </si>
  <si>
    <t>SO - 0001935</t>
  </si>
  <si>
    <t>SO - 0002457</t>
  </si>
  <si>
    <t>SO - 0002627</t>
  </si>
  <si>
    <t>SO - 0003863</t>
  </si>
  <si>
    <t>SO - 0005822</t>
  </si>
  <si>
    <t>SO - 0006736</t>
  </si>
  <si>
    <t>SO - 0009800</t>
  </si>
  <si>
    <t>SO - 0010344</t>
  </si>
  <si>
    <t>SO - 0002199</t>
  </si>
  <si>
    <t>SO - 0005323</t>
  </si>
  <si>
    <t>SO - 0005476</t>
  </si>
  <si>
    <t>SO - 0005713</t>
  </si>
  <si>
    <t>SO - 0006097</t>
  </si>
  <si>
    <t>Zoomdog Corp</t>
  </si>
  <si>
    <t>SO - 0006649</t>
  </si>
  <si>
    <t>SO - 0007449</t>
  </si>
  <si>
    <t>SO - 0007691</t>
  </si>
  <si>
    <t>SO - 0008902</t>
  </si>
  <si>
    <t>SO - 0002200</t>
  </si>
  <si>
    <t>SO - 0002568</t>
  </si>
  <si>
    <t>Pfizer Corp</t>
  </si>
  <si>
    <t>SO - 0002791</t>
  </si>
  <si>
    <t>SO - 0003090</t>
  </si>
  <si>
    <t>SO - 0010603</t>
  </si>
  <si>
    <t>SO - 0010430</t>
  </si>
  <si>
    <t>SO - 0001362</t>
  </si>
  <si>
    <t>SO - 0002012</t>
  </si>
  <si>
    <t>SO - 0002268</t>
  </si>
  <si>
    <t>SO - 0004484</t>
  </si>
  <si>
    <t>SO - 0006995</t>
  </si>
  <si>
    <t>SO - 0010462</t>
  </si>
  <si>
    <t>SO - 0008693</t>
  </si>
  <si>
    <t>Livepath Corp</t>
  </si>
  <si>
    <t>SO - 000911</t>
  </si>
  <si>
    <t>SO - 0001632</t>
  </si>
  <si>
    <t>SO - 0003522</t>
  </si>
  <si>
    <t>SO - 0004152</t>
  </si>
  <si>
    <t>SO - 0004282</t>
  </si>
  <si>
    <t>SO - 0004664</t>
  </si>
  <si>
    <t>SO - 0005138</t>
  </si>
  <si>
    <t>SO - 0006370</t>
  </si>
  <si>
    <t>SO - 0007543</t>
  </si>
  <si>
    <t>SO - 0009440</t>
  </si>
  <si>
    <t>SO - 0009922</t>
  </si>
  <si>
    <t>Pacific Ltd</t>
  </si>
  <si>
    <t>SO - 000607</t>
  </si>
  <si>
    <t>SO - 0001750</t>
  </si>
  <si>
    <t>SO - 0007582</t>
  </si>
  <si>
    <t>SO - 000669</t>
  </si>
  <si>
    <t>SO - 0001802</t>
  </si>
  <si>
    <t>SO - 0006751</t>
  </si>
  <si>
    <t>SO - 0007473</t>
  </si>
  <si>
    <t>Bluezoom Group</t>
  </si>
  <si>
    <t>SO - 0010714</t>
  </si>
  <si>
    <t>SO - 0009264</t>
  </si>
  <si>
    <t>SO - 0010189</t>
  </si>
  <si>
    <t>SO - 000616</t>
  </si>
  <si>
    <t>SO - 0002371</t>
  </si>
  <si>
    <t>SO - 0002402</t>
  </si>
  <si>
    <t>SO - 0004133</t>
  </si>
  <si>
    <t>SO - 0005743</t>
  </si>
  <si>
    <t>SO - 0008540</t>
  </si>
  <si>
    <t>SO - 0009106</t>
  </si>
  <si>
    <t>Podcat Corp</t>
  </si>
  <si>
    <t>SO - 0009891</t>
  </si>
  <si>
    <t>SO - 000154</t>
  </si>
  <si>
    <t>SO - 0002248</t>
  </si>
  <si>
    <t>Avamba Company</t>
  </si>
  <si>
    <t>SO - 0002599</t>
  </si>
  <si>
    <t>Valeant Corp</t>
  </si>
  <si>
    <t>SO - 0004278</t>
  </si>
  <si>
    <t>SO - 0010003</t>
  </si>
  <si>
    <t>SO - 0009937</t>
  </si>
  <si>
    <t>SO - 000801</t>
  </si>
  <si>
    <t>SO - 0003584</t>
  </si>
  <si>
    <t>SO - 0005697</t>
  </si>
  <si>
    <t>SO - 0008075</t>
  </si>
  <si>
    <t>SO - 0010256</t>
  </si>
  <si>
    <t>SO - 0008097</t>
  </si>
  <si>
    <t>SO - 0002995</t>
  </si>
  <si>
    <t>SO - 0003068</t>
  </si>
  <si>
    <t>SO - 0003411</t>
  </si>
  <si>
    <t>SO - 0003487</t>
  </si>
  <si>
    <t>SO - 0003650</t>
  </si>
  <si>
    <t>SO - 0005190</t>
  </si>
  <si>
    <t>SO - 0006100</t>
  </si>
  <si>
    <t>SO - 0007788</t>
  </si>
  <si>
    <t>SO - 0009286</t>
  </si>
  <si>
    <t>SO - 0003184</t>
  </si>
  <si>
    <t>SO - 0003892</t>
  </si>
  <si>
    <t>SO - 0007537</t>
  </si>
  <si>
    <t>SO - 0010417</t>
  </si>
  <si>
    <t>SO - 0010270</t>
  </si>
  <si>
    <t>SO - 0009354</t>
  </si>
  <si>
    <t>SO - 0008247</t>
  </si>
  <si>
    <t>Zoomzone Corp</t>
  </si>
  <si>
    <t>SO - 0002881</t>
  </si>
  <si>
    <t>SO - 0004441</t>
  </si>
  <si>
    <t>SO - 0007331</t>
  </si>
  <si>
    <t>SO - 0008029</t>
  </si>
  <si>
    <t>SO - 0010079</t>
  </si>
  <si>
    <t>SO - 0002160</t>
  </si>
  <si>
    <t>SO - 0002855</t>
  </si>
  <si>
    <t>Deseret Group</t>
  </si>
  <si>
    <t>SO - 0003720</t>
  </si>
  <si>
    <t>SO - 0004741</t>
  </si>
  <si>
    <t>SO - 0006889</t>
  </si>
  <si>
    <t>SO - 0006977</t>
  </si>
  <si>
    <t>SO - 0008648</t>
  </si>
  <si>
    <t>SO - 0001652</t>
  </si>
  <si>
    <t>DE</t>
  </si>
  <si>
    <t>Delaware</t>
  </si>
  <si>
    <t>SO - 0002308</t>
  </si>
  <si>
    <t>SO - 0006096</t>
  </si>
  <si>
    <t>SO - 0006707</t>
  </si>
  <si>
    <t>ID</t>
  </si>
  <si>
    <t>Idaho</t>
  </si>
  <si>
    <t>SO - 0008009</t>
  </si>
  <si>
    <t>SO - 0008339</t>
  </si>
  <si>
    <t>SO - 0009318</t>
  </si>
  <si>
    <t>SO - 0001923</t>
  </si>
  <si>
    <t>SO - 0006626</t>
  </si>
  <si>
    <t>SO - 0007507</t>
  </si>
  <si>
    <t>SO - 0009630</t>
  </si>
  <si>
    <t>SO - 0010095</t>
  </si>
  <si>
    <t>SO - 000629</t>
  </si>
  <si>
    <t>SO - 0002763</t>
  </si>
  <si>
    <t>SO - 0003087</t>
  </si>
  <si>
    <t>SO - 0003511</t>
  </si>
  <si>
    <t>SO - 0008740</t>
  </si>
  <si>
    <t>SO - 0009501</t>
  </si>
  <si>
    <t>SO - 0005077</t>
  </si>
  <si>
    <t>Family Corp</t>
  </si>
  <si>
    <t>SO - 0007061</t>
  </si>
  <si>
    <t>SO - 0007265</t>
  </si>
  <si>
    <t>SO - 0010176</t>
  </si>
  <si>
    <t>SO - 0004758</t>
  </si>
  <si>
    <t>SO - 0006980</t>
  </si>
  <si>
    <t>SO - 0007778</t>
  </si>
  <si>
    <t>SO - 0009542</t>
  </si>
  <si>
    <t>Omba Group</t>
  </si>
  <si>
    <t>SO - 0002284</t>
  </si>
  <si>
    <t>SO - 0002456</t>
  </si>
  <si>
    <t>SO - 0003449</t>
  </si>
  <si>
    <t>SO - 0004531</t>
  </si>
  <si>
    <t>SO - 0004569</t>
  </si>
  <si>
    <t>SO - 0004825</t>
  </si>
  <si>
    <t>SO - 0008121</t>
  </si>
  <si>
    <t>SO - 000119</t>
  </si>
  <si>
    <t>SO - 000494</t>
  </si>
  <si>
    <t>SO - 0001712</t>
  </si>
  <si>
    <t>SO - 0002637</t>
  </si>
  <si>
    <t>SO - 0003311</t>
  </si>
  <si>
    <t>SO - 0003612</t>
  </si>
  <si>
    <t>SO - 0003844</t>
  </si>
  <si>
    <t>Muxo Group</t>
  </si>
  <si>
    <t>SO - 0004871</t>
  </si>
  <si>
    <t>SO - 0005650</t>
  </si>
  <si>
    <t>SO - 0005987</t>
  </si>
  <si>
    <t>Safecor Corp</t>
  </si>
  <si>
    <t>SO - 0008597</t>
  </si>
  <si>
    <t>SO - 0008335</t>
  </si>
  <si>
    <t>SO - 0009392</t>
  </si>
  <si>
    <t>Amerisourc Corp</t>
  </si>
  <si>
    <t>SO - 000770</t>
  </si>
  <si>
    <t>SO - 0004207</t>
  </si>
  <si>
    <t>SO - 0007852</t>
  </si>
  <si>
    <t>SO - 0010384</t>
  </si>
  <si>
    <t>SO - 0010754</t>
  </si>
  <si>
    <t>SO - 0008824</t>
  </si>
  <si>
    <t>SO - 0009738</t>
  </si>
  <si>
    <t>SO - 0009458</t>
  </si>
  <si>
    <t>SO - 000415</t>
  </si>
  <si>
    <t>SO - 0003940</t>
  </si>
  <si>
    <t>SO - 0004280</t>
  </si>
  <si>
    <t>SO - 0004536</t>
  </si>
  <si>
    <t>SO - 0005318</t>
  </si>
  <si>
    <t>SO - 0007381</t>
  </si>
  <si>
    <t>SO - 0007435</t>
  </si>
  <si>
    <t>SO - 0008389</t>
  </si>
  <si>
    <t>SO - 0010500</t>
  </si>
  <si>
    <t>Skajo Ltd</t>
  </si>
  <si>
    <t>SO - 0009205</t>
  </si>
  <si>
    <t>SO - 000933</t>
  </si>
  <si>
    <t>SO - 0001140</t>
  </si>
  <si>
    <t>SO - 0001831</t>
  </si>
  <si>
    <t>Kazu Corp</t>
  </si>
  <si>
    <t>SO - 0002887</t>
  </si>
  <si>
    <t>SO - 0003998</t>
  </si>
  <si>
    <t>SO - 0004750</t>
  </si>
  <si>
    <t>SO - 0004796</t>
  </si>
  <si>
    <t>SO - 0006783</t>
  </si>
  <si>
    <t>Internatio Company</t>
  </si>
  <si>
    <t>SO - 0009065</t>
  </si>
  <si>
    <t>SO - 0003158</t>
  </si>
  <si>
    <t>SO - 0004830</t>
  </si>
  <si>
    <t>SO - 0005346</t>
  </si>
  <si>
    <t>SO - 0010497</t>
  </si>
  <si>
    <t>SO - 0010753</t>
  </si>
  <si>
    <t>SO - 0009214</t>
  </si>
  <si>
    <t>SO - 000456</t>
  </si>
  <si>
    <t>SO - 0003161</t>
  </si>
  <si>
    <t>SO - 0004407</t>
  </si>
  <si>
    <t>SO - 0007362</t>
  </si>
  <si>
    <t>SO - 0009944</t>
  </si>
  <si>
    <t>Mylan Corp</t>
  </si>
  <si>
    <t>SO - 000580</t>
  </si>
  <si>
    <t>SO - 000688</t>
  </si>
  <si>
    <t>SO - 0001924</t>
  </si>
  <si>
    <t>SO - 0002859</t>
  </si>
  <si>
    <t>SO - 0004985</t>
  </si>
  <si>
    <t>SO - 0008248</t>
  </si>
  <si>
    <t>SO - 0010445</t>
  </si>
  <si>
    <t>Ozu Ltd</t>
  </si>
  <si>
    <t>SO - 000501</t>
  </si>
  <si>
    <t>SO - 000654</t>
  </si>
  <si>
    <t>SO - 0001482</t>
  </si>
  <si>
    <t>SO - 0004575</t>
  </si>
  <si>
    <t>SO - 0005343</t>
  </si>
  <si>
    <t>SO - 0008747</t>
  </si>
  <si>
    <t>SO - 0010129</t>
  </si>
  <si>
    <t>SO - 0008442</t>
  </si>
  <si>
    <t>SO - 000355</t>
  </si>
  <si>
    <t>SO - 0002054</t>
  </si>
  <si>
    <t>SO - 0002624</t>
  </si>
  <si>
    <t>SO - 0005345</t>
  </si>
  <si>
    <t>SO - 0005376</t>
  </si>
  <si>
    <t>SO - 0005843</t>
  </si>
  <si>
    <t>SO - 0008467</t>
  </si>
  <si>
    <t>SO - 0010077</t>
  </si>
  <si>
    <t>SO - 000224</t>
  </si>
  <si>
    <t>SO - 000811</t>
  </si>
  <si>
    <t>SO - 0001761</t>
  </si>
  <si>
    <t>SO - 0002813</t>
  </si>
  <si>
    <t>SO - 0005861</t>
  </si>
  <si>
    <t>SO - 0006194</t>
  </si>
  <si>
    <t>SO - 0006421</t>
  </si>
  <si>
    <t>SO - 0007260</t>
  </si>
  <si>
    <t>SO - 0008980</t>
  </si>
  <si>
    <t>SO - 0010589</t>
  </si>
  <si>
    <t>SO - 0001647</t>
  </si>
  <si>
    <t>SO - 0003277</t>
  </si>
  <si>
    <t>SO - 0004839</t>
  </si>
  <si>
    <t>SO - 0007945</t>
  </si>
  <si>
    <t>SO - 0008947</t>
  </si>
  <si>
    <t>SO - 0008180</t>
  </si>
  <si>
    <t>SO - 0008223</t>
  </si>
  <si>
    <t>SO - 000721</t>
  </si>
  <si>
    <t>SO - 0001582</t>
  </si>
  <si>
    <t>SO - 0002784</t>
  </si>
  <si>
    <t>SO - 0003693</t>
  </si>
  <si>
    <t>SO - 0005299</t>
  </si>
  <si>
    <t>SO - 000642</t>
  </si>
  <si>
    <t>SO - 0003119</t>
  </si>
  <si>
    <t>SO - 0006763</t>
  </si>
  <si>
    <t>SO - 0007931</t>
  </si>
  <si>
    <t>SO - 0010046</t>
  </si>
  <si>
    <t>SO - 0001241</t>
  </si>
  <si>
    <t>SO - 0002735</t>
  </si>
  <si>
    <t>SO - 0004260</t>
  </si>
  <si>
    <t>SO - 0004918</t>
  </si>
  <si>
    <t>Army Group</t>
  </si>
  <si>
    <t>SO - 0005468</t>
  </si>
  <si>
    <t>SO - 0006486</t>
  </si>
  <si>
    <t>SO - 000891</t>
  </si>
  <si>
    <t>SO - 0001015</t>
  </si>
  <si>
    <t>SO - 0006413</t>
  </si>
  <si>
    <t>SO - 0006722</t>
  </si>
  <si>
    <t>SO - 0007299</t>
  </si>
  <si>
    <t>SO - 0007508</t>
  </si>
  <si>
    <t>SO - 0009363</t>
  </si>
  <si>
    <t>SO - 0001643</t>
  </si>
  <si>
    <t>SO - 0004214</t>
  </si>
  <si>
    <t>SO - 0009844</t>
  </si>
  <si>
    <t>SO - 0010502</t>
  </si>
  <si>
    <t>SO - 0002821</t>
  </si>
  <si>
    <t>SO - 0003196</t>
  </si>
  <si>
    <t>SO - 0003336</t>
  </si>
  <si>
    <t>SO - 0004774</t>
  </si>
  <si>
    <t>SO - 0007009</t>
  </si>
  <si>
    <t>SO - 0007090</t>
  </si>
  <si>
    <t>SO - 0008444</t>
  </si>
  <si>
    <t>SO - 0009659</t>
  </si>
  <si>
    <t>SO - 0010522</t>
  </si>
  <si>
    <t>SO - 0001776</t>
  </si>
  <si>
    <t>SO - 0007501</t>
  </si>
  <si>
    <t>SO - 0010244</t>
  </si>
  <si>
    <t>SO - 0010123</t>
  </si>
  <si>
    <t>SO - 0001542</t>
  </si>
  <si>
    <t>SO - 0003159</t>
  </si>
  <si>
    <t>Wordpedia Ltd</t>
  </si>
  <si>
    <t>SO - 0003614</t>
  </si>
  <si>
    <t>SO - 0006406</t>
  </si>
  <si>
    <t>SO - 0006462</t>
  </si>
  <si>
    <t>SO - 0007803</t>
  </si>
  <si>
    <t>SO - 0007844</t>
  </si>
  <si>
    <t>SO - 0007950</t>
  </si>
  <si>
    <t>SO - 0010039</t>
  </si>
  <si>
    <t>SO - 000120</t>
  </si>
  <si>
    <t>SO - 0001431</t>
  </si>
  <si>
    <t>SO - 0003384</t>
  </si>
  <si>
    <t>Chatterpoi Corp</t>
  </si>
  <si>
    <t>SO - 0005027</t>
  </si>
  <si>
    <t>SO - 0009681</t>
  </si>
  <si>
    <t>SO - 0010375</t>
  </si>
  <si>
    <t>SO - 000744</t>
  </si>
  <si>
    <t>SO - 0007917</t>
  </si>
  <si>
    <t>SO - 0008142</t>
  </si>
  <si>
    <t>SO - 0010032</t>
  </si>
  <si>
    <t>SO - 0001220</t>
  </si>
  <si>
    <t>SO - 0002479</t>
  </si>
  <si>
    <t>SO - 0006162</t>
  </si>
  <si>
    <t>SO - 0010773</t>
  </si>
  <si>
    <t>SO - 0009992</t>
  </si>
  <si>
    <t>SO - 0004733</t>
  </si>
  <si>
    <t>SO - 0006964</t>
  </si>
  <si>
    <t>SO - 0008808</t>
  </si>
  <si>
    <t>SO - 0008100</t>
  </si>
  <si>
    <t>SO - 0002193</t>
  </si>
  <si>
    <t>SO - 0007005</t>
  </si>
  <si>
    <t>SO - 0010022</t>
  </si>
  <si>
    <t>SO - 0001375</t>
  </si>
  <si>
    <t>SO - 0001541</t>
  </si>
  <si>
    <t>SO - 0002570</t>
  </si>
  <si>
    <t>SO - 0002695</t>
  </si>
  <si>
    <t>SO - 0003501</t>
  </si>
  <si>
    <t>SO - 0006440</t>
  </si>
  <si>
    <t>SO - 0006833</t>
  </si>
  <si>
    <t>SO - 0006903</t>
  </si>
  <si>
    <t>SO - 0006940</t>
  </si>
  <si>
    <t>SO - 0008269</t>
  </si>
  <si>
    <t>SO - 0009239</t>
  </si>
  <si>
    <t>SO - 0010507</t>
  </si>
  <si>
    <t>SO - 0006074</t>
  </si>
  <si>
    <t>SO - 0009042</t>
  </si>
  <si>
    <t>SO - 0009525</t>
  </si>
  <si>
    <t>SO - 0004579</t>
  </si>
  <si>
    <t>SO - 0005440</t>
  </si>
  <si>
    <t>SO - 0006034</t>
  </si>
  <si>
    <t>SO - 0001189</t>
  </si>
  <si>
    <t>SO - 0004689</t>
  </si>
  <si>
    <t>SO - 0005789</t>
  </si>
  <si>
    <t>SO - 0005921</t>
  </si>
  <si>
    <t>SO - 0006570</t>
  </si>
  <si>
    <t>SO - 0006709</t>
  </si>
  <si>
    <t>SO - 0006771</t>
  </si>
  <si>
    <t>SO - 0010245</t>
  </si>
  <si>
    <t>SO - 0002277</t>
  </si>
  <si>
    <t>SO - 0005460</t>
  </si>
  <si>
    <t>SO - 0005529</t>
  </si>
  <si>
    <t>SO - 0006159</t>
  </si>
  <si>
    <t>SO - 0006272</t>
  </si>
  <si>
    <t>SO - 0007839</t>
  </si>
  <si>
    <t>SO - 0007940</t>
  </si>
  <si>
    <t>SO - 0009369</t>
  </si>
  <si>
    <t>SO - 0008384</t>
  </si>
  <si>
    <t>SO - 000464</t>
  </si>
  <si>
    <t>SO - 0004456</t>
  </si>
  <si>
    <t>SO - 0004478</t>
  </si>
  <si>
    <t>SO - 0004816</t>
  </si>
  <si>
    <t>SO - 0009825</t>
  </si>
  <si>
    <t>SO - 000997</t>
  </si>
  <si>
    <t>SO - 0002084</t>
  </si>
  <si>
    <t>SO - 0004265</t>
  </si>
  <si>
    <t>SO - 0004519</t>
  </si>
  <si>
    <t>SO - 0005572</t>
  </si>
  <si>
    <t>SO - 0006131</t>
  </si>
  <si>
    <t>SO - 0007345</t>
  </si>
  <si>
    <t>SO - 0007841</t>
  </si>
  <si>
    <t>SO - 0009975</t>
  </si>
  <si>
    <t>SO - 0008639</t>
  </si>
  <si>
    <t>SO - 0001142</t>
  </si>
  <si>
    <t>SO - 0002009</t>
  </si>
  <si>
    <t>SO - 0002450</t>
  </si>
  <si>
    <t>SO - 0005630</t>
  </si>
  <si>
    <t>SO - 0008250</t>
  </si>
  <si>
    <t>SO - 0010161</t>
  </si>
  <si>
    <t>SO - 0008676</t>
  </si>
  <si>
    <t>SO - 000235</t>
  </si>
  <si>
    <t>SO - 0001169</t>
  </si>
  <si>
    <t>SO - 0004062</t>
  </si>
  <si>
    <t>SO - 0004884</t>
  </si>
  <si>
    <t>SO - 0005855</t>
  </si>
  <si>
    <t>SO - 0006377</t>
  </si>
  <si>
    <t>SO - 0007140</t>
  </si>
  <si>
    <t>SO - 0008184</t>
  </si>
  <si>
    <t>SO - 0009788</t>
  </si>
  <si>
    <t>SO - 0008874</t>
  </si>
  <si>
    <t>SO - 0009093</t>
  </si>
  <si>
    <t>SO - 0001358</t>
  </si>
  <si>
    <t>SO - 0001447</t>
  </si>
  <si>
    <t>SO - 0006895</t>
  </si>
  <si>
    <t>SO - 0006911</t>
  </si>
  <si>
    <t>SO - 0009027</t>
  </si>
  <si>
    <t>SO - 0009217</t>
  </si>
  <si>
    <t>SO - 000752</t>
  </si>
  <si>
    <t>SO - 0004374</t>
  </si>
  <si>
    <t>Shiseido Ltd</t>
  </si>
  <si>
    <t>SO - 0005484</t>
  </si>
  <si>
    <t>SO - 0006989</t>
  </si>
  <si>
    <t>SO - 0007272</t>
  </si>
  <si>
    <t>SO - 0007454</t>
  </si>
  <si>
    <t>SO - 0009715</t>
  </si>
  <si>
    <t>SO - 0010418</t>
  </si>
  <si>
    <t>SO - 0001947</t>
  </si>
  <si>
    <t>SO - 0002607</t>
  </si>
  <si>
    <t>SO - 0003061</t>
  </si>
  <si>
    <t>SO - 0003687</t>
  </si>
  <si>
    <t>SO - 0006057</t>
  </si>
  <si>
    <t>SO - 0007243</t>
  </si>
  <si>
    <t>SO - 0007403</t>
  </si>
  <si>
    <t>SO - 0008805</t>
  </si>
  <si>
    <t>SO - 0009020</t>
  </si>
  <si>
    <t>SO - 000658</t>
  </si>
  <si>
    <t>SO - 0003349</t>
  </si>
  <si>
    <t>SO - 0004079</t>
  </si>
  <si>
    <t>SO - 0008015</t>
  </si>
  <si>
    <t>SO - 0010307</t>
  </si>
  <si>
    <t>SO - 0009242</t>
  </si>
  <si>
    <t>SO - 0009935</t>
  </si>
  <si>
    <t>SO - 000287</t>
  </si>
  <si>
    <t>SO - 000317</t>
  </si>
  <si>
    <t>SO - 0007578</t>
  </si>
  <si>
    <t>SO - 0003201</t>
  </si>
  <si>
    <t>SO - 0004007</t>
  </si>
  <si>
    <t>SO - 0004213</t>
  </si>
  <si>
    <t>SO - 0007891</t>
  </si>
  <si>
    <t>SO - 0009136</t>
  </si>
  <si>
    <t>SO - 000357</t>
  </si>
  <si>
    <t>SO - 0002360</t>
  </si>
  <si>
    <t>SO - 0004492</t>
  </si>
  <si>
    <t>SO - 0004933</t>
  </si>
  <si>
    <t>SO - 0006987</t>
  </si>
  <si>
    <t>SO - 0007377</t>
  </si>
  <si>
    <t>SO - 0009618</t>
  </si>
  <si>
    <t>SO - 0009227</t>
  </si>
  <si>
    <t>SO - 0008434</t>
  </si>
  <si>
    <t>SO - 0009911</t>
  </si>
  <si>
    <t>SO - 000215</t>
  </si>
  <si>
    <t>SO - 0001497</t>
  </si>
  <si>
    <t>SO - 0006863</t>
  </si>
  <si>
    <t>SO - 0007597</t>
  </si>
  <si>
    <t>SO - 0007840</t>
  </si>
  <si>
    <t>Brainspher Ltd</t>
  </si>
  <si>
    <t>SO - 0009480</t>
  </si>
  <si>
    <t>SO - 000713</t>
  </si>
  <si>
    <t>SO - 000753</t>
  </si>
  <si>
    <t>SO - 0001498</t>
  </si>
  <si>
    <t>SO - 0002912</t>
  </si>
  <si>
    <t>SO - 0003759</t>
  </si>
  <si>
    <t>SO - 0005038</t>
  </si>
  <si>
    <t>SO - 0007327</t>
  </si>
  <si>
    <t>SO - 0007943</t>
  </si>
  <si>
    <t>SO - 0009745</t>
  </si>
  <si>
    <t>SO - 0010286</t>
  </si>
  <si>
    <t>SO - 0008357</t>
  </si>
  <si>
    <t>SO - 0008446</t>
  </si>
  <si>
    <t>SO - 0010566</t>
  </si>
  <si>
    <t>SO - 0010718</t>
  </si>
  <si>
    <t>SO - 000414</t>
  </si>
  <si>
    <t>SO - 0001312</t>
  </si>
  <si>
    <t>SO - 0002584</t>
  </si>
  <si>
    <t>SO - 0002654</t>
  </si>
  <si>
    <t>SO - 0006918</t>
  </si>
  <si>
    <t>SO - 0007246</t>
  </si>
  <si>
    <t>SO - 0008542</t>
  </si>
  <si>
    <t>SO - 000622</t>
  </si>
  <si>
    <t>SO - 0004748</t>
  </si>
  <si>
    <t>SO - 0006588</t>
  </si>
  <si>
    <t>SO - 0010160</t>
  </si>
  <si>
    <t>SO - 0001194</t>
  </si>
  <si>
    <t>SO - 0002501</t>
  </si>
  <si>
    <t>SO - 0003247</t>
  </si>
  <si>
    <t>SO - 0001227</t>
  </si>
  <si>
    <t>SO - 0002710</t>
  </si>
  <si>
    <t>SO - 0002746</t>
  </si>
  <si>
    <t>SO - 0004423</t>
  </si>
  <si>
    <t>Aromaticos Company</t>
  </si>
  <si>
    <t>SO - 0006030</t>
  </si>
  <si>
    <t>SO - 0009605</t>
  </si>
  <si>
    <t>SO - 0010319</t>
  </si>
  <si>
    <t>SO - 0002373</t>
  </si>
  <si>
    <t>SO - 0002530</t>
  </si>
  <si>
    <t>SO - 0005238</t>
  </si>
  <si>
    <t>SO - 0006439</t>
  </si>
  <si>
    <t>SO - 0006525</t>
  </si>
  <si>
    <t>SO - 0008313</t>
  </si>
  <si>
    <t>SO - 0010535</t>
  </si>
  <si>
    <t>SO - 0008129</t>
  </si>
  <si>
    <t>SO - 0002460</t>
  </si>
  <si>
    <t>SO - 0002835</t>
  </si>
  <si>
    <t>SO - 0003483</t>
  </si>
  <si>
    <t>SO - 0004219</t>
  </si>
  <si>
    <t>SO - 0005212</t>
  </si>
  <si>
    <t>SO - 0005502</t>
  </si>
  <si>
    <t>SO - 0005747</t>
  </si>
  <si>
    <t>SO - 0008266</t>
  </si>
  <si>
    <t>SO - 0009916</t>
  </si>
  <si>
    <t>SO - 0002493</t>
  </si>
  <si>
    <t>SO - 0002558</t>
  </si>
  <si>
    <t>SO - 0003854</t>
  </si>
  <si>
    <t>SO - 0005015</t>
  </si>
  <si>
    <t>SO - 0007873</t>
  </si>
  <si>
    <t>SO - 0008723</t>
  </si>
  <si>
    <t>SO - 000916</t>
  </si>
  <si>
    <t>SO - 0001216</t>
  </si>
  <si>
    <t>SO - 0002368</t>
  </si>
  <si>
    <t>SO - 0003459</t>
  </si>
  <si>
    <t>SO - 0007724</t>
  </si>
  <si>
    <t>SO - 0008848</t>
  </si>
  <si>
    <t>SO - 0010309</t>
  </si>
  <si>
    <t>SO - 0009761</t>
  </si>
  <si>
    <t>SO - 0009782</t>
  </si>
  <si>
    <t>SO - 0005583</t>
  </si>
  <si>
    <t>SO - 0006299</t>
  </si>
  <si>
    <t>SO - 0002534</t>
  </si>
  <si>
    <t>SO - 0003809</t>
  </si>
  <si>
    <t>SO - 0005333</t>
  </si>
  <si>
    <t>SO - 0005438</t>
  </si>
  <si>
    <t>SO - 0008050</t>
  </si>
  <si>
    <t>SO - 0009704</t>
  </si>
  <si>
    <t>SO - 0009635</t>
  </si>
  <si>
    <t>SO - 0001143</t>
  </si>
  <si>
    <t>SO - 0001840</t>
  </si>
  <si>
    <t>SO - 0004210</t>
  </si>
  <si>
    <t>SO - 0005687</t>
  </si>
  <si>
    <t>SO - 0005817</t>
  </si>
  <si>
    <t>SO - 0006568</t>
  </si>
  <si>
    <t>SO - 0006825</t>
  </si>
  <si>
    <t>SO - 0010472</t>
  </si>
  <si>
    <t>SO - 0008632</t>
  </si>
  <si>
    <t>SO - 000794</t>
  </si>
  <si>
    <t>SO - 0001014</t>
  </si>
  <si>
    <t>SO - 0001381</t>
  </si>
  <si>
    <t>SO - 0001921</t>
  </si>
  <si>
    <t>SO - 0007814</t>
  </si>
  <si>
    <t>SO - 0008204</t>
  </si>
  <si>
    <t>SO - 0001327</t>
  </si>
  <si>
    <t>SO - 0003166</t>
  </si>
  <si>
    <t>SO - 0004708</t>
  </si>
  <si>
    <t>SO - 0005832</t>
  </si>
  <si>
    <t>SO - 0010496</t>
  </si>
  <si>
    <t>SO - 000596</t>
  </si>
  <si>
    <t>SO - 0002034</t>
  </si>
  <si>
    <t>SO - 0003554</t>
  </si>
  <si>
    <t>SO - 0004597</t>
  </si>
  <si>
    <t>SO - 0007474</t>
  </si>
  <si>
    <t>SO - 0010551</t>
  </si>
  <si>
    <t>SO - 0001646</t>
  </si>
  <si>
    <t>SO - 0004077</t>
  </si>
  <si>
    <t>SO - 0004197</t>
  </si>
  <si>
    <t>SO - 0006389</t>
  </si>
  <si>
    <t>SO - 0006607</t>
  </si>
  <si>
    <t>SO - 0007200</t>
  </si>
  <si>
    <t>SO - 0008264</t>
  </si>
  <si>
    <t>SO - 000783</t>
  </si>
  <si>
    <t>SO - 0002567</t>
  </si>
  <si>
    <t>SO - 0003570</t>
  </si>
  <si>
    <t>SO - 0004146</t>
  </si>
  <si>
    <t>SO - 0005017</t>
  </si>
  <si>
    <t>SO - 0005917</t>
  </si>
  <si>
    <t>SO - 0009250</t>
  </si>
  <si>
    <t>SO - 0009970</t>
  </si>
  <si>
    <t>SO - 0009700</t>
  </si>
  <si>
    <t>SO - 0001869</t>
  </si>
  <si>
    <t>SO - 0003825</t>
  </si>
  <si>
    <t>SO - 0008692</t>
  </si>
  <si>
    <t>SO - 0001655</t>
  </si>
  <si>
    <t>SO - 0002960</t>
  </si>
  <si>
    <t>SO - 0003053</t>
  </si>
  <si>
    <t>SO - 0005445</t>
  </si>
  <si>
    <t>SO - 0005637</t>
  </si>
  <si>
    <t>SO - 0006676</t>
  </si>
  <si>
    <t>SO - 0007151</t>
  </si>
  <si>
    <t>SO - 0007637</t>
  </si>
  <si>
    <t>NE</t>
  </si>
  <si>
    <t>Nebraska</t>
  </si>
  <si>
    <t>SO - 0010001</t>
  </si>
  <si>
    <t>WY</t>
  </si>
  <si>
    <t>Wyoming</t>
  </si>
  <si>
    <t>SO - 0008272</t>
  </si>
  <si>
    <t>SO - 000467</t>
  </si>
  <si>
    <t>SO - 0006118</t>
  </si>
  <si>
    <t>SO - 0006181</t>
  </si>
  <si>
    <t>SO - 0006609</t>
  </si>
  <si>
    <t>SO - 0008065</t>
  </si>
  <si>
    <t>SO - 000221</t>
  </si>
  <si>
    <t>SO - 0001430</t>
  </si>
  <si>
    <t>SO - 0002083</t>
  </si>
  <si>
    <t>SO - 0002318</t>
  </si>
  <si>
    <t>SO - 0003696</t>
  </si>
  <si>
    <t>SO - 0008492</t>
  </si>
  <si>
    <t>SO - 0009928</t>
  </si>
  <si>
    <t>SO - 0009059</t>
  </si>
  <si>
    <t>SO - 000509</t>
  </si>
  <si>
    <t>SO - 0004669</t>
  </si>
  <si>
    <t>SO - 0004693</t>
  </si>
  <si>
    <t>SO - 0006625</t>
  </si>
  <si>
    <t>SO - 0009281</t>
  </si>
  <si>
    <t>SO - 0008192</t>
  </si>
  <si>
    <t>SO - 0010162</t>
  </si>
  <si>
    <t>SO - 000404</t>
  </si>
  <si>
    <t>SO - 000838</t>
  </si>
  <si>
    <t>SO - 0004279</t>
  </si>
  <si>
    <t>SO - 0004543</t>
  </si>
  <si>
    <t>SO - 0005188</t>
  </si>
  <si>
    <t>SO - 0005565</t>
  </si>
  <si>
    <t>SO - 0007111</t>
  </si>
  <si>
    <t>SO - 0007448</t>
  </si>
  <si>
    <t>SO - 0008807</t>
  </si>
  <si>
    <t>SO - 000639</t>
  </si>
  <si>
    <t>SO - 0001560</t>
  </si>
  <si>
    <t>SO - 0006115</t>
  </si>
  <si>
    <t>SO - 0006888</t>
  </si>
  <si>
    <t>SO - 0007433</t>
  </si>
  <si>
    <t>SO - 0004610</t>
  </si>
  <si>
    <t>SO - 0004811</t>
  </si>
  <si>
    <t>SO - 0005520</t>
  </si>
  <si>
    <t>SO - 0005660</t>
  </si>
  <si>
    <t>SO - 0009578</t>
  </si>
  <si>
    <t>SO - 0008499</t>
  </si>
  <si>
    <t>SO - 000334</t>
  </si>
  <si>
    <t>SO - 0001026</t>
  </si>
  <si>
    <t>SO - 0001260</t>
  </si>
  <si>
    <t>SO - 0003373</t>
  </si>
  <si>
    <t>SO - 0004087</t>
  </si>
  <si>
    <t>SO - 0004469</t>
  </si>
  <si>
    <t>SO - 0004885</t>
  </si>
  <si>
    <t>SO - 0005309</t>
  </si>
  <si>
    <t>SO - 0006281</t>
  </si>
  <si>
    <t>SO - 0006855</t>
  </si>
  <si>
    <t>SO - 0006920</t>
  </si>
  <si>
    <t>SO - 0007223</t>
  </si>
  <si>
    <t>SO - 0010416</t>
  </si>
  <si>
    <t>SO - 0002020</t>
  </si>
  <si>
    <t>SO - 0002126</t>
  </si>
  <si>
    <t>SO - 0002196</t>
  </si>
  <si>
    <t>SO - 0003643</t>
  </si>
  <si>
    <t>SO - 0004846</t>
  </si>
  <si>
    <t>SO - 0007078</t>
  </si>
  <si>
    <t>SO - 0009877</t>
  </si>
  <si>
    <t>SO - 000132</t>
  </si>
  <si>
    <t>SO - 0001073</t>
  </si>
  <si>
    <t>SO - 0001771</t>
  </si>
  <si>
    <t>SO - 0002325</t>
  </si>
  <si>
    <t>SO - 0002762</t>
  </si>
  <si>
    <t>SO - 0005078</t>
  </si>
  <si>
    <t>SO - 0010546</t>
  </si>
  <si>
    <t>SO - 0010146</t>
  </si>
  <si>
    <t>SO - 0009374</t>
  </si>
  <si>
    <t>SO - 0009276</t>
  </si>
  <si>
    <t>SO - 0010215</t>
  </si>
  <si>
    <t>SO - 000879</t>
  </si>
  <si>
    <t>SO - 0002448</t>
  </si>
  <si>
    <t>SO - 0005521</t>
  </si>
  <si>
    <t>SO - 0007546</t>
  </si>
  <si>
    <t>SO - 0007785</t>
  </si>
  <si>
    <t>SO - 0001508</t>
  </si>
  <si>
    <t>SO - 0005802</t>
  </si>
  <si>
    <t>SO - 0006745</t>
  </si>
  <si>
    <t>SO - 0008037</t>
  </si>
  <si>
    <t>SO - 0009845</t>
  </si>
  <si>
    <t>SO - 0010053</t>
  </si>
  <si>
    <t>SO - 0001700</t>
  </si>
  <si>
    <t>SO - 0002062</t>
  </si>
  <si>
    <t>SO - 0004304</t>
  </si>
  <si>
    <t>SO - 0004342</t>
  </si>
  <si>
    <t>SO - 0004646</t>
  </si>
  <si>
    <t>SO - 0005137</t>
  </si>
  <si>
    <t>SO - 0005903</t>
  </si>
  <si>
    <t>SO - 0006185</t>
  </si>
  <si>
    <t>SO - 0003356</t>
  </si>
  <si>
    <t>SO - 0004229</t>
  </si>
  <si>
    <t>SO - 0006146</t>
  </si>
  <si>
    <t>SO - 0006894</t>
  </si>
  <si>
    <t>SO - 0010467</t>
  </si>
  <si>
    <t>SO - 0009760</t>
  </si>
  <si>
    <t>SO - 0002712</t>
  </si>
  <si>
    <t>SO - 0004997</t>
  </si>
  <si>
    <t>SO - 0006064</t>
  </si>
  <si>
    <t>SO - 0007530</t>
  </si>
  <si>
    <t>SO - 0008008</t>
  </si>
  <si>
    <t>SO - 0009162</t>
  </si>
  <si>
    <t>SO - 0010410</t>
  </si>
  <si>
    <t>SO - 000114</t>
  </si>
  <si>
    <t>SO - 0001520</t>
  </si>
  <si>
    <t>SO - 0002739</t>
  </si>
  <si>
    <t>SO - 0003199</t>
  </si>
  <si>
    <t>SO - 0004141</t>
  </si>
  <si>
    <t>SO - 0008348</t>
  </si>
  <si>
    <t>SO - 0009428</t>
  </si>
  <si>
    <t>SO - 0008533</t>
  </si>
  <si>
    <t>SO - 0010087</t>
  </si>
  <si>
    <t>SO - 0008318</t>
  </si>
  <si>
    <t>SO - 000515</t>
  </si>
  <si>
    <t>SO - 0002755</t>
  </si>
  <si>
    <t>SO - 0004444</t>
  </si>
  <si>
    <t>SO - 0006252</t>
  </si>
  <si>
    <t>SO - 0007542</t>
  </si>
  <si>
    <t>SO - 0007743</t>
  </si>
  <si>
    <t>SO - 0001225</t>
  </si>
  <si>
    <t>SO - 0002311</t>
  </si>
  <si>
    <t>SO - 0002432</t>
  </si>
  <si>
    <t>SO - 0003058</t>
  </si>
  <si>
    <t>SO - 0008792</t>
  </si>
  <si>
    <t>SO - 0009455</t>
  </si>
  <si>
    <t>SO - 0008662</t>
  </si>
  <si>
    <t>Twitterbri Ltd</t>
  </si>
  <si>
    <t>SO - 0009076</t>
  </si>
  <si>
    <t>SO - 0001867</t>
  </si>
  <si>
    <t>SO - 0002641</t>
  </si>
  <si>
    <t>SO - 0002935</t>
  </si>
  <si>
    <t>SO - 0004608</t>
  </si>
  <si>
    <t>SO - 0006923</t>
  </si>
  <si>
    <t>SO - 0002303</t>
  </si>
  <si>
    <t>SD</t>
  </si>
  <si>
    <t>South Dakota</t>
  </si>
  <si>
    <t>SO - 0003173</t>
  </si>
  <si>
    <t>SO - 0007180</t>
  </si>
  <si>
    <t>SO - 000514</t>
  </si>
  <si>
    <t>SO - 000833</t>
  </si>
  <si>
    <t>SO - 0001775</t>
  </si>
  <si>
    <t>SO - 0003654</t>
  </si>
  <si>
    <t>SO - 0005217</t>
  </si>
  <si>
    <t>SO - 0006198</t>
  </si>
  <si>
    <t>SO - 0006726</t>
  </si>
  <si>
    <t>SO - 0008093</t>
  </si>
  <si>
    <t>SO - 0008490</t>
  </si>
  <si>
    <t>SO - 000816</t>
  </si>
  <si>
    <t>SO - 0001162</t>
  </si>
  <si>
    <t>SO - 0005495</t>
  </si>
  <si>
    <t>SO - 0009079</t>
  </si>
  <si>
    <t>SO - 0008498</t>
  </si>
  <si>
    <t>SO - 0009481</t>
  </si>
  <si>
    <t>SO - 000990</t>
  </si>
  <si>
    <t>SO - 0005136</t>
  </si>
  <si>
    <t>SO - 0005770</t>
  </si>
  <si>
    <t>SO - 0006210</t>
  </si>
  <si>
    <t>SO - 0006950</t>
  </si>
  <si>
    <t>SO - 0007045</t>
  </si>
  <si>
    <t>SO - 0009476</t>
  </si>
  <si>
    <t>SO - 0009382</t>
  </si>
  <si>
    <t>SO - 0009048</t>
  </si>
  <si>
    <t>SO - 0001825</t>
  </si>
  <si>
    <t>SO - 0002423</t>
  </si>
  <si>
    <t>SO - 0002498</t>
  </si>
  <si>
    <t>SO - 0002969</t>
  </si>
  <si>
    <t>SO - 0003295</t>
  </si>
  <si>
    <t>SO - 0004073</t>
  </si>
  <si>
    <t>SO - 0005398</t>
  </si>
  <si>
    <t>SO - 0007797</t>
  </si>
  <si>
    <t>SO - 0008061</t>
  </si>
  <si>
    <t>SO - 0008432</t>
  </si>
  <si>
    <t>SO - 0002651</t>
  </si>
  <si>
    <t>SO - 0002779</t>
  </si>
  <si>
    <t>SO - 0005949</t>
  </si>
  <si>
    <t>SO - 0006058</t>
  </si>
  <si>
    <t>SO - 0006643</t>
  </si>
  <si>
    <t>SO - 0008403</t>
  </si>
  <si>
    <t>SO - 0001512</t>
  </si>
  <si>
    <t>SO - 0002161</t>
  </si>
  <si>
    <t>SO - 0002274</t>
  </si>
  <si>
    <t>Roberts Company</t>
  </si>
  <si>
    <t>SO - 0003649</t>
  </si>
  <si>
    <t>SO - 0007104</t>
  </si>
  <si>
    <t>SO - 0008110</t>
  </si>
  <si>
    <t>SO - 000173</t>
  </si>
  <si>
    <t>SO - 0002025</t>
  </si>
  <si>
    <t>SO - 0005875</t>
  </si>
  <si>
    <t>SO - 0006788</t>
  </si>
  <si>
    <t>SO - 0009430</t>
  </si>
  <si>
    <t>SO - 0010220</t>
  </si>
  <si>
    <t>SO - 0009173</t>
  </si>
  <si>
    <t>SO - 0009688</t>
  </si>
  <si>
    <t>SO - 000343</t>
  </si>
  <si>
    <t>SO - 000695</t>
  </si>
  <si>
    <t>SO - 0001549</t>
  </si>
  <si>
    <t>SO - 0002900</t>
  </si>
  <si>
    <t>SO - 0004018</t>
  </si>
  <si>
    <t>SO - 0004234</t>
  </si>
  <si>
    <t>SO - 0006099</t>
  </si>
  <si>
    <t>SO - 0006433</t>
  </si>
  <si>
    <t>SO - 0008277</t>
  </si>
  <si>
    <t>SO - 0010529</t>
  </si>
  <si>
    <t>SO - 0010110</t>
  </si>
  <si>
    <t>SO - 000259</t>
  </si>
  <si>
    <t>SO - 0001207</t>
  </si>
  <si>
    <t>SO - 0001742</t>
  </si>
  <si>
    <t>SO - 0003489</t>
  </si>
  <si>
    <t>SO - 0005281</t>
  </si>
  <si>
    <t>SO - 0006697</t>
  </si>
  <si>
    <t>SO - 000865</t>
  </si>
  <si>
    <t>SO - 0002086</t>
  </si>
  <si>
    <t>SO - 0003566</t>
  </si>
  <si>
    <t>SO - 0003732</t>
  </si>
  <si>
    <t>SO - 0001815</t>
  </si>
  <si>
    <t>SO - 0002286</t>
  </si>
  <si>
    <t>SO - 0003350</t>
  </si>
  <si>
    <t>SO - 0005395</t>
  </si>
  <si>
    <t>SO - 0005982</t>
  </si>
  <si>
    <t>SO - 0006234</t>
  </si>
  <si>
    <t>SO - 0006266</t>
  </si>
  <si>
    <t>SO - 0008670</t>
  </si>
  <si>
    <t>SO - 0008915</t>
  </si>
  <si>
    <t>SO - 000377</t>
  </si>
  <si>
    <t>SO - 0001053</t>
  </si>
  <si>
    <t>SO - 0002245</t>
  </si>
  <si>
    <t>SO - 0004276</t>
  </si>
  <si>
    <t>SO - 0004549</t>
  </si>
  <si>
    <t>SO - 0009934</t>
  </si>
  <si>
    <t>SO - 0010616</t>
  </si>
  <si>
    <t>SO - 0008573</t>
  </si>
  <si>
    <t>SO - 0008957</t>
  </si>
  <si>
    <t>SO - 0008379</t>
  </si>
  <si>
    <t>SO - 0001873</t>
  </si>
  <si>
    <t>SO - 0002138</t>
  </si>
  <si>
    <t>SO - 0002206</t>
  </si>
  <si>
    <t>SO - 0004064</t>
  </si>
  <si>
    <t>SO - 0004566</t>
  </si>
  <si>
    <t>SO - 0004601</t>
  </si>
  <si>
    <t>SO - 0008423</t>
  </si>
  <si>
    <t>SO - 000851</t>
  </si>
  <si>
    <t>SO - 0002559</t>
  </si>
  <si>
    <t>SO - 0002683</t>
  </si>
  <si>
    <t>SO - 0006543</t>
  </si>
  <si>
    <t>SO - 0007613</t>
  </si>
  <si>
    <t>SO - 0001350</t>
  </si>
  <si>
    <t>SO - 0001517</t>
  </si>
  <si>
    <t>SO - 0001861</t>
  </si>
  <si>
    <t>SO - 0002845</t>
  </si>
  <si>
    <t>SO - 0005857</t>
  </si>
  <si>
    <t>SO - 0010071</t>
  </si>
  <si>
    <t>SO - 0008966</t>
  </si>
  <si>
    <t>SO - 0002591</t>
  </si>
  <si>
    <t>SO - 0004045</t>
  </si>
  <si>
    <t>SO - 0004290</t>
  </si>
  <si>
    <t>SO - 0004358</t>
  </si>
  <si>
    <t>SO - 000407</t>
  </si>
  <si>
    <t>SO - 000821</t>
  </si>
  <si>
    <t>SO - 0003595</t>
  </si>
  <si>
    <t>SO - 0006673</t>
  </si>
  <si>
    <t>SO - 0006837</t>
  </si>
  <si>
    <t>SO - 0009870</t>
  </si>
  <si>
    <t>SO - 000279</t>
  </si>
  <si>
    <t>SO - 0003167</t>
  </si>
  <si>
    <t>SO - 0004555</t>
  </si>
  <si>
    <t>SO - 0004668</t>
  </si>
  <si>
    <t>SO - 0005394</t>
  </si>
  <si>
    <t>SO - 0005627</t>
  </si>
  <si>
    <t>SO - 0006306</t>
  </si>
  <si>
    <t>SO - 0006638</t>
  </si>
  <si>
    <t>SO - 0006680</t>
  </si>
  <si>
    <t>SO - 0007080</t>
  </si>
  <si>
    <t>SO - 0007512</t>
  </si>
  <si>
    <t>SO - 0002353</t>
  </si>
  <si>
    <t>SO - 0004940</t>
  </si>
  <si>
    <t>SO - 0007024</t>
  </si>
  <si>
    <t>SO - 0007876</t>
  </si>
  <si>
    <t>SO - 0008888</t>
  </si>
  <si>
    <t>SO - 0009903</t>
  </si>
  <si>
    <t>SO - 0003204</t>
  </si>
  <si>
    <t>SO - 0004148</t>
  </si>
  <si>
    <t>SO - 0007027</t>
  </si>
  <si>
    <t>SO - 0007348</t>
  </si>
  <si>
    <t>SO - 0007822</t>
  </si>
  <si>
    <t>SO - 0009942</t>
  </si>
  <si>
    <t>SO - 000309</t>
  </si>
  <si>
    <t>SO - 0004507</t>
  </si>
  <si>
    <t>SO - 0010274</t>
  </si>
  <si>
    <t>SO - 0008978</t>
  </si>
  <si>
    <t>SO - 0002915</t>
  </si>
  <si>
    <t>SO - 0004002</t>
  </si>
  <si>
    <t>SO - 0004370</t>
  </si>
  <si>
    <t>SO - 0006969</t>
  </si>
  <si>
    <t>SO - 0007442</t>
  </si>
  <si>
    <t>SO - 0003512</t>
  </si>
  <si>
    <t>SO - 0006090</t>
  </si>
  <si>
    <t>SO - 0006129</t>
  </si>
  <si>
    <t>SO - 0006529</t>
  </si>
  <si>
    <t>SO - 0008172</t>
  </si>
  <si>
    <t>SO - 000823</t>
  </si>
  <si>
    <t>SO - 0001939</t>
  </si>
  <si>
    <t>SO - 0002543</t>
  </si>
  <si>
    <t>SO - 0003099</t>
  </si>
  <si>
    <t>SO - 0009894</t>
  </si>
  <si>
    <t>SO - 000178</t>
  </si>
  <si>
    <t>SO - 0001404</t>
  </si>
  <si>
    <t>SO - 0001772</t>
  </si>
  <si>
    <t>SO - 0002282</t>
  </si>
  <si>
    <t>SO - 0005370</t>
  </si>
  <si>
    <t>SO - 0005457</t>
  </si>
  <si>
    <t>SO - 0008715</t>
  </si>
  <si>
    <t>SO - 000947</t>
  </si>
  <si>
    <t>SO - 0001609</t>
  </si>
  <si>
    <t>SO - 0002223</t>
  </si>
  <si>
    <t>SO - 0002732</t>
  </si>
  <si>
    <t>SO - 0003530</t>
  </si>
  <si>
    <t>SO - 0003899</t>
  </si>
  <si>
    <t>SO - 0004043</t>
  </si>
  <si>
    <t>SO - 0004838</t>
  </si>
  <si>
    <t>SO - 0005104</t>
  </si>
  <si>
    <t>SO - 0006849</t>
  </si>
  <si>
    <t>SO - 0007378</t>
  </si>
  <si>
    <t>SO - 0009427</t>
  </si>
  <si>
    <t>SO - 0008577</t>
  </si>
  <si>
    <t>SO - 0009773</t>
  </si>
  <si>
    <t>SO - 0001303</t>
  </si>
  <si>
    <t>SO - 0002269</t>
  </si>
  <si>
    <t>SO - 0003091</t>
  </si>
  <si>
    <t>SO - 0007592</t>
  </si>
  <si>
    <t>SO - 0010687</t>
  </si>
  <si>
    <t>SO - 0004504</t>
  </si>
  <si>
    <t>SO - 0005726</t>
  </si>
  <si>
    <t>SO - 0008989</t>
  </si>
  <si>
    <t>SO - 0010719</t>
  </si>
  <si>
    <t>SO - 000213</t>
  </si>
  <si>
    <t>SO - 0003015</t>
  </si>
  <si>
    <t>SO - 0003524</t>
  </si>
  <si>
    <t>SO - 0004785</t>
  </si>
  <si>
    <t>SO - 0004950</t>
  </si>
  <si>
    <t>SO - 0006829</t>
  </si>
  <si>
    <t>SO - 0009850</t>
  </si>
  <si>
    <t>Row Labels</t>
  </si>
  <si>
    <t>Total Revenue by Product</t>
  </si>
  <si>
    <t>Grand Total</t>
  </si>
  <si>
    <t>Average of quantity</t>
  </si>
  <si>
    <t>Week 1</t>
  </si>
  <si>
    <t>Week 2</t>
  </si>
  <si>
    <t>Week 3</t>
  </si>
  <si>
    <t>Week 4</t>
  </si>
  <si>
    <t>Week 5</t>
  </si>
  <si>
    <t>Total Sales by Week</t>
  </si>
  <si>
    <t>Column Labels</t>
  </si>
  <si>
    <t>Marketing Budget</t>
  </si>
  <si>
    <t>Product Name</t>
  </si>
  <si>
    <t>Units Sold</t>
  </si>
  <si>
    <t>product 24</t>
  </si>
  <si>
    <t xml:space="preserve">Product 9 </t>
  </si>
  <si>
    <t>Down</t>
  </si>
  <si>
    <t>product 23</t>
  </si>
  <si>
    <t>up@</t>
  </si>
  <si>
    <t>product25</t>
  </si>
  <si>
    <t>up</t>
  </si>
  <si>
    <t>Descriptive Statistics</t>
  </si>
  <si>
    <t>a) Total Revenue of Each Product</t>
  </si>
  <si>
    <t>b) Average Weekly units sold for Product 1 and Product 2</t>
  </si>
  <si>
    <t>c) Identify which week had the highest sales overall.</t>
  </si>
  <si>
    <t>Total Quantity</t>
  </si>
  <si>
    <t>Data Visualisation</t>
  </si>
  <si>
    <t>a) Line chart of weekly units sold for each product</t>
  </si>
  <si>
    <t>b)  Bar chart showing total revenue per product.</t>
  </si>
  <si>
    <t>c) Scatter plot: Marketing Spend vs Units Sold.</t>
  </si>
  <si>
    <t>Sales Performance Analysis</t>
  </si>
  <si>
    <t xml:space="preserve"> Data Analysis</t>
  </si>
  <si>
    <t>a. Does higher marketing spend correlate with more units sold?</t>
  </si>
  <si>
    <t>c. What insights can you derive about sales performance?</t>
  </si>
  <si>
    <t>b. Which product shows greater growth over the four weeks?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</si>
</sst>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_ &quot;₹&quot;\ * #,##0_ ;_ &quot;₹&quot;\ * \-#,##0_ ;_ &quot;₹&quot;\ * &quot;-&quot;??_ ;_ @_ "/>
    <numFmt numFmtId="166" formatCode="&quot;₹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/>
    <xf numFmtId="14" fontId="1" fillId="2" borderId="2" xfId="0" applyNumberFormat="1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164" fontId="1" fillId="2" borderId="2" xfId="0" applyNumberFormat="1" applyFont="1" applyFill="1" applyBorder="1"/>
    <xf numFmtId="165" fontId="1" fillId="2" borderId="2" xfId="0" applyNumberFormat="1" applyFont="1" applyFill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2" xfId="0" applyNumberFormat="1" applyFill="1" applyBorder="1"/>
    <xf numFmtId="0" fontId="0" fillId="3" borderId="2" xfId="0" applyFill="1" applyBorder="1"/>
    <xf numFmtId="1" fontId="0" fillId="3" borderId="2" xfId="0" applyNumberFormat="1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166" fontId="0" fillId="0" borderId="0" xfId="0" applyNumberFormat="1"/>
    <xf numFmtId="1" fontId="2" fillId="3" borderId="4" xfId="0" applyNumberFormat="1" applyFont="1" applyFill="1" applyBorder="1"/>
    <xf numFmtId="0" fontId="3" fillId="0" borderId="0" xfId="1"/>
    <xf numFmtId="0" fontId="0" fillId="0" borderId="0" xfId="0" pivotButton="1"/>
    <xf numFmtId="164" fontId="0" fillId="0" borderId="0" xfId="0" applyNumberForma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vertical="center"/>
    </dxf>
  </dxfs>
  <tableStyles count="0" defaultTableStyle="TableStyleMedium2" defaultPivotStyle="PivotStyleLight16"/>
  <colors>
    <mruColors>
      <color rgb="FF7DD3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weekly units sold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3FA6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rgbClr val="663300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F3FA6A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3FA6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66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3FA6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66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127115398104026E-2"/>
          <c:y val="0.11907350563120765"/>
          <c:w val="0.86352580806868962"/>
          <c:h val="0.74436215668693428"/>
        </c:manualLayout>
      </c:layout>
      <c:lineChart>
        <c:grouping val="standard"/>
        <c:varyColors val="0"/>
        <c:ser>
          <c:idx val="0"/>
          <c:order val="0"/>
          <c:tx>
            <c:v>Week 1</c:v>
          </c:tx>
          <c:spPr>
            <a:ln w="28575" cap="rnd">
              <a:solidFill>
                <a:srgbClr val="F3FA6A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116</c:v>
              </c:pt>
              <c:pt idx="1">
                <c:v>15</c:v>
              </c:pt>
              <c:pt idx="2">
                <c:v>70</c:v>
              </c:pt>
              <c:pt idx="3">
                <c:v>28</c:v>
              </c:pt>
              <c:pt idx="4">
                <c:v>183</c:v>
              </c:pt>
              <c:pt idx="5">
                <c:v>188</c:v>
              </c:pt>
              <c:pt idx="6">
                <c:v>134</c:v>
              </c:pt>
              <c:pt idx="7">
                <c:v>80</c:v>
              </c:pt>
              <c:pt idx="8">
                <c:v>63</c:v>
              </c:pt>
              <c:pt idx="9">
                <c:v>89</c:v>
              </c:pt>
              <c:pt idx="10">
                <c:v>24</c:v>
              </c:pt>
              <c:pt idx="11">
                <c:v>75</c:v>
              </c:pt>
              <c:pt idx="12">
                <c:v>48</c:v>
              </c:pt>
              <c:pt idx="13">
                <c:v>24</c:v>
              </c:pt>
              <c:pt idx="14">
                <c:v>11</c:v>
              </c:pt>
              <c:pt idx="15">
                <c:v>25</c:v>
              </c:pt>
              <c:pt idx="16">
                <c:v>28</c:v>
              </c:pt>
              <c:pt idx="17">
                <c:v>220</c:v>
              </c:pt>
              <c:pt idx="18">
                <c:v>159</c:v>
              </c:pt>
              <c:pt idx="19">
                <c:v>29</c:v>
              </c:pt>
              <c:pt idx="20">
                <c:v>31</c:v>
              </c:pt>
              <c:pt idx="21">
                <c:v>16</c:v>
              </c:pt>
              <c:pt idx="22">
                <c:v>91</c:v>
              </c:pt>
              <c:pt idx="23">
                <c:v>23</c:v>
              </c:pt>
              <c:pt idx="24">
                <c:v>73</c:v>
              </c:pt>
              <c:pt idx="25">
                <c:v>127</c:v>
              </c:pt>
              <c:pt idx="26">
                <c:v>97</c:v>
              </c:pt>
              <c:pt idx="27">
                <c:v>35</c:v>
              </c:pt>
              <c:pt idx="28">
                <c:v>52</c:v>
              </c:pt>
              <c:pt idx="29">
                <c:v>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C26-435D-A03F-E7A314FF4CCE}"/>
            </c:ext>
          </c:extLst>
        </c:ser>
        <c:ser>
          <c:idx val="1"/>
          <c:order val="1"/>
          <c:tx>
            <c:v>Week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64</c:v>
              </c:pt>
              <c:pt idx="1">
                <c:v>26</c:v>
              </c:pt>
              <c:pt idx="2">
                <c:v>62</c:v>
              </c:pt>
              <c:pt idx="3">
                <c:v>46</c:v>
              </c:pt>
              <c:pt idx="4">
                <c:v>136</c:v>
              </c:pt>
              <c:pt idx="5">
                <c:v>184</c:v>
              </c:pt>
              <c:pt idx="6">
                <c:v>81</c:v>
              </c:pt>
              <c:pt idx="7">
                <c:v>111</c:v>
              </c:pt>
              <c:pt idx="8">
                <c:v>51</c:v>
              </c:pt>
              <c:pt idx="9">
                <c:v>123</c:v>
              </c:pt>
              <c:pt idx="10">
                <c:v>55</c:v>
              </c:pt>
              <c:pt idx="11">
                <c:v>145</c:v>
              </c:pt>
              <c:pt idx="12">
                <c:v>65</c:v>
              </c:pt>
              <c:pt idx="13">
                <c:v>43</c:v>
              </c:pt>
              <c:pt idx="14">
                <c:v>54</c:v>
              </c:pt>
              <c:pt idx="15">
                <c:v>26</c:v>
              </c:pt>
              <c:pt idx="16">
                <c:v>36</c:v>
              </c:pt>
              <c:pt idx="17">
                <c:v>288</c:v>
              </c:pt>
              <c:pt idx="18">
                <c:v>141</c:v>
              </c:pt>
              <c:pt idx="19">
                <c:v>27</c:v>
              </c:pt>
              <c:pt idx="20">
                <c:v>17</c:v>
              </c:pt>
              <c:pt idx="21">
                <c:v>57</c:v>
              </c:pt>
              <c:pt idx="22">
                <c:v>72</c:v>
              </c:pt>
              <c:pt idx="23">
                <c:v>35</c:v>
              </c:pt>
              <c:pt idx="24">
                <c:v>104</c:v>
              </c:pt>
              <c:pt idx="25">
                <c:v>63</c:v>
              </c:pt>
              <c:pt idx="26">
                <c:v>107</c:v>
              </c:pt>
              <c:pt idx="27">
                <c:v>12</c:v>
              </c:pt>
              <c:pt idx="28">
                <c:v>56</c:v>
              </c:pt>
              <c:pt idx="29">
                <c:v>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C26-435D-A03F-E7A314FF4CCE}"/>
            </c:ext>
          </c:extLst>
        </c:ser>
        <c:ser>
          <c:idx val="2"/>
          <c:order val="2"/>
          <c:tx>
            <c:v>Week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68</c:v>
              </c:pt>
              <c:pt idx="1">
                <c:v>26</c:v>
              </c:pt>
              <c:pt idx="2">
                <c:v>23</c:v>
              </c:pt>
              <c:pt idx="3">
                <c:v>36</c:v>
              </c:pt>
              <c:pt idx="4">
                <c:v>155</c:v>
              </c:pt>
              <c:pt idx="5">
                <c:v>163</c:v>
              </c:pt>
              <c:pt idx="6">
                <c:v>159</c:v>
              </c:pt>
              <c:pt idx="7">
                <c:v>71</c:v>
              </c:pt>
              <c:pt idx="8">
                <c:v>103</c:v>
              </c:pt>
              <c:pt idx="9">
                <c:v>81</c:v>
              </c:pt>
              <c:pt idx="10">
                <c:v>56</c:v>
              </c:pt>
              <c:pt idx="11">
                <c:v>104</c:v>
              </c:pt>
              <c:pt idx="12">
                <c:v>77</c:v>
              </c:pt>
              <c:pt idx="13">
                <c:v>41</c:v>
              </c:pt>
              <c:pt idx="14">
                <c:v>26</c:v>
              </c:pt>
              <c:pt idx="15">
                <c:v>43</c:v>
              </c:pt>
              <c:pt idx="16">
                <c:v>17</c:v>
              </c:pt>
              <c:pt idx="17">
                <c:v>323</c:v>
              </c:pt>
              <c:pt idx="18">
                <c:v>269</c:v>
              </c:pt>
              <c:pt idx="19">
                <c:v>37</c:v>
              </c:pt>
              <c:pt idx="20">
                <c:v>12</c:v>
              </c:pt>
              <c:pt idx="21">
                <c:v>51</c:v>
              </c:pt>
              <c:pt idx="22">
                <c:v>134</c:v>
              </c:pt>
              <c:pt idx="23">
                <c:v>43</c:v>
              </c:pt>
              <c:pt idx="24">
                <c:v>57</c:v>
              </c:pt>
              <c:pt idx="25">
                <c:v>122</c:v>
              </c:pt>
              <c:pt idx="26">
                <c:v>105</c:v>
              </c:pt>
              <c:pt idx="27">
                <c:v>47</c:v>
              </c:pt>
              <c:pt idx="28">
                <c:v>30</c:v>
              </c:pt>
              <c:pt idx="29">
                <c:v>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C26-435D-A03F-E7A314FF4CCE}"/>
            </c:ext>
          </c:extLst>
        </c:ser>
        <c:ser>
          <c:idx val="3"/>
          <c:order val="3"/>
          <c:tx>
            <c:v>Week 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130</c:v>
              </c:pt>
              <c:pt idx="1">
                <c:v>40</c:v>
              </c:pt>
              <c:pt idx="2">
                <c:v>51</c:v>
              </c:pt>
              <c:pt idx="3">
                <c:v>46</c:v>
              </c:pt>
              <c:pt idx="4">
                <c:v>195</c:v>
              </c:pt>
              <c:pt idx="5">
                <c:v>173</c:v>
              </c:pt>
              <c:pt idx="6">
                <c:v>217</c:v>
              </c:pt>
              <c:pt idx="7">
                <c:v>70</c:v>
              </c:pt>
              <c:pt idx="8">
                <c:v>93</c:v>
              </c:pt>
              <c:pt idx="9">
                <c:v>113</c:v>
              </c:pt>
              <c:pt idx="10">
                <c:v>48</c:v>
              </c:pt>
              <c:pt idx="11">
                <c:v>133</c:v>
              </c:pt>
              <c:pt idx="12">
                <c:v>72</c:v>
              </c:pt>
              <c:pt idx="13">
                <c:v>77</c:v>
              </c:pt>
              <c:pt idx="14">
                <c:v>36</c:v>
              </c:pt>
              <c:pt idx="15">
                <c:v>26</c:v>
              </c:pt>
              <c:pt idx="16">
                <c:v>9</c:v>
              </c:pt>
              <c:pt idx="17">
                <c:v>305</c:v>
              </c:pt>
              <c:pt idx="18">
                <c:v>231</c:v>
              </c:pt>
              <c:pt idx="19">
                <c:v>45</c:v>
              </c:pt>
              <c:pt idx="20">
                <c:v>35</c:v>
              </c:pt>
              <c:pt idx="21">
                <c:v>16</c:v>
              </c:pt>
              <c:pt idx="22">
                <c:v>132</c:v>
              </c:pt>
              <c:pt idx="23">
                <c:v>26</c:v>
              </c:pt>
              <c:pt idx="24">
                <c:v>115</c:v>
              </c:pt>
              <c:pt idx="25">
                <c:v>154</c:v>
              </c:pt>
              <c:pt idx="26">
                <c:v>67</c:v>
              </c:pt>
              <c:pt idx="27">
                <c:v>56</c:v>
              </c:pt>
              <c:pt idx="28">
                <c:v>47</c:v>
              </c:pt>
              <c:pt idx="29">
                <c:v>24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C26-435D-A03F-E7A314FF4CCE}"/>
            </c:ext>
          </c:extLst>
        </c:ser>
        <c:ser>
          <c:idx val="4"/>
          <c:order val="4"/>
          <c:tx>
            <c:v>Week 5</c:v>
          </c:tx>
          <c:spPr>
            <a:ln w="28575" cap="rnd">
              <a:solidFill>
                <a:srgbClr val="663300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50</c:v>
              </c:pt>
              <c:pt idx="1">
                <c:v>34</c:v>
              </c:pt>
              <c:pt idx="2">
                <c:v>32</c:v>
              </c:pt>
              <c:pt idx="3">
                <c:v>16</c:v>
              </c:pt>
              <c:pt idx="4">
                <c:v>67</c:v>
              </c:pt>
              <c:pt idx="5">
                <c:v>64</c:v>
              </c:pt>
              <c:pt idx="6">
                <c:v>76</c:v>
              </c:pt>
              <c:pt idx="7">
                <c:v>33</c:v>
              </c:pt>
              <c:pt idx="8">
                <c:v>35</c:v>
              </c:pt>
              <c:pt idx="9">
                <c:v>39</c:v>
              </c:pt>
              <c:pt idx="10">
                <c:v>12</c:v>
              </c:pt>
              <c:pt idx="11">
                <c:v>60</c:v>
              </c:pt>
              <c:pt idx="12">
                <c:v>32</c:v>
              </c:pt>
              <c:pt idx="13">
                <c:v>14</c:v>
              </c:pt>
              <c:pt idx="14">
                <c:v>5</c:v>
              </c:pt>
              <c:pt idx="15">
                <c:v>0</c:v>
              </c:pt>
              <c:pt idx="16">
                <c:v>8</c:v>
              </c:pt>
              <c:pt idx="17">
                <c:v>84</c:v>
              </c:pt>
              <c:pt idx="18">
                <c:v>109</c:v>
              </c:pt>
              <c:pt idx="19">
                <c:v>25</c:v>
              </c:pt>
              <c:pt idx="20">
                <c:v>12</c:v>
              </c:pt>
              <c:pt idx="21">
                <c:v>22</c:v>
              </c:pt>
              <c:pt idx="22">
                <c:v>60</c:v>
              </c:pt>
              <c:pt idx="23">
                <c:v>10</c:v>
              </c:pt>
              <c:pt idx="24">
                <c:v>68</c:v>
              </c:pt>
              <c:pt idx="25">
                <c:v>68</c:v>
              </c:pt>
              <c:pt idx="26">
                <c:v>44</c:v>
              </c:pt>
              <c:pt idx="27">
                <c:v>15</c:v>
              </c:pt>
              <c:pt idx="28">
                <c:v>22</c:v>
              </c:pt>
              <c:pt idx="29">
                <c:v>12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9C26-435D-A03F-E7A314FF4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84560"/>
        <c:axId val="161492240"/>
      </c:lineChart>
      <c:catAx>
        <c:axId val="16148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61492240"/>
        <c:crosses val="autoZero"/>
        <c:auto val="1"/>
        <c:lblAlgn val="ctr"/>
        <c:lblOffset val="100"/>
        <c:noMultiLvlLbl val="0"/>
      </c:catAx>
      <c:valAx>
        <c:axId val="16149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6148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</a:t>
            </a:r>
            <a:r>
              <a:rPr lang="en-IN" baseline="0"/>
              <a:t> between </a:t>
            </a:r>
            <a:r>
              <a:rPr lang="en-IN"/>
              <a:t>Marketing Spend and</a:t>
            </a:r>
            <a:r>
              <a:rPr lang="en-IN" baseline="0"/>
              <a:t> Units Sold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[1]Sheet7!$G$133</c:f>
              <c:strCache>
                <c:ptCount val="1"/>
                <c:pt idx="0">
                  <c:v>Marketing Budget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[1]Sheet7!$F$134:$F$163</c:f>
              <c:numCache>
                <c:formatCode>General</c:formatCode>
                <c:ptCount val="30"/>
                <c:pt idx="0">
                  <c:v>1220</c:v>
                </c:pt>
                <c:pt idx="1">
                  <c:v>909</c:v>
                </c:pt>
                <c:pt idx="2">
                  <c:v>772</c:v>
                </c:pt>
                <c:pt idx="3">
                  <c:v>736</c:v>
                </c:pt>
                <c:pt idx="4">
                  <c:v>667</c:v>
                </c:pt>
                <c:pt idx="5">
                  <c:v>534</c:v>
                </c:pt>
                <c:pt idx="6">
                  <c:v>517</c:v>
                </c:pt>
                <c:pt idx="7">
                  <c:v>489</c:v>
                </c:pt>
                <c:pt idx="8">
                  <c:v>445</c:v>
                </c:pt>
                <c:pt idx="9">
                  <c:v>428</c:v>
                </c:pt>
                <c:pt idx="10">
                  <c:v>420</c:v>
                </c:pt>
                <c:pt idx="11">
                  <c:v>417</c:v>
                </c:pt>
                <c:pt idx="12">
                  <c:v>365</c:v>
                </c:pt>
                <c:pt idx="13">
                  <c:v>345</c:v>
                </c:pt>
                <c:pt idx="14">
                  <c:v>294</c:v>
                </c:pt>
                <c:pt idx="15">
                  <c:v>238</c:v>
                </c:pt>
                <c:pt idx="16">
                  <c:v>207</c:v>
                </c:pt>
                <c:pt idx="17">
                  <c:v>199</c:v>
                </c:pt>
                <c:pt idx="18">
                  <c:v>195</c:v>
                </c:pt>
                <c:pt idx="19">
                  <c:v>172</c:v>
                </c:pt>
                <c:pt idx="20">
                  <c:v>165</c:v>
                </c:pt>
                <c:pt idx="21">
                  <c:v>163</c:v>
                </c:pt>
                <c:pt idx="22">
                  <c:v>162</c:v>
                </c:pt>
                <c:pt idx="23">
                  <c:v>160</c:v>
                </c:pt>
                <c:pt idx="24">
                  <c:v>141</c:v>
                </c:pt>
                <c:pt idx="25">
                  <c:v>137</c:v>
                </c:pt>
                <c:pt idx="26">
                  <c:v>132</c:v>
                </c:pt>
                <c:pt idx="27">
                  <c:v>120</c:v>
                </c:pt>
                <c:pt idx="28">
                  <c:v>107</c:v>
                </c:pt>
                <c:pt idx="29">
                  <c:v>98</c:v>
                </c:pt>
              </c:numCache>
            </c:numRef>
          </c:xVal>
          <c:yVal>
            <c:numRef>
              <c:f>[1]Sheet7!$G$134:$G$163</c:f>
              <c:numCache>
                <c:formatCode>General</c:formatCode>
                <c:ptCount val="30"/>
                <c:pt idx="0">
                  <c:v>222749.68048201571</c:v>
                </c:pt>
                <c:pt idx="1">
                  <c:v>165966.77012963302</c:v>
                </c:pt>
                <c:pt idx="2">
                  <c:v>140953.07650173453</c:v>
                </c:pt>
                <c:pt idx="3">
                  <c:v>134380.13511046194</c:v>
                </c:pt>
                <c:pt idx="4">
                  <c:v>121781.99744385612</c:v>
                </c:pt>
                <c:pt idx="5">
                  <c:v>81248.858864341804</c:v>
                </c:pt>
                <c:pt idx="6">
                  <c:v>97498.630637210154</c:v>
                </c:pt>
                <c:pt idx="7">
                  <c:v>94394.741646886978</c:v>
                </c:pt>
                <c:pt idx="8">
                  <c:v>76136.571115574217</c:v>
                </c:pt>
                <c:pt idx="9">
                  <c:v>89282.453898119405</c:v>
                </c:pt>
                <c:pt idx="10">
                  <c:v>76684.3162315136</c:v>
                </c:pt>
                <c:pt idx="11">
                  <c:v>62990.688333029022</c:v>
                </c:pt>
                <c:pt idx="12">
                  <c:v>53679.021362059524</c:v>
                </c:pt>
                <c:pt idx="13">
                  <c:v>78144.969874018629</c:v>
                </c:pt>
                <c:pt idx="14">
                  <c:v>66642.322439291573</c:v>
                </c:pt>
                <c:pt idx="15">
                  <c:v>43454.445864524379</c:v>
                </c:pt>
                <c:pt idx="16">
                  <c:v>35603.432536059889</c:v>
                </c:pt>
                <c:pt idx="17">
                  <c:v>36333.759357312396</c:v>
                </c:pt>
                <c:pt idx="18">
                  <c:v>31404.053313857956</c:v>
                </c:pt>
                <c:pt idx="19">
                  <c:v>37794.412999817418</c:v>
                </c:pt>
                <c:pt idx="20">
                  <c:v>30125.981376666059</c:v>
                </c:pt>
                <c:pt idx="21">
                  <c:v>29578.236260726673</c:v>
                </c:pt>
                <c:pt idx="22">
                  <c:v>25744.020449150994</c:v>
                </c:pt>
                <c:pt idx="23">
                  <c:v>25013.693627898483</c:v>
                </c:pt>
                <c:pt idx="24">
                  <c:v>29760.817966039802</c:v>
                </c:pt>
                <c:pt idx="25">
                  <c:v>24100.785101332847</c:v>
                </c:pt>
                <c:pt idx="26">
                  <c:v>21909.804637575315</c:v>
                </c:pt>
                <c:pt idx="27">
                  <c:v>29213.07285010042</c:v>
                </c:pt>
                <c:pt idx="28">
                  <c:v>19536.242468504657</c:v>
                </c:pt>
                <c:pt idx="29">
                  <c:v>17893.007120686507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3-4AF2-9E5B-FD2ACB319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360400"/>
        <c:axId val="1986366640"/>
      </c:scatterChart>
      <c:valAx>
        <c:axId val="198636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366640"/>
        <c:crosses val="autoZero"/>
        <c:crossBetween val="midCat"/>
      </c:valAx>
      <c:valAx>
        <c:axId val="19863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36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Data Analysis (Assignment 2) ZenoTalent.xlsx]Pivot Table!PivotTable19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Table'!$A$99:$A$129</c:f>
              <c:strCache>
                <c:ptCount val="30"/>
                <c:pt idx="0">
                  <c:v>Product 24</c:v>
                </c:pt>
                <c:pt idx="1">
                  <c:v>Product 28</c:v>
                </c:pt>
                <c:pt idx="2">
                  <c:v>Product 9</c:v>
                </c:pt>
                <c:pt idx="3">
                  <c:v>Product 23</c:v>
                </c:pt>
                <c:pt idx="4">
                  <c:v>Product 22</c:v>
                </c:pt>
                <c:pt idx="5">
                  <c:v>Product 27</c:v>
                </c:pt>
                <c:pt idx="6">
                  <c:v>Product 30</c:v>
                </c:pt>
                <c:pt idx="7">
                  <c:v>Product 10</c:v>
                </c:pt>
                <c:pt idx="8">
                  <c:v>Product 29</c:v>
                </c:pt>
                <c:pt idx="9">
                  <c:v>Product 7</c:v>
                </c:pt>
                <c:pt idx="10">
                  <c:v>Product 8</c:v>
                </c:pt>
                <c:pt idx="11">
                  <c:v>Product 12</c:v>
                </c:pt>
                <c:pt idx="12">
                  <c:v>Product 21</c:v>
                </c:pt>
                <c:pt idx="13">
                  <c:v>Product 19</c:v>
                </c:pt>
                <c:pt idx="14">
                  <c:v>Product 11</c:v>
                </c:pt>
                <c:pt idx="15">
                  <c:v>Product 16</c:v>
                </c:pt>
                <c:pt idx="16">
                  <c:v>Product 1</c:v>
                </c:pt>
                <c:pt idx="17">
                  <c:v>Product 20</c:v>
                </c:pt>
                <c:pt idx="18">
                  <c:v>Product 17</c:v>
                </c:pt>
                <c:pt idx="19">
                  <c:v>Product 6</c:v>
                </c:pt>
                <c:pt idx="20">
                  <c:v>Product 3</c:v>
                </c:pt>
                <c:pt idx="21">
                  <c:v>Product 4</c:v>
                </c:pt>
                <c:pt idx="22">
                  <c:v>Product 2</c:v>
                </c:pt>
                <c:pt idx="23">
                  <c:v>Product 5</c:v>
                </c:pt>
                <c:pt idx="24">
                  <c:v>Product 18</c:v>
                </c:pt>
                <c:pt idx="25">
                  <c:v>Product 15</c:v>
                </c:pt>
                <c:pt idx="26">
                  <c:v>Product 13</c:v>
                </c:pt>
                <c:pt idx="27">
                  <c:v>Product 14</c:v>
                </c:pt>
                <c:pt idx="28">
                  <c:v>Product 26</c:v>
                </c:pt>
                <c:pt idx="29">
                  <c:v>Product 25</c:v>
                </c:pt>
              </c:strCache>
            </c:strRef>
          </c:cat>
          <c:val>
            <c:numRef>
              <c:f>'Pivot Table'!$B$99:$B$129</c:f>
              <c:numCache>
                <c:formatCode>"₹"\ #,##0</c:formatCode>
                <c:ptCount val="30"/>
                <c:pt idx="0">
                  <c:v>202554.4</c:v>
                </c:pt>
                <c:pt idx="1">
                  <c:v>207954.59999999998</c:v>
                </c:pt>
                <c:pt idx="2">
                  <c:v>253199.7</c:v>
                </c:pt>
                <c:pt idx="3">
                  <c:v>265393.7</c:v>
                </c:pt>
                <c:pt idx="4">
                  <c:v>295590.59999999998</c:v>
                </c:pt>
                <c:pt idx="5">
                  <c:v>297138.3</c:v>
                </c:pt>
                <c:pt idx="6">
                  <c:v>297674.30000000005</c:v>
                </c:pt>
                <c:pt idx="7">
                  <c:v>318832.89999999997</c:v>
                </c:pt>
                <c:pt idx="8">
                  <c:v>341177.39999999991</c:v>
                </c:pt>
                <c:pt idx="9">
                  <c:v>371856.69999999995</c:v>
                </c:pt>
                <c:pt idx="10">
                  <c:v>419051.50000000006</c:v>
                </c:pt>
                <c:pt idx="11">
                  <c:v>433255.49999999988</c:v>
                </c:pt>
                <c:pt idx="12">
                  <c:v>457201.29999999993</c:v>
                </c:pt>
                <c:pt idx="13">
                  <c:v>478426.90000000008</c:v>
                </c:pt>
                <c:pt idx="14">
                  <c:v>555282.6</c:v>
                </c:pt>
                <c:pt idx="15">
                  <c:v>637692.60000000021</c:v>
                </c:pt>
                <c:pt idx="16">
                  <c:v>829506.89999999991</c:v>
                </c:pt>
                <c:pt idx="17">
                  <c:v>858457.60000000009</c:v>
                </c:pt>
                <c:pt idx="18">
                  <c:v>919367.3</c:v>
                </c:pt>
                <c:pt idx="19">
                  <c:v>985375.70000000007</c:v>
                </c:pt>
                <c:pt idx="20">
                  <c:v>1028148.4999999998</c:v>
                </c:pt>
                <c:pt idx="21">
                  <c:v>1101634.1000000001</c:v>
                </c:pt>
                <c:pt idx="22">
                  <c:v>1170255.5</c:v>
                </c:pt>
                <c:pt idx="23">
                  <c:v>1257724.0000000005</c:v>
                </c:pt>
                <c:pt idx="24">
                  <c:v>1287123.6000000001</c:v>
                </c:pt>
                <c:pt idx="25">
                  <c:v>1483721.7</c:v>
                </c:pt>
                <c:pt idx="26">
                  <c:v>1698577.2999999998</c:v>
                </c:pt>
                <c:pt idx="27">
                  <c:v>1841896.9999999998</c:v>
                </c:pt>
                <c:pt idx="28">
                  <c:v>2162029.7000000002</c:v>
                </c:pt>
                <c:pt idx="29">
                  <c:v>2566455.0999999996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E-40BA-8102-4D1E0AD864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11450352"/>
        <c:axId val="319802800"/>
      </c:barChart>
      <c:catAx>
        <c:axId val="201145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02800"/>
        <c:crosses val="autoZero"/>
        <c:auto val="1"/>
        <c:lblAlgn val="ctr"/>
        <c:lblOffset val="100"/>
        <c:noMultiLvlLbl val="0"/>
      </c:catAx>
      <c:valAx>
        <c:axId val="319802800"/>
        <c:scaling>
          <c:orientation val="minMax"/>
        </c:scaling>
        <c:delete val="1"/>
        <c:axPos val="b"/>
        <c:numFmt formatCode="&quot;₹&quot;\ #,##0" sourceLinked="1"/>
        <c:majorTickMark val="none"/>
        <c:minorTickMark val="none"/>
        <c:tickLblPos val="nextTo"/>
        <c:crossAx val="2011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weekly units sold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3FA6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rgbClr val="663300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F3FA6A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3FA6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66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3FA6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66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127115398104026E-2"/>
          <c:y val="0.11907350563120765"/>
          <c:w val="0.86352580806868962"/>
          <c:h val="0.74436215668693428"/>
        </c:manualLayout>
      </c:layout>
      <c:lineChart>
        <c:grouping val="standard"/>
        <c:varyColors val="0"/>
        <c:ser>
          <c:idx val="0"/>
          <c:order val="0"/>
          <c:tx>
            <c:v>Week 1</c:v>
          </c:tx>
          <c:spPr>
            <a:ln w="28575" cap="rnd">
              <a:solidFill>
                <a:srgbClr val="F3FA6A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116</c:v>
              </c:pt>
              <c:pt idx="1">
                <c:v>15</c:v>
              </c:pt>
              <c:pt idx="2">
                <c:v>70</c:v>
              </c:pt>
              <c:pt idx="3">
                <c:v>28</c:v>
              </c:pt>
              <c:pt idx="4">
                <c:v>183</c:v>
              </c:pt>
              <c:pt idx="5">
                <c:v>188</c:v>
              </c:pt>
              <c:pt idx="6">
                <c:v>134</c:v>
              </c:pt>
              <c:pt idx="7">
                <c:v>80</c:v>
              </c:pt>
              <c:pt idx="8">
                <c:v>63</c:v>
              </c:pt>
              <c:pt idx="9">
                <c:v>89</c:v>
              </c:pt>
              <c:pt idx="10">
                <c:v>24</c:v>
              </c:pt>
              <c:pt idx="11">
                <c:v>75</c:v>
              </c:pt>
              <c:pt idx="12">
                <c:v>48</c:v>
              </c:pt>
              <c:pt idx="13">
                <c:v>24</c:v>
              </c:pt>
              <c:pt idx="14">
                <c:v>11</c:v>
              </c:pt>
              <c:pt idx="15">
                <c:v>25</c:v>
              </c:pt>
              <c:pt idx="16">
                <c:v>28</c:v>
              </c:pt>
              <c:pt idx="17">
                <c:v>220</c:v>
              </c:pt>
              <c:pt idx="18">
                <c:v>159</c:v>
              </c:pt>
              <c:pt idx="19">
                <c:v>29</c:v>
              </c:pt>
              <c:pt idx="20">
                <c:v>31</c:v>
              </c:pt>
              <c:pt idx="21">
                <c:v>16</c:v>
              </c:pt>
              <c:pt idx="22">
                <c:v>91</c:v>
              </c:pt>
              <c:pt idx="23">
                <c:v>23</c:v>
              </c:pt>
              <c:pt idx="24">
                <c:v>73</c:v>
              </c:pt>
              <c:pt idx="25">
                <c:v>127</c:v>
              </c:pt>
              <c:pt idx="26">
                <c:v>97</c:v>
              </c:pt>
              <c:pt idx="27">
                <c:v>35</c:v>
              </c:pt>
              <c:pt idx="28">
                <c:v>52</c:v>
              </c:pt>
              <c:pt idx="29">
                <c:v>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62A-40AC-BE1B-DEE9723F3BB2}"/>
            </c:ext>
          </c:extLst>
        </c:ser>
        <c:ser>
          <c:idx val="1"/>
          <c:order val="1"/>
          <c:tx>
            <c:v>Week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64</c:v>
              </c:pt>
              <c:pt idx="1">
                <c:v>26</c:v>
              </c:pt>
              <c:pt idx="2">
                <c:v>62</c:v>
              </c:pt>
              <c:pt idx="3">
                <c:v>46</c:v>
              </c:pt>
              <c:pt idx="4">
                <c:v>136</c:v>
              </c:pt>
              <c:pt idx="5">
                <c:v>184</c:v>
              </c:pt>
              <c:pt idx="6">
                <c:v>81</c:v>
              </c:pt>
              <c:pt idx="7">
                <c:v>111</c:v>
              </c:pt>
              <c:pt idx="8">
                <c:v>51</c:v>
              </c:pt>
              <c:pt idx="9">
                <c:v>123</c:v>
              </c:pt>
              <c:pt idx="10">
                <c:v>55</c:v>
              </c:pt>
              <c:pt idx="11">
                <c:v>145</c:v>
              </c:pt>
              <c:pt idx="12">
                <c:v>65</c:v>
              </c:pt>
              <c:pt idx="13">
                <c:v>43</c:v>
              </c:pt>
              <c:pt idx="14">
                <c:v>54</c:v>
              </c:pt>
              <c:pt idx="15">
                <c:v>26</c:v>
              </c:pt>
              <c:pt idx="16">
                <c:v>36</c:v>
              </c:pt>
              <c:pt idx="17">
                <c:v>288</c:v>
              </c:pt>
              <c:pt idx="18">
                <c:v>141</c:v>
              </c:pt>
              <c:pt idx="19">
                <c:v>27</c:v>
              </c:pt>
              <c:pt idx="20">
                <c:v>17</c:v>
              </c:pt>
              <c:pt idx="21">
                <c:v>57</c:v>
              </c:pt>
              <c:pt idx="22">
                <c:v>72</c:v>
              </c:pt>
              <c:pt idx="23">
                <c:v>35</c:v>
              </c:pt>
              <c:pt idx="24">
                <c:v>104</c:v>
              </c:pt>
              <c:pt idx="25">
                <c:v>63</c:v>
              </c:pt>
              <c:pt idx="26">
                <c:v>107</c:v>
              </c:pt>
              <c:pt idx="27">
                <c:v>12</c:v>
              </c:pt>
              <c:pt idx="28">
                <c:v>56</c:v>
              </c:pt>
              <c:pt idx="29">
                <c:v>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62A-40AC-BE1B-DEE9723F3BB2}"/>
            </c:ext>
          </c:extLst>
        </c:ser>
        <c:ser>
          <c:idx val="2"/>
          <c:order val="2"/>
          <c:tx>
            <c:v>Week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68</c:v>
              </c:pt>
              <c:pt idx="1">
                <c:v>26</c:v>
              </c:pt>
              <c:pt idx="2">
                <c:v>23</c:v>
              </c:pt>
              <c:pt idx="3">
                <c:v>36</c:v>
              </c:pt>
              <c:pt idx="4">
                <c:v>155</c:v>
              </c:pt>
              <c:pt idx="5">
                <c:v>163</c:v>
              </c:pt>
              <c:pt idx="6">
                <c:v>159</c:v>
              </c:pt>
              <c:pt idx="7">
                <c:v>71</c:v>
              </c:pt>
              <c:pt idx="8">
                <c:v>103</c:v>
              </c:pt>
              <c:pt idx="9">
                <c:v>81</c:v>
              </c:pt>
              <c:pt idx="10">
                <c:v>56</c:v>
              </c:pt>
              <c:pt idx="11">
                <c:v>104</c:v>
              </c:pt>
              <c:pt idx="12">
                <c:v>77</c:v>
              </c:pt>
              <c:pt idx="13">
                <c:v>41</c:v>
              </c:pt>
              <c:pt idx="14">
                <c:v>26</c:v>
              </c:pt>
              <c:pt idx="15">
                <c:v>43</c:v>
              </c:pt>
              <c:pt idx="16">
                <c:v>17</c:v>
              </c:pt>
              <c:pt idx="17">
                <c:v>323</c:v>
              </c:pt>
              <c:pt idx="18">
                <c:v>269</c:v>
              </c:pt>
              <c:pt idx="19">
                <c:v>37</c:v>
              </c:pt>
              <c:pt idx="20">
                <c:v>12</c:v>
              </c:pt>
              <c:pt idx="21">
                <c:v>51</c:v>
              </c:pt>
              <c:pt idx="22">
                <c:v>134</c:v>
              </c:pt>
              <c:pt idx="23">
                <c:v>43</c:v>
              </c:pt>
              <c:pt idx="24">
                <c:v>57</c:v>
              </c:pt>
              <c:pt idx="25">
                <c:v>122</c:v>
              </c:pt>
              <c:pt idx="26">
                <c:v>105</c:v>
              </c:pt>
              <c:pt idx="27">
                <c:v>47</c:v>
              </c:pt>
              <c:pt idx="28">
                <c:v>30</c:v>
              </c:pt>
              <c:pt idx="29">
                <c:v>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62A-40AC-BE1B-DEE9723F3BB2}"/>
            </c:ext>
          </c:extLst>
        </c:ser>
        <c:ser>
          <c:idx val="3"/>
          <c:order val="3"/>
          <c:tx>
            <c:v>Week 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130</c:v>
              </c:pt>
              <c:pt idx="1">
                <c:v>40</c:v>
              </c:pt>
              <c:pt idx="2">
                <c:v>51</c:v>
              </c:pt>
              <c:pt idx="3">
                <c:v>46</c:v>
              </c:pt>
              <c:pt idx="4">
                <c:v>195</c:v>
              </c:pt>
              <c:pt idx="5">
                <c:v>173</c:v>
              </c:pt>
              <c:pt idx="6">
                <c:v>217</c:v>
              </c:pt>
              <c:pt idx="7">
                <c:v>70</c:v>
              </c:pt>
              <c:pt idx="8">
                <c:v>93</c:v>
              </c:pt>
              <c:pt idx="9">
                <c:v>113</c:v>
              </c:pt>
              <c:pt idx="10">
                <c:v>48</c:v>
              </c:pt>
              <c:pt idx="11">
                <c:v>133</c:v>
              </c:pt>
              <c:pt idx="12">
                <c:v>72</c:v>
              </c:pt>
              <c:pt idx="13">
                <c:v>77</c:v>
              </c:pt>
              <c:pt idx="14">
                <c:v>36</c:v>
              </c:pt>
              <c:pt idx="15">
                <c:v>26</c:v>
              </c:pt>
              <c:pt idx="16">
                <c:v>9</c:v>
              </c:pt>
              <c:pt idx="17">
                <c:v>305</c:v>
              </c:pt>
              <c:pt idx="18">
                <c:v>231</c:v>
              </c:pt>
              <c:pt idx="19">
                <c:v>45</c:v>
              </c:pt>
              <c:pt idx="20">
                <c:v>35</c:v>
              </c:pt>
              <c:pt idx="21">
                <c:v>16</c:v>
              </c:pt>
              <c:pt idx="22">
                <c:v>132</c:v>
              </c:pt>
              <c:pt idx="23">
                <c:v>26</c:v>
              </c:pt>
              <c:pt idx="24">
                <c:v>115</c:v>
              </c:pt>
              <c:pt idx="25">
                <c:v>154</c:v>
              </c:pt>
              <c:pt idx="26">
                <c:v>67</c:v>
              </c:pt>
              <c:pt idx="27">
                <c:v>56</c:v>
              </c:pt>
              <c:pt idx="28">
                <c:v>47</c:v>
              </c:pt>
              <c:pt idx="29">
                <c:v>24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D62A-40AC-BE1B-DEE9723F3BB2}"/>
            </c:ext>
          </c:extLst>
        </c:ser>
        <c:ser>
          <c:idx val="4"/>
          <c:order val="4"/>
          <c:tx>
            <c:v>Week 5</c:v>
          </c:tx>
          <c:spPr>
            <a:ln w="28575" cap="rnd">
              <a:solidFill>
                <a:srgbClr val="663300"/>
              </a:solidFill>
              <a:round/>
            </a:ln>
            <a:effectLst/>
          </c:spPr>
          <c:marker>
            <c:symbol val="none"/>
          </c:marker>
          <c:cat>
            <c:strLit>
              <c:ptCount val="30"/>
              <c:pt idx="0">
                <c:v>Product 1</c:v>
              </c:pt>
              <c:pt idx="1">
                <c:v>Product 10</c:v>
              </c:pt>
              <c:pt idx="2">
                <c:v>Product 11</c:v>
              </c:pt>
              <c:pt idx="3">
                <c:v>Product 12</c:v>
              </c:pt>
              <c:pt idx="4">
                <c:v>Product 13</c:v>
              </c:pt>
              <c:pt idx="5">
                <c:v>Product 14</c:v>
              </c:pt>
              <c:pt idx="6">
                <c:v>Product 15</c:v>
              </c:pt>
              <c:pt idx="7">
                <c:v>Product 16</c:v>
              </c:pt>
              <c:pt idx="8">
                <c:v>Product 17</c:v>
              </c:pt>
              <c:pt idx="9">
                <c:v>Product 18</c:v>
              </c:pt>
              <c:pt idx="10">
                <c:v>Product 19</c:v>
              </c:pt>
              <c:pt idx="11">
                <c:v>Product 2</c:v>
              </c:pt>
              <c:pt idx="12">
                <c:v>Product 20</c:v>
              </c:pt>
              <c:pt idx="13">
                <c:v>Product 21</c:v>
              </c:pt>
              <c:pt idx="14">
                <c:v>Product 22</c:v>
              </c:pt>
              <c:pt idx="15">
                <c:v>Product 23</c:v>
              </c:pt>
              <c:pt idx="16">
                <c:v>Product 24</c:v>
              </c:pt>
              <c:pt idx="17">
                <c:v>Product 25</c:v>
              </c:pt>
              <c:pt idx="18">
                <c:v>Product 26</c:v>
              </c:pt>
              <c:pt idx="19">
                <c:v>Product 27</c:v>
              </c:pt>
              <c:pt idx="20">
                <c:v>Product 28</c:v>
              </c:pt>
              <c:pt idx="21">
                <c:v>Product 29</c:v>
              </c:pt>
              <c:pt idx="22">
                <c:v>Product 3</c:v>
              </c:pt>
              <c:pt idx="23">
                <c:v>Product 30</c:v>
              </c:pt>
              <c:pt idx="24">
                <c:v>Product 4</c:v>
              </c:pt>
              <c:pt idx="25">
                <c:v>Product 5</c:v>
              </c:pt>
              <c:pt idx="26">
                <c:v>Product 6</c:v>
              </c:pt>
              <c:pt idx="27">
                <c:v>Product 7</c:v>
              </c:pt>
              <c:pt idx="28">
                <c:v>Product 8</c:v>
              </c:pt>
              <c:pt idx="29">
                <c:v>Product 9</c:v>
              </c:pt>
            </c:strLit>
          </c:cat>
          <c:val>
            <c:numLit>
              <c:formatCode>General</c:formatCode>
              <c:ptCount val="30"/>
              <c:pt idx="0">
                <c:v>50</c:v>
              </c:pt>
              <c:pt idx="1">
                <c:v>34</c:v>
              </c:pt>
              <c:pt idx="2">
                <c:v>32</c:v>
              </c:pt>
              <c:pt idx="3">
                <c:v>16</c:v>
              </c:pt>
              <c:pt idx="4">
                <c:v>67</c:v>
              </c:pt>
              <c:pt idx="5">
                <c:v>64</c:v>
              </c:pt>
              <c:pt idx="6">
                <c:v>76</c:v>
              </c:pt>
              <c:pt idx="7">
                <c:v>33</c:v>
              </c:pt>
              <c:pt idx="8">
                <c:v>35</c:v>
              </c:pt>
              <c:pt idx="9">
                <c:v>39</c:v>
              </c:pt>
              <c:pt idx="10">
                <c:v>12</c:v>
              </c:pt>
              <c:pt idx="11">
                <c:v>60</c:v>
              </c:pt>
              <c:pt idx="12">
                <c:v>32</c:v>
              </c:pt>
              <c:pt idx="13">
                <c:v>14</c:v>
              </c:pt>
              <c:pt idx="14">
                <c:v>5</c:v>
              </c:pt>
              <c:pt idx="15">
                <c:v>0</c:v>
              </c:pt>
              <c:pt idx="16">
                <c:v>8</c:v>
              </c:pt>
              <c:pt idx="17">
                <c:v>84</c:v>
              </c:pt>
              <c:pt idx="18">
                <c:v>109</c:v>
              </c:pt>
              <c:pt idx="19">
                <c:v>25</c:v>
              </c:pt>
              <c:pt idx="20">
                <c:v>12</c:v>
              </c:pt>
              <c:pt idx="21">
                <c:v>22</c:v>
              </c:pt>
              <c:pt idx="22">
                <c:v>60</c:v>
              </c:pt>
              <c:pt idx="23">
                <c:v>10</c:v>
              </c:pt>
              <c:pt idx="24">
                <c:v>68</c:v>
              </c:pt>
              <c:pt idx="25">
                <c:v>68</c:v>
              </c:pt>
              <c:pt idx="26">
                <c:v>44</c:v>
              </c:pt>
              <c:pt idx="27">
                <c:v>15</c:v>
              </c:pt>
              <c:pt idx="28">
                <c:v>22</c:v>
              </c:pt>
              <c:pt idx="29">
                <c:v>12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D62A-40AC-BE1B-DEE9723F3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84560"/>
        <c:axId val="161492240"/>
      </c:lineChart>
      <c:catAx>
        <c:axId val="16148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61492240"/>
        <c:crosses val="autoZero"/>
        <c:auto val="1"/>
        <c:lblAlgn val="ctr"/>
        <c:lblOffset val="100"/>
        <c:noMultiLvlLbl val="0"/>
      </c:catAx>
      <c:valAx>
        <c:axId val="16149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16148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Data Analysis (Assignment 2) ZenoTalent.xlsx]Pivot Table!PivotTable19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8408064747533E-2"/>
          <c:y val="0.11366309109697702"/>
          <c:w val="0.90597851313601874"/>
          <c:h val="0.874014049999757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04-4BF1-8162-3CBD74B8D0C9}"/>
              </c:ext>
            </c:extLst>
          </c:dPt>
          <c:dLbls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04-4BF1-8162-3CBD74B8D0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Table'!$A$99:$A$129</c:f>
              <c:strCache>
                <c:ptCount val="30"/>
                <c:pt idx="0">
                  <c:v>Product 24</c:v>
                </c:pt>
                <c:pt idx="1">
                  <c:v>Product 28</c:v>
                </c:pt>
                <c:pt idx="2">
                  <c:v>Product 9</c:v>
                </c:pt>
                <c:pt idx="3">
                  <c:v>Product 23</c:v>
                </c:pt>
                <c:pt idx="4">
                  <c:v>Product 22</c:v>
                </c:pt>
                <c:pt idx="5">
                  <c:v>Product 27</c:v>
                </c:pt>
                <c:pt idx="6">
                  <c:v>Product 30</c:v>
                </c:pt>
                <c:pt idx="7">
                  <c:v>Product 10</c:v>
                </c:pt>
                <c:pt idx="8">
                  <c:v>Product 29</c:v>
                </c:pt>
                <c:pt idx="9">
                  <c:v>Product 7</c:v>
                </c:pt>
                <c:pt idx="10">
                  <c:v>Product 8</c:v>
                </c:pt>
                <c:pt idx="11">
                  <c:v>Product 12</c:v>
                </c:pt>
                <c:pt idx="12">
                  <c:v>Product 21</c:v>
                </c:pt>
                <c:pt idx="13">
                  <c:v>Product 19</c:v>
                </c:pt>
                <c:pt idx="14">
                  <c:v>Product 11</c:v>
                </c:pt>
                <c:pt idx="15">
                  <c:v>Product 16</c:v>
                </c:pt>
                <c:pt idx="16">
                  <c:v>Product 1</c:v>
                </c:pt>
                <c:pt idx="17">
                  <c:v>Product 20</c:v>
                </c:pt>
                <c:pt idx="18">
                  <c:v>Product 17</c:v>
                </c:pt>
                <c:pt idx="19">
                  <c:v>Product 6</c:v>
                </c:pt>
                <c:pt idx="20">
                  <c:v>Product 3</c:v>
                </c:pt>
                <c:pt idx="21">
                  <c:v>Product 4</c:v>
                </c:pt>
                <c:pt idx="22">
                  <c:v>Product 2</c:v>
                </c:pt>
                <c:pt idx="23">
                  <c:v>Product 5</c:v>
                </c:pt>
                <c:pt idx="24">
                  <c:v>Product 18</c:v>
                </c:pt>
                <c:pt idx="25">
                  <c:v>Product 15</c:v>
                </c:pt>
                <c:pt idx="26">
                  <c:v>Product 13</c:v>
                </c:pt>
                <c:pt idx="27">
                  <c:v>Product 14</c:v>
                </c:pt>
                <c:pt idx="28">
                  <c:v>Product 26</c:v>
                </c:pt>
                <c:pt idx="29">
                  <c:v>Product 25</c:v>
                </c:pt>
              </c:strCache>
            </c:strRef>
          </c:cat>
          <c:val>
            <c:numRef>
              <c:f>'Pivot Table'!$B$99:$B$129</c:f>
              <c:numCache>
                <c:formatCode>"₹"\ #,##0</c:formatCode>
                <c:ptCount val="30"/>
                <c:pt idx="0">
                  <c:v>202554.4</c:v>
                </c:pt>
                <c:pt idx="1">
                  <c:v>207954.59999999998</c:v>
                </c:pt>
                <c:pt idx="2">
                  <c:v>253199.7</c:v>
                </c:pt>
                <c:pt idx="3">
                  <c:v>265393.7</c:v>
                </c:pt>
                <c:pt idx="4">
                  <c:v>295590.59999999998</c:v>
                </c:pt>
                <c:pt idx="5">
                  <c:v>297138.3</c:v>
                </c:pt>
                <c:pt idx="6">
                  <c:v>297674.30000000005</c:v>
                </c:pt>
                <c:pt idx="7">
                  <c:v>318832.89999999997</c:v>
                </c:pt>
                <c:pt idx="8">
                  <c:v>341177.39999999991</c:v>
                </c:pt>
                <c:pt idx="9">
                  <c:v>371856.69999999995</c:v>
                </c:pt>
                <c:pt idx="10">
                  <c:v>419051.50000000006</c:v>
                </c:pt>
                <c:pt idx="11">
                  <c:v>433255.49999999988</c:v>
                </c:pt>
                <c:pt idx="12">
                  <c:v>457201.29999999993</c:v>
                </c:pt>
                <c:pt idx="13">
                  <c:v>478426.90000000008</c:v>
                </c:pt>
                <c:pt idx="14">
                  <c:v>555282.6</c:v>
                </c:pt>
                <c:pt idx="15">
                  <c:v>637692.60000000021</c:v>
                </c:pt>
                <c:pt idx="16">
                  <c:v>829506.89999999991</c:v>
                </c:pt>
                <c:pt idx="17">
                  <c:v>858457.60000000009</c:v>
                </c:pt>
                <c:pt idx="18">
                  <c:v>919367.3</c:v>
                </c:pt>
                <c:pt idx="19">
                  <c:v>985375.70000000007</c:v>
                </c:pt>
                <c:pt idx="20">
                  <c:v>1028148.4999999998</c:v>
                </c:pt>
                <c:pt idx="21">
                  <c:v>1101634.1000000001</c:v>
                </c:pt>
                <c:pt idx="22">
                  <c:v>1170255.5</c:v>
                </c:pt>
                <c:pt idx="23">
                  <c:v>1257724.0000000005</c:v>
                </c:pt>
                <c:pt idx="24">
                  <c:v>1287123.6000000001</c:v>
                </c:pt>
                <c:pt idx="25">
                  <c:v>1483721.7</c:v>
                </c:pt>
                <c:pt idx="26">
                  <c:v>1698577.2999999998</c:v>
                </c:pt>
                <c:pt idx="27">
                  <c:v>1841896.9999999998</c:v>
                </c:pt>
                <c:pt idx="28">
                  <c:v>2162029.7000000002</c:v>
                </c:pt>
                <c:pt idx="29">
                  <c:v>2566455.0999999996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4-4BF1-8162-3CBD74B8D0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11450352"/>
        <c:axId val="319802800"/>
      </c:barChart>
      <c:catAx>
        <c:axId val="201145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02800"/>
        <c:crosses val="autoZero"/>
        <c:auto val="1"/>
        <c:lblAlgn val="ctr"/>
        <c:lblOffset val="100"/>
        <c:noMultiLvlLbl val="0"/>
      </c:catAx>
      <c:valAx>
        <c:axId val="319802800"/>
        <c:scaling>
          <c:orientation val="minMax"/>
        </c:scaling>
        <c:delete val="1"/>
        <c:axPos val="b"/>
        <c:numFmt formatCode="&quot;₹&quot;\ #,##0" sourceLinked="1"/>
        <c:majorTickMark val="none"/>
        <c:minorTickMark val="none"/>
        <c:tickLblPos val="nextTo"/>
        <c:crossAx val="201145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Correlation</a:t>
            </a:r>
            <a:r>
              <a:rPr lang="en-IN" b="1" baseline="0">
                <a:solidFill>
                  <a:schemeClr val="tx1"/>
                </a:solidFill>
              </a:rPr>
              <a:t> between </a:t>
            </a:r>
            <a:r>
              <a:rPr lang="en-IN" b="1">
                <a:solidFill>
                  <a:schemeClr val="tx1"/>
                </a:solidFill>
              </a:rPr>
              <a:t>Marketing Spend and</a:t>
            </a:r>
            <a:r>
              <a:rPr lang="en-IN" b="1" baseline="0">
                <a:solidFill>
                  <a:schemeClr val="tx1"/>
                </a:solidFill>
              </a:rPr>
              <a:t> Units Sold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[1]Sheet7!$G$133</c:f>
              <c:strCache>
                <c:ptCount val="1"/>
                <c:pt idx="0">
                  <c:v>Marketing Budget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4925">
                <a:solidFill>
                  <a:schemeClr val="accent2"/>
                </a:solidFill>
              </a:ln>
              <a:effectLst/>
            </c:spPr>
          </c:marker>
          <c:xVal>
            <c:numRef>
              <c:f>[1]Sheet7!$F$134:$F$163</c:f>
              <c:numCache>
                <c:formatCode>General</c:formatCode>
                <c:ptCount val="30"/>
                <c:pt idx="0">
                  <c:v>1220</c:v>
                </c:pt>
                <c:pt idx="1">
                  <c:v>909</c:v>
                </c:pt>
                <c:pt idx="2">
                  <c:v>772</c:v>
                </c:pt>
                <c:pt idx="3">
                  <c:v>736</c:v>
                </c:pt>
                <c:pt idx="4">
                  <c:v>667</c:v>
                </c:pt>
                <c:pt idx="5">
                  <c:v>534</c:v>
                </c:pt>
                <c:pt idx="6">
                  <c:v>517</c:v>
                </c:pt>
                <c:pt idx="7">
                  <c:v>489</c:v>
                </c:pt>
                <c:pt idx="8">
                  <c:v>445</c:v>
                </c:pt>
                <c:pt idx="9">
                  <c:v>428</c:v>
                </c:pt>
                <c:pt idx="10">
                  <c:v>420</c:v>
                </c:pt>
                <c:pt idx="11">
                  <c:v>417</c:v>
                </c:pt>
                <c:pt idx="12">
                  <c:v>365</c:v>
                </c:pt>
                <c:pt idx="13">
                  <c:v>345</c:v>
                </c:pt>
                <c:pt idx="14">
                  <c:v>294</c:v>
                </c:pt>
                <c:pt idx="15">
                  <c:v>238</c:v>
                </c:pt>
                <c:pt idx="16">
                  <c:v>207</c:v>
                </c:pt>
                <c:pt idx="17">
                  <c:v>199</c:v>
                </c:pt>
                <c:pt idx="18">
                  <c:v>195</c:v>
                </c:pt>
                <c:pt idx="19">
                  <c:v>172</c:v>
                </c:pt>
                <c:pt idx="20">
                  <c:v>165</c:v>
                </c:pt>
                <c:pt idx="21">
                  <c:v>163</c:v>
                </c:pt>
                <c:pt idx="22">
                  <c:v>162</c:v>
                </c:pt>
                <c:pt idx="23">
                  <c:v>160</c:v>
                </c:pt>
                <c:pt idx="24">
                  <c:v>141</c:v>
                </c:pt>
                <c:pt idx="25">
                  <c:v>137</c:v>
                </c:pt>
                <c:pt idx="26">
                  <c:v>132</c:v>
                </c:pt>
                <c:pt idx="27">
                  <c:v>120</c:v>
                </c:pt>
                <c:pt idx="28">
                  <c:v>107</c:v>
                </c:pt>
                <c:pt idx="29">
                  <c:v>98</c:v>
                </c:pt>
              </c:numCache>
            </c:numRef>
          </c:xVal>
          <c:yVal>
            <c:numRef>
              <c:f>[1]Sheet7!$G$134:$G$163</c:f>
              <c:numCache>
                <c:formatCode>General</c:formatCode>
                <c:ptCount val="30"/>
                <c:pt idx="0">
                  <c:v>222749.68048201571</c:v>
                </c:pt>
                <c:pt idx="1">
                  <c:v>165966.77012963302</c:v>
                </c:pt>
                <c:pt idx="2">
                  <c:v>140953.07650173453</c:v>
                </c:pt>
                <c:pt idx="3">
                  <c:v>134380.13511046194</c:v>
                </c:pt>
                <c:pt idx="4">
                  <c:v>121781.99744385612</c:v>
                </c:pt>
                <c:pt idx="5">
                  <c:v>81248.858864341804</c:v>
                </c:pt>
                <c:pt idx="6">
                  <c:v>97498.630637210154</c:v>
                </c:pt>
                <c:pt idx="7">
                  <c:v>94394.741646886978</c:v>
                </c:pt>
                <c:pt idx="8">
                  <c:v>76136.571115574217</c:v>
                </c:pt>
                <c:pt idx="9">
                  <c:v>89282.453898119405</c:v>
                </c:pt>
                <c:pt idx="10">
                  <c:v>76684.3162315136</c:v>
                </c:pt>
                <c:pt idx="11">
                  <c:v>62990.688333029022</c:v>
                </c:pt>
                <c:pt idx="12">
                  <c:v>53679.021362059524</c:v>
                </c:pt>
                <c:pt idx="13">
                  <c:v>78144.969874018629</c:v>
                </c:pt>
                <c:pt idx="14">
                  <c:v>66642.322439291573</c:v>
                </c:pt>
                <c:pt idx="15">
                  <c:v>43454.445864524379</c:v>
                </c:pt>
                <c:pt idx="16">
                  <c:v>35603.432536059889</c:v>
                </c:pt>
                <c:pt idx="17">
                  <c:v>36333.759357312396</c:v>
                </c:pt>
                <c:pt idx="18">
                  <c:v>31404.053313857956</c:v>
                </c:pt>
                <c:pt idx="19">
                  <c:v>37794.412999817418</c:v>
                </c:pt>
                <c:pt idx="20">
                  <c:v>30125.981376666059</c:v>
                </c:pt>
                <c:pt idx="21">
                  <c:v>29578.236260726673</c:v>
                </c:pt>
                <c:pt idx="22">
                  <c:v>25744.020449150994</c:v>
                </c:pt>
                <c:pt idx="23">
                  <c:v>25013.693627898483</c:v>
                </c:pt>
                <c:pt idx="24">
                  <c:v>29760.817966039802</c:v>
                </c:pt>
                <c:pt idx="25">
                  <c:v>24100.785101332847</c:v>
                </c:pt>
                <c:pt idx="26">
                  <c:v>21909.804637575315</c:v>
                </c:pt>
                <c:pt idx="27">
                  <c:v>29213.07285010042</c:v>
                </c:pt>
                <c:pt idx="28">
                  <c:v>19536.242468504657</c:v>
                </c:pt>
                <c:pt idx="29">
                  <c:v>17893.007120686507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3-4E8C-B901-9BC85C8F2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360400"/>
        <c:axId val="1986366640"/>
      </c:scatterChart>
      <c:valAx>
        <c:axId val="198636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</a:t>
                </a:r>
                <a:r>
                  <a:rPr lang="en-IN" baseline="0"/>
                  <a:t>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366640"/>
        <c:crosses val="autoZero"/>
        <c:crossBetween val="midCat"/>
      </c:valAx>
      <c:valAx>
        <c:axId val="19863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Marketing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36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65</xdr:row>
      <xdr:rowOff>0</xdr:rowOff>
    </xdr:from>
    <xdr:to>
      <xdr:col>26</xdr:col>
      <xdr:colOff>475577</xdr:colOff>
      <xdr:row>92</xdr:row>
      <xdr:rowOff>54910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B635B-F980-4957-B2CF-EB50183A9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506507</xdr:colOff>
      <xdr:row>132</xdr:row>
      <xdr:rowOff>62753</xdr:rowOff>
    </xdr:from>
    <xdr:to>
      <xdr:col>15</xdr:col>
      <xdr:colOff>201707</xdr:colOff>
      <xdr:row>147</xdr:row>
      <xdr:rowOff>116542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37CBC4-B055-4DA2-BA4D-8E89E6C57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114300</xdr:colOff>
      <xdr:row>100</xdr:row>
      <xdr:rowOff>121920</xdr:rowOff>
    </xdr:from>
    <xdr:to>
      <xdr:col>14</xdr:col>
      <xdr:colOff>99060</xdr:colOff>
      <xdr:row>126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D80541-1DB6-EDA7-6965-E263BAABF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69</xdr:row>
      <xdr:rowOff>0</xdr:rowOff>
    </xdr:from>
    <xdr:to>
      <xdr:col>11</xdr:col>
      <xdr:colOff>312420</xdr:colOff>
      <xdr:row>91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9A1FEA-D6B2-41C3-8AFD-7D02A8712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100</xdr:row>
      <xdr:rowOff>0</xdr:rowOff>
    </xdr:from>
    <xdr:to>
      <xdr:col>12</xdr:col>
      <xdr:colOff>38100</xdr:colOff>
      <xdr:row>121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4A6EB9-27A7-4FFE-831A-59ECBFC15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9</xdr:col>
      <xdr:colOff>601980</xdr:colOff>
      <xdr:row>149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6C7DBB-1CCE-4584-A442-599A79119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154</xdr:row>
      <xdr:rowOff>114300</xdr:rowOff>
    </xdr:from>
    <xdr:to>
      <xdr:col>4</xdr:col>
      <xdr:colOff>106680</xdr:colOff>
      <xdr:row>166</xdr:row>
      <xdr:rowOff>83820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A34564-8F06-4E93-B8F4-B6944B4F94CD}"/>
            </a:ext>
          </a:extLst>
        </xdr:cNvPr>
        <xdr:cNvSpPr/>
      </xdr:nvSpPr>
      <xdr:spPr>
        <a:xfrm>
          <a:off x="76200" y="28491180"/>
          <a:ext cx="4632960" cy="21640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129540</xdr:colOff>
      <xdr:row>155</xdr:row>
      <xdr:rowOff>0</xdr:rowOff>
    </xdr:from>
    <xdr:to>
      <xdr:col>4</xdr:col>
      <xdr:colOff>45720</xdr:colOff>
      <xdr:row>165</xdr:row>
      <xdr:rowOff>167640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245058-BDD9-F9E2-A928-233C9EBD6304}"/>
            </a:ext>
          </a:extLst>
        </xdr:cNvPr>
        <xdr:cNvSpPr txBox="1"/>
      </xdr:nvSpPr>
      <xdr:spPr>
        <a:xfrm>
          <a:off x="129540" y="28559760"/>
          <a:ext cx="4518660" cy="1996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Scatter Plot: Marketing Spend vs Units Sold</a:t>
          </a: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trend suggests a </a:t>
          </a:r>
          <a:r>
            <a:rPr lang="en-IN" sz="1100" b="1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positive correlation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more marketing spend tends to result in more units sold.</a:t>
          </a:r>
          <a:r>
            <a:rPr lang="en-IN">
              <a:effectLst/>
            </a:rPr>
            <a:t> </a:t>
          </a:r>
        </a:p>
        <a:p>
          <a:endParaRPr lang="en-IN">
            <a:effectLst/>
          </a:endParaRPr>
        </a:p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25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stands out with the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highest marketing spend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also the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highest units sold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indicating </a:t>
          </a:r>
          <a:r>
            <a:rPr lang="en-IN" sz="1100" b="0" i="0" u="none" strike="noStrike">
              <a:solidFill>
                <a:srgbClr val="7DD35F"/>
              </a:solidFill>
              <a:effectLst/>
              <a:latin typeface="+mn-lt"/>
              <a:ea typeface="+mn-ea"/>
              <a:cs typeface="+mn-cs"/>
            </a:rPr>
            <a:t>Strong ROI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IN">
              <a:effectLst/>
            </a:rPr>
            <a:t> </a:t>
          </a:r>
        </a:p>
        <a:p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 products like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13, 14, 5, 3, and 11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also show a </a:t>
          </a:r>
          <a:r>
            <a:rPr lang="en-IN" sz="1100" b="0" i="0" u="none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positive relationship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they cluster in the upper-right quadrant, suggesting that increased spend is driving higher sales.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5</xdr:col>
      <xdr:colOff>426720</xdr:colOff>
      <xdr:row>154</xdr:row>
      <xdr:rowOff>99060</xdr:rowOff>
    </xdr:from>
    <xdr:to>
      <xdr:col>13</xdr:col>
      <xdr:colOff>182880</xdr:colOff>
      <xdr:row>166</xdr:row>
      <xdr:rowOff>68580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7D938A0-97B4-4C17-8256-CD4263406AB6}"/>
            </a:ext>
          </a:extLst>
        </xdr:cNvPr>
        <xdr:cNvSpPr/>
      </xdr:nvSpPr>
      <xdr:spPr>
        <a:xfrm>
          <a:off x="5638800" y="28475940"/>
          <a:ext cx="4632960" cy="21640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N" b="1"/>
            <a:t>Line</a:t>
          </a:r>
          <a:r>
            <a:rPr lang="en-IN" b="1" baseline="0"/>
            <a:t> Chart: </a:t>
          </a:r>
          <a:r>
            <a:rPr lang="en-IN" b="0" baseline="0"/>
            <a:t>Units sold weekly by Product </a:t>
          </a:r>
          <a:endParaRPr lang="en-IN" b="1"/>
        </a:p>
        <a:p>
          <a:endParaRPr lang="en-IN" b="1"/>
        </a:p>
        <a:p>
          <a:r>
            <a:rPr lang="en-IN" b="1"/>
            <a:t>Product 25</a:t>
          </a:r>
          <a:r>
            <a:rPr lang="en-IN"/>
            <a:t>: </a:t>
          </a:r>
        </a:p>
        <a:p>
          <a:pPr lvl="1"/>
          <a:r>
            <a:rPr lang="en-IN"/>
            <a:t>Week 1: Not listed </a:t>
          </a:r>
        </a:p>
        <a:p>
          <a:pPr lvl="1"/>
          <a:r>
            <a:rPr lang="en-IN"/>
            <a:t>Week 4: </a:t>
          </a:r>
          <a:r>
            <a:rPr lang="en-IN" b="1"/>
            <a:t>305 units sold</a:t>
          </a:r>
          <a:r>
            <a:rPr lang="en-IN"/>
            <a:t> — the highest weekly spike across all products</a:t>
          </a:r>
        </a:p>
        <a:p>
          <a:r>
            <a:rPr lang="en-IN"/>
            <a:t>This indicates a </a:t>
          </a:r>
          <a:r>
            <a:rPr lang="en-IN" b="1"/>
            <a:t>strong upward trajectory</a:t>
          </a:r>
          <a:r>
            <a:rPr lang="en-IN"/>
            <a:t>, especially between Week 3</a:t>
          </a:r>
        </a:p>
        <a:p>
          <a:r>
            <a:rPr lang="en-IN"/>
            <a:t> and Week 4.</a:t>
          </a:r>
        </a:p>
        <a:p>
          <a:endParaRPr lang="en-IN"/>
        </a:p>
        <a:p>
          <a:r>
            <a:rPr lang="en-IN"/>
            <a:t>Other products like </a:t>
          </a:r>
          <a:r>
            <a:rPr lang="en-IN" b="1"/>
            <a:t>Product 13</a:t>
          </a:r>
          <a:r>
            <a:rPr lang="en-IN"/>
            <a:t> and </a:t>
          </a:r>
          <a:r>
            <a:rPr lang="en-IN" b="1"/>
            <a:t>Product 26</a:t>
          </a:r>
          <a:r>
            <a:rPr lang="en-IN"/>
            <a:t> show consistent performance, but their week-over-week growth is more stable than explosive.</a:t>
          </a:r>
        </a:p>
        <a:p>
          <a:pPr algn="l"/>
          <a:endParaRPr lang="en-IN" sz="1100"/>
        </a:p>
      </xdr:txBody>
    </xdr:sp>
    <xdr:clientData/>
  </xdr:twoCellAnchor>
  <xdr:twoCellAnchor>
    <xdr:from>
      <xdr:col>14</xdr:col>
      <xdr:colOff>419100</xdr:colOff>
      <xdr:row>154</xdr:row>
      <xdr:rowOff>76200</xdr:rowOff>
    </xdr:from>
    <xdr:to>
      <xdr:col>22</xdr:col>
      <xdr:colOff>175260</xdr:colOff>
      <xdr:row>208</xdr:row>
      <xdr:rowOff>68580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25F4115-7462-4E2A-8940-69711813A380}"/>
            </a:ext>
          </a:extLst>
        </xdr:cNvPr>
        <xdr:cNvSpPr/>
      </xdr:nvSpPr>
      <xdr:spPr>
        <a:xfrm>
          <a:off x="11117580" y="28453080"/>
          <a:ext cx="4632960" cy="9867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525780</xdr:colOff>
      <xdr:row>155</xdr:row>
      <xdr:rowOff>7620</xdr:rowOff>
    </xdr:from>
    <xdr:to>
      <xdr:col>22</xdr:col>
      <xdr:colOff>68580</xdr:colOff>
      <xdr:row>165</xdr:row>
      <xdr:rowOff>167640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6E590A7-B1F5-F0C1-DDEF-8CE6960932E2}"/>
            </a:ext>
          </a:extLst>
        </xdr:cNvPr>
        <xdr:cNvSpPr txBox="1"/>
      </xdr:nvSpPr>
      <xdr:spPr>
        <a:xfrm>
          <a:off x="11224260" y="28567380"/>
          <a:ext cx="4419600" cy="1988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Insights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Top-Selling Products: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Product 25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leads with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₹2.57M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total sales.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Followed by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26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(₹1.84M),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13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(₹1.48M), and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18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(₹1.26M).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products likely drive the bulk of revenue and should be prioritized in marketing and inventory planning.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/>
        </a:p>
      </xdr:txBody>
    </xdr:sp>
    <xdr:clientData/>
  </xdr:twoCellAnchor>
  <xdr:twoCellAnchor>
    <xdr:from>
      <xdr:col>14</xdr:col>
      <xdr:colOff>571500</xdr:colOff>
      <xdr:row>167</xdr:row>
      <xdr:rowOff>7620</xdr:rowOff>
    </xdr:from>
    <xdr:to>
      <xdr:col>22</xdr:col>
      <xdr:colOff>45720</xdr:colOff>
      <xdr:row>180</xdr:row>
      <xdr:rowOff>121920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95B1F83-B530-38BB-AEE4-13B7C82D91CC}"/>
            </a:ext>
          </a:extLst>
        </xdr:cNvPr>
        <xdr:cNvSpPr txBox="1"/>
      </xdr:nvSpPr>
      <xdr:spPr>
        <a:xfrm>
          <a:off x="11269980" y="30761940"/>
          <a:ext cx="4351020" cy="2491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Weekly Sales Trends: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Weekly Sales</a:t>
          </a: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peaked in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 4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 </a:t>
          </a:r>
          <a:r>
            <a:rPr lang="en-IN" sz="1100" b="1">
              <a:solidFill>
                <a:srgbClr val="7DD35F"/>
              </a:solidFill>
              <a:effectLst/>
              <a:latin typeface="+mn-lt"/>
              <a:ea typeface="+mn-ea"/>
              <a:cs typeface="+mn-cs"/>
            </a:rPr>
            <a:t>₹6.67M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showing strong performance.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 5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saw a sharp drop to </a:t>
          </a:r>
          <a:r>
            <a:rPr lang="en-IN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₹2.33M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suggesting either seasonality or a supply/marketing issue.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Units Sold Weekly by Product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25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26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show strong spikes in Week 4 and Week 3 respectively.</a:t>
          </a:r>
        </a:p>
        <a:p>
          <a:pPr lv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13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maintains </a:t>
          </a:r>
          <a:r>
            <a:rPr lang="en-IN" sz="110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consistent performance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across all weeks, indicating stable demand.</a:t>
          </a:r>
        </a:p>
        <a:p>
          <a:endParaRPr lang="en-IN" sz="1100"/>
        </a:p>
      </xdr:txBody>
    </xdr:sp>
    <xdr:clientData/>
  </xdr:twoCellAnchor>
  <xdr:twoCellAnchor>
    <xdr:from>
      <xdr:col>15</xdr:col>
      <xdr:colOff>0</xdr:colOff>
      <xdr:row>181</xdr:row>
      <xdr:rowOff>114300</xdr:rowOff>
    </xdr:from>
    <xdr:to>
      <xdr:col>22</xdr:col>
      <xdr:colOff>7620</xdr:colOff>
      <xdr:row>191</xdr:row>
      <xdr:rowOff>30480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E6748E-7C0B-6E0D-0558-4CEA027314D7}"/>
            </a:ext>
          </a:extLst>
        </xdr:cNvPr>
        <xdr:cNvSpPr txBox="1"/>
      </xdr:nvSpPr>
      <xdr:spPr>
        <a:xfrm>
          <a:off x="11308080" y="33428940"/>
          <a:ext cx="4274820" cy="1744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Marketing Effectiveness: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Marketing Spend vs Units Sold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25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has the highest marketing spend and also leads in units sold </a:t>
          </a:r>
          <a:r>
            <a:rPr lang="en-IN" sz="1100">
              <a:solidFill>
                <a:srgbClr val="7DD35F"/>
              </a:solidFill>
              <a:effectLst/>
              <a:latin typeface="+mn-lt"/>
              <a:ea typeface="+mn-ea"/>
              <a:cs typeface="+mn-cs"/>
            </a:rPr>
            <a:t>Strong ROI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13, 14, 5, 3, and 11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also show </a:t>
          </a:r>
          <a:r>
            <a:rPr lang="en-IN" sz="110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good correlation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suggesting marketing is driving sales effectively for these SKUs.</a:t>
          </a:r>
        </a:p>
        <a:p>
          <a:endParaRPr lang="en-IN" sz="1100"/>
        </a:p>
      </xdr:txBody>
    </xdr:sp>
    <xdr:clientData/>
  </xdr:twoCellAnchor>
  <xdr:twoCellAnchor>
    <xdr:from>
      <xdr:col>15</xdr:col>
      <xdr:colOff>22860</xdr:colOff>
      <xdr:row>192</xdr:row>
      <xdr:rowOff>91440</xdr:rowOff>
    </xdr:from>
    <xdr:to>
      <xdr:col>22</xdr:col>
      <xdr:colOff>22860</xdr:colOff>
      <xdr:row>207</xdr:row>
      <xdr:rowOff>114300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8327582-B428-4A30-14B9-35A7F77C6C7E}"/>
            </a:ext>
          </a:extLst>
        </xdr:cNvPr>
        <xdr:cNvSpPr txBox="1"/>
      </xdr:nvSpPr>
      <xdr:spPr>
        <a:xfrm>
          <a:off x="11330940" y="35417760"/>
          <a:ext cx="4267200" cy="2766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Strategic Recommendations: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down on Product 25 and 13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they’re high performers with strong marketing ROI.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Investigate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 5 drop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could be due to campaign fatigue, stockouts, or external factors.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Consider reallocating marketing budget from low-performing products to those with proven ROI.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Monitor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2’s volatility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may need pricing, positioning, or promotional adjustments.</a:t>
          </a:r>
        </a:p>
        <a:p>
          <a:pPr lvl="0"/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9's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IN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is declining on a weekly basis, immediate intervention required.  </a:t>
          </a:r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xman\Downloads\Sales_data(EDA%20Exported).csv" TargetMode="External"/><Relationship Id="rId1" Type="http://schemas.openxmlformats.org/officeDocument/2006/relationships/externalLinkPath" Target="/Users/Laxman/Downloads/Sales_data(EDA%20Exported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_data(EDA Exported)"/>
      <sheetName val="Sheet2"/>
      <sheetName val="Sheet1"/>
      <sheetName val="Final"/>
      <sheetName val="Sheet3"/>
      <sheetName val="Sheet7"/>
      <sheetName val="month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33">
          <cell r="G133" t="str">
            <v>Marketing Budget</v>
          </cell>
        </row>
        <row r="134">
          <cell r="F134">
            <v>1220</v>
          </cell>
          <cell r="G134">
            <v>222749.68048201571</v>
          </cell>
        </row>
        <row r="135">
          <cell r="F135">
            <v>909</v>
          </cell>
          <cell r="G135">
            <v>165966.77012963302</v>
          </cell>
        </row>
        <row r="136">
          <cell r="F136">
            <v>772</v>
          </cell>
          <cell r="G136">
            <v>140953.07650173453</v>
          </cell>
        </row>
        <row r="137">
          <cell r="F137">
            <v>736</v>
          </cell>
          <cell r="G137">
            <v>134380.13511046194</v>
          </cell>
        </row>
        <row r="138">
          <cell r="F138">
            <v>667</v>
          </cell>
          <cell r="G138">
            <v>121781.99744385612</v>
          </cell>
        </row>
        <row r="139">
          <cell r="F139">
            <v>534</v>
          </cell>
          <cell r="G139">
            <v>81248.858864341804</v>
          </cell>
        </row>
        <row r="140">
          <cell r="F140">
            <v>517</v>
          </cell>
          <cell r="G140">
            <v>97498.630637210154</v>
          </cell>
        </row>
        <row r="141">
          <cell r="F141">
            <v>489</v>
          </cell>
          <cell r="G141">
            <v>94394.741646886978</v>
          </cell>
        </row>
        <row r="142">
          <cell r="F142">
            <v>445</v>
          </cell>
          <cell r="G142">
            <v>76136.571115574217</v>
          </cell>
        </row>
        <row r="143">
          <cell r="F143">
            <v>428</v>
          </cell>
          <cell r="G143">
            <v>89282.453898119405</v>
          </cell>
        </row>
        <row r="144">
          <cell r="F144">
            <v>420</v>
          </cell>
          <cell r="G144">
            <v>76684.3162315136</v>
          </cell>
        </row>
        <row r="145">
          <cell r="F145">
            <v>417</v>
          </cell>
          <cell r="G145">
            <v>62990.688333029022</v>
          </cell>
        </row>
        <row r="146">
          <cell r="F146">
            <v>365</v>
          </cell>
          <cell r="G146">
            <v>53679.021362059524</v>
          </cell>
        </row>
        <row r="147">
          <cell r="F147">
            <v>345</v>
          </cell>
          <cell r="G147">
            <v>78144.969874018629</v>
          </cell>
        </row>
        <row r="148">
          <cell r="F148">
            <v>294</v>
          </cell>
          <cell r="G148">
            <v>66642.322439291573</v>
          </cell>
        </row>
        <row r="149">
          <cell r="F149">
            <v>238</v>
          </cell>
          <cell r="G149">
            <v>43454.445864524379</v>
          </cell>
        </row>
        <row r="150">
          <cell r="F150">
            <v>207</v>
          </cell>
          <cell r="G150">
            <v>35603.432536059889</v>
          </cell>
        </row>
        <row r="151">
          <cell r="F151">
            <v>199</v>
          </cell>
          <cell r="G151">
            <v>36333.759357312396</v>
          </cell>
        </row>
        <row r="152">
          <cell r="F152">
            <v>195</v>
          </cell>
          <cell r="G152">
            <v>31404.053313857956</v>
          </cell>
        </row>
        <row r="153">
          <cell r="F153">
            <v>172</v>
          </cell>
          <cell r="G153">
            <v>37794.412999817418</v>
          </cell>
        </row>
        <row r="154">
          <cell r="F154">
            <v>165</v>
          </cell>
          <cell r="G154">
            <v>30125.981376666059</v>
          </cell>
        </row>
        <row r="155">
          <cell r="F155">
            <v>163</v>
          </cell>
          <cell r="G155">
            <v>29578.236260726673</v>
          </cell>
        </row>
        <row r="156">
          <cell r="F156">
            <v>162</v>
          </cell>
          <cell r="G156">
            <v>25744.020449150994</v>
          </cell>
        </row>
        <row r="157">
          <cell r="F157">
            <v>160</v>
          </cell>
          <cell r="G157">
            <v>25013.693627898483</v>
          </cell>
        </row>
        <row r="158">
          <cell r="F158">
            <v>141</v>
          </cell>
          <cell r="G158">
            <v>29760.817966039802</v>
          </cell>
        </row>
        <row r="159">
          <cell r="F159">
            <v>137</v>
          </cell>
          <cell r="G159">
            <v>24100.785101332847</v>
          </cell>
        </row>
        <row r="160">
          <cell r="F160">
            <v>132</v>
          </cell>
          <cell r="G160">
            <v>21909.804637575315</v>
          </cell>
        </row>
        <row r="161">
          <cell r="F161">
            <v>120</v>
          </cell>
          <cell r="G161">
            <v>29213.07285010042</v>
          </cell>
        </row>
        <row r="162">
          <cell r="F162">
            <v>107</v>
          </cell>
          <cell r="G162">
            <v>19536.242468504657</v>
          </cell>
        </row>
        <row r="163">
          <cell r="F163">
            <v>98</v>
          </cell>
          <cell r="G163">
            <v>17893.007120686507</v>
          </cell>
        </row>
      </sheetData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axman/Downloads/Sales_data(EDA%20Exported)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an" refreshedDate="45977.498495601852" createdVersion="8" refreshedVersion="8" minRefreshableVersion="3" recordCount="1313" xr:uid="{A43FB9F1-9D84-4390-B390-AC87731797DA}">
  <cacheSource type="worksheet">
    <worksheetSource ref="A1:S1314" sheet="monthly" r:id="rId2"/>
  </cacheSource>
  <cacheFields count="20">
    <cacheField name="order_number" numFmtId="0">
      <sharedItems/>
    </cacheField>
    <cacheField name="order_date" numFmtId="14">
      <sharedItems containsSemiMixedTypes="0" containsNonDate="0" containsDate="1" containsString="0" minDate="2017-12-01T00:00:00" maxDate="2018-01-01T00:00:00"/>
    </cacheField>
    <cacheField name="customer_name" numFmtId="0">
      <sharedItems/>
    </cacheField>
    <cacheField name="channel" numFmtId="0">
      <sharedItems/>
    </cacheField>
    <cacheField name="product_name" numFmtId="0">
      <sharedItems count="30">
        <s v="Product 30"/>
        <s v="Product 25"/>
        <s v="Product 14"/>
        <s v="Product 8"/>
        <s v="Product 18"/>
        <s v="Product 28"/>
        <s v="Product 5"/>
        <s v="Product 2"/>
        <s v="Product 22"/>
        <s v="Product 13"/>
        <s v="Product 6"/>
        <s v="Product 26"/>
        <s v="Product 21"/>
        <s v="Product 15"/>
        <s v="Product 17"/>
        <s v="Product 16"/>
        <s v="Product 1"/>
        <s v="Product 3"/>
        <s v="Product 23"/>
        <s v="Product 4"/>
        <s v="Product 27"/>
        <s v="Product 11"/>
        <s v="Product 9"/>
        <s v="Product 19"/>
        <s v="Product 29"/>
        <s v="Product 7"/>
        <s v="Product 12"/>
        <s v="Product 20"/>
        <s v="Product 24"/>
        <s v="Product 10"/>
      </sharedItems>
    </cacheField>
    <cacheField name="quantity" numFmtId="1">
      <sharedItems containsSemiMixedTypes="0" containsString="0" containsNumber="1" containsInteger="1" minValue="5" maxValue="12"/>
    </cacheField>
    <cacheField name="unit_price" numFmtId="164">
      <sharedItems containsSemiMixedTypes="0" containsString="0" containsNumber="1" minValue="167.5" maxValue="6559.3"/>
    </cacheField>
    <cacheField name="total_sales" numFmtId="1">
      <sharedItems containsSemiMixedTypes="0" containsString="0" containsNumber="1" minValue="837.5" maxValue="78550.799999999988"/>
    </cacheField>
    <cacheField name="cost" numFmtId="165">
      <sharedItems containsSemiMixedTypes="0" containsString="0" containsNumber="1" minValue="68.674999999999997" maxValue="5371.9259999999904"/>
    </cacheField>
    <cacheField name="state" numFmtId="0">
      <sharedItems/>
    </cacheField>
    <cacheField name="state_name" numFmtId="0">
      <sharedItems/>
    </cacheField>
    <cacheField name="us_region" numFmtId="0">
      <sharedItems/>
    </cacheField>
    <cacheField name="budget" numFmtId="0">
      <sharedItems containsSemiMixedTypes="0" containsString="0" containsNumber="1" minValue="594471.56999999995" maxValue="5685138.2699999996"/>
    </cacheField>
    <cacheField name="total_cost" numFmtId="164">
      <sharedItems containsSemiMixedTypes="0" containsString="0" containsNumber="1" minValue="368.5" maxValue="55720.148000000001"/>
    </cacheField>
    <cacheField name="profit" numFmtId="164">
      <sharedItems containsSemiMixedTypes="0" containsString="0" containsNumber="1" minValue="125.625" maxValue="45559.464"/>
    </cacheField>
    <cacheField name="profit_margin_pct" numFmtId="0">
      <sharedItems containsSemiMixedTypes="0" containsString="0" containsNumber="1" minValue="14.999999999999901" maxValue="60"/>
    </cacheField>
    <cacheField name="order_month_name" numFmtId="0">
      <sharedItems/>
    </cacheField>
    <cacheField name="order_month_num" numFmtId="0">
      <sharedItems containsSemiMixedTypes="0" containsString="0" containsNumber="1" containsInteger="1" minValue="12" maxValue="12"/>
    </cacheField>
    <cacheField name="order_month" numFmtId="0">
      <sharedItems/>
    </cacheField>
    <cacheField name="weeknum" numFmtId="0">
      <sharedItems count="5">
        <s v="Week 1"/>
        <s v="Week 2"/>
        <s v="Week 3"/>
        <s v="Week 4"/>
        <s v="Week 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3">
  <r>
    <s v="SO - 0002805"/>
    <d v="2017-12-01T00:00:00"/>
    <s v="Gabvine Ltd"/>
    <s v="Wholesale"/>
    <x v="0"/>
    <n v="9"/>
    <n v="1802.3"/>
    <n v="16220.699999999999"/>
    <n v="901.15"/>
    <s v="IL"/>
    <s v="Illinois"/>
    <s v="Midwest"/>
    <n v="1011609.684"/>
    <n v="8110.3499999999904"/>
    <n v="8110.3499999999904"/>
    <n v="50"/>
    <s v="December"/>
    <n v="12"/>
    <s v="2017-12"/>
    <x v="0"/>
  </r>
  <r>
    <s v="SO - 0006558"/>
    <d v="2017-12-01T00:00:00"/>
    <s v="Sanum-Kehl Group"/>
    <s v="Distributor"/>
    <x v="1"/>
    <n v="5"/>
    <n v="1132.3"/>
    <n v="5661.5"/>
    <n v="781.28699999999901"/>
    <s v="FL"/>
    <s v="Florida"/>
    <s v="South"/>
    <n v="5342315.4840000002"/>
    <n v="3906.4349999999899"/>
    <n v="1755.0650000000001"/>
    <n v="31"/>
    <s v="December"/>
    <n v="12"/>
    <s v="2017-12"/>
    <x v="0"/>
  </r>
  <r>
    <s v="SO - 0006756"/>
    <d v="2017-12-01T00:00:00"/>
    <s v="Twimbo Company"/>
    <s v="Wholesale"/>
    <x v="2"/>
    <n v="11"/>
    <n v="3912.8"/>
    <n v="43040.800000000003"/>
    <n v="2934.6"/>
    <s v="NY"/>
    <s v="New York"/>
    <s v="Northeast"/>
    <n v="4028698.409"/>
    <n v="32280.6"/>
    <n v="10760.199999999901"/>
    <n v="24.999999999999901"/>
    <s v="December"/>
    <n v="12"/>
    <s v="2017-12"/>
    <x v="0"/>
  </r>
  <r>
    <s v="SO - 0008942"/>
    <d v="2017-12-01T00:00:00"/>
    <s v="Skinder Group"/>
    <s v="Export"/>
    <x v="3"/>
    <n v="5"/>
    <n v="5902.7"/>
    <n v="29513.5"/>
    <n v="4958.268"/>
    <s v="TX"/>
    <s v="Texas"/>
    <s v="South"/>
    <n v="1085037.3289999999"/>
    <n v="24791.34"/>
    <n v="4722.16"/>
    <n v="16"/>
    <s v="December"/>
    <n v="12"/>
    <s v="2017-12"/>
    <x v="0"/>
  </r>
  <r>
    <s v="SO - 0009265"/>
    <d v="2017-12-01T00:00:00"/>
    <s v="Aimbo Corp"/>
    <s v="Wholesale"/>
    <x v="4"/>
    <n v="11"/>
    <n v="5279.6"/>
    <n v="58075.600000000006"/>
    <n v="3167.76"/>
    <s v="PA"/>
    <s v="Pennsylvania"/>
    <s v="Northeast"/>
    <n v="2309499.0449999999"/>
    <n v="34845.360000000001"/>
    <n v="23230.240000000002"/>
    <n v="40"/>
    <s v="December"/>
    <n v="12"/>
    <s v="2017-12"/>
    <x v="0"/>
  </r>
  <r>
    <s v="SO - 0001687"/>
    <d v="2017-12-01T00:00:00"/>
    <s v="Mydeo Ltd"/>
    <s v="Distributor"/>
    <x v="4"/>
    <n v="5"/>
    <n v="3959.7"/>
    <n v="19798.5"/>
    <n v="2613.402"/>
    <s v="CA"/>
    <s v="California"/>
    <s v="West"/>
    <n v="2309499.0449999999"/>
    <n v="13067.01"/>
    <n v="6731.4899999999898"/>
    <n v="33.999999999999901"/>
    <s v="December"/>
    <n v="12"/>
    <s v="2017-12"/>
    <x v="0"/>
  </r>
  <r>
    <s v="SO - 0001878"/>
    <d v="2017-12-01T00:00:00"/>
    <s v="Geiss Company"/>
    <s v="Distributor"/>
    <x v="5"/>
    <n v="6"/>
    <n v="1835.8"/>
    <n v="11014.8"/>
    <n v="1083.1219999999901"/>
    <s v="CA"/>
    <s v="California"/>
    <s v="West"/>
    <n v="1003867.767"/>
    <n v="6498.73199999999"/>
    <n v="4516.0680000000002"/>
    <n v="41"/>
    <s v="December"/>
    <n v="12"/>
    <s v="2017-12"/>
    <x v="0"/>
  </r>
  <r>
    <s v="SO - 0003016"/>
    <d v="2017-12-01T00:00:00"/>
    <s v="Unit Ltd"/>
    <s v="Distributor"/>
    <x v="6"/>
    <n v="11"/>
    <n v="3993.2"/>
    <n v="43925.2"/>
    <n v="2954.9679999999998"/>
    <s v="AR"/>
    <s v="Arkansas"/>
    <s v="South"/>
    <n v="3925424.5419999999"/>
    <n v="32504.648000000001"/>
    <n v="11420.552"/>
    <n v="25.999999999999901"/>
    <s v="December"/>
    <n v="12"/>
    <s v="2017-12"/>
    <x v="0"/>
  </r>
  <r>
    <s v="SO - 0003861"/>
    <d v="2017-12-01T00:00:00"/>
    <s v="Fivechat Company"/>
    <s v="Distributor"/>
    <x v="1"/>
    <n v="9"/>
    <n v="1051.9000000000001"/>
    <n v="9467.1"/>
    <n v="557.50699999999995"/>
    <s v="CA"/>
    <s v="California"/>
    <s v="West"/>
    <n v="5342315.4840000002"/>
    <n v="5017.5630000000001"/>
    <n v="4449.5370000000003"/>
    <n v="47"/>
    <s v="December"/>
    <n v="12"/>
    <s v="2017-12"/>
    <x v="0"/>
  </r>
  <r>
    <s v="SO - 0005161"/>
    <d v="2017-12-01T00:00:00"/>
    <s v="Clinique Ltd"/>
    <s v="Wholesale"/>
    <x v="2"/>
    <n v="9"/>
    <n v="3162.4"/>
    <n v="28461.600000000002"/>
    <n v="1739.32"/>
    <s v="IA"/>
    <s v="Iowa"/>
    <s v="Midwest"/>
    <n v="4028698.409"/>
    <n v="15653.88"/>
    <n v="12807.72"/>
    <n v="45"/>
    <s v="December"/>
    <n v="12"/>
    <s v="2017-12"/>
    <x v="0"/>
  </r>
  <r>
    <s v="SO - 0007758"/>
    <d v="2017-12-01T00:00:00"/>
    <s v="Realbridge Corp"/>
    <s v="Wholesale"/>
    <x v="7"/>
    <n v="9"/>
    <n v="3088.7"/>
    <n v="27798.3"/>
    <n v="2192.9769999999999"/>
    <s v="CA"/>
    <s v="California"/>
    <s v="West"/>
    <n v="3050087.5649999999"/>
    <n v="19736.7929999999"/>
    <n v="8061.5069999999996"/>
    <n v="29"/>
    <s v="December"/>
    <n v="12"/>
    <s v="2017-12"/>
    <x v="0"/>
  </r>
  <r>
    <s v="SO - 0008139"/>
    <d v="2017-12-01T00:00:00"/>
    <s v="Vimbo Company"/>
    <s v="Wholesale"/>
    <x v="1"/>
    <n v="8"/>
    <n v="1916.2"/>
    <n v="15329.6"/>
    <n v="1341.34"/>
    <s v="WA"/>
    <s v="Washington"/>
    <s v="West"/>
    <n v="5342315.4840000002"/>
    <n v="10730.72"/>
    <n v="4598.88"/>
    <n v="30"/>
    <s v="December"/>
    <n v="12"/>
    <s v="2017-12"/>
    <x v="0"/>
  </r>
  <r>
    <s v="SO - 0001113"/>
    <d v="2017-12-01T00:00:00"/>
    <s v="Oozz Group"/>
    <s v="Wholesale"/>
    <x v="8"/>
    <n v="11"/>
    <n v="3390.2"/>
    <n v="37292.199999999997"/>
    <n v="1932.414"/>
    <s v="TX"/>
    <s v="Texas"/>
    <s v="South"/>
    <n v="663601.902"/>
    <n v="21256.554"/>
    <n v="16035.646000000001"/>
    <n v="43"/>
    <s v="December"/>
    <n v="12"/>
    <s v="2017-12"/>
    <x v="0"/>
  </r>
  <r>
    <s v="SO - 0004085"/>
    <d v="2017-12-01T00:00:00"/>
    <s v="Bath Group"/>
    <s v="Wholesale"/>
    <x v="1"/>
    <n v="10"/>
    <n v="3886"/>
    <n v="38860"/>
    <n v="2137.3000000000002"/>
    <s v="MD"/>
    <s v="Maryland"/>
    <s v="South"/>
    <n v="5342315.4840000002"/>
    <n v="21373"/>
    <n v="17487"/>
    <n v="45"/>
    <s v="December"/>
    <n v="12"/>
    <s v="2017-12"/>
    <x v="0"/>
  </r>
  <r>
    <s v="SO - 0007594"/>
    <d v="2017-12-01T00:00:00"/>
    <s v="Dynazzy Company"/>
    <s v="Wholesale"/>
    <x v="2"/>
    <n v="9"/>
    <n v="167.5"/>
    <n v="1507.5"/>
    <n v="73.7"/>
    <s v="NV"/>
    <s v="Nevada"/>
    <s v="West"/>
    <n v="4028698.409"/>
    <n v="663.3"/>
    <n v="844.19999999999902"/>
    <n v="55.999999999999901"/>
    <s v="December"/>
    <n v="12"/>
    <s v="2017-12"/>
    <x v="0"/>
  </r>
  <r>
    <s v="SO - 0007676"/>
    <d v="2017-12-01T00:00:00"/>
    <s v="Meijer Corp"/>
    <s v="Wholesale"/>
    <x v="9"/>
    <n v="8"/>
    <n v="3953"/>
    <n v="31624"/>
    <n v="2608.98"/>
    <s v="CA"/>
    <s v="California"/>
    <s v="West"/>
    <n v="3720639.645"/>
    <n v="20871.84"/>
    <n v="10752.16"/>
    <n v="34"/>
    <s v="December"/>
    <n v="12"/>
    <s v="2017-12"/>
    <x v="0"/>
  </r>
  <r>
    <s v="SO - 0010099"/>
    <d v="2017-12-01T00:00:00"/>
    <s v="Twimbo Company"/>
    <s v="Distributor"/>
    <x v="10"/>
    <n v="10"/>
    <n v="207.7"/>
    <n v="2077"/>
    <n v="128.774"/>
    <s v="CT"/>
    <s v="Connecticut"/>
    <s v="Northeast"/>
    <n v="1672229.416"/>
    <n v="1287.74"/>
    <n v="789.26"/>
    <n v="38"/>
    <s v="December"/>
    <n v="12"/>
    <s v="2017-12"/>
    <x v="0"/>
  </r>
  <r>
    <s v="SO - 0009123"/>
    <d v="2017-12-01T00:00:00"/>
    <s v="Skinder Group"/>
    <s v="Distributor"/>
    <x v="7"/>
    <n v="6"/>
    <n v="864.3"/>
    <n v="5185.7999999999993"/>
    <n v="380.29199999999997"/>
    <s v="AZ"/>
    <s v="Arizona"/>
    <s v="West"/>
    <n v="3050087.5649999999"/>
    <n v="2281.752"/>
    <n v="2904.0479999999998"/>
    <n v="55.999999999999901"/>
    <s v="December"/>
    <n v="12"/>
    <s v="2017-12"/>
    <x v="0"/>
  </r>
  <r>
    <s v="SO - 000597"/>
    <d v="2017-12-01T00:00:00"/>
    <s v="Voolia Ltd"/>
    <s v="Wholesale"/>
    <x v="9"/>
    <n v="10"/>
    <n v="5487.3"/>
    <n v="54873"/>
    <n v="3127.761"/>
    <s v="PA"/>
    <s v="Pennsylvania"/>
    <s v="Northeast"/>
    <n v="3720639.645"/>
    <n v="31277.61"/>
    <n v="23595.39"/>
    <n v="43"/>
    <s v="December"/>
    <n v="12"/>
    <s v="2017-12"/>
    <x v="0"/>
  </r>
  <r>
    <s v="SO - 0001835"/>
    <d v="2017-12-01T00:00:00"/>
    <s v="Supervalu Ltd"/>
    <s v="Wholesale"/>
    <x v="11"/>
    <n v="10"/>
    <n v="3832.4"/>
    <n v="38324"/>
    <n v="2184.4679999999998"/>
    <s v="OH"/>
    <s v="Ohio"/>
    <s v="Midwest"/>
    <n v="5685138.2699999996"/>
    <n v="21844.68"/>
    <n v="16479.32"/>
    <n v="43"/>
    <s v="December"/>
    <n v="12"/>
    <s v="2017-12"/>
    <x v="0"/>
  </r>
  <r>
    <s v="SO - 0002851"/>
    <d v="2017-12-01T00:00:00"/>
    <s v="Meejo Corp"/>
    <s v="Export"/>
    <x v="2"/>
    <n v="7"/>
    <n v="2485.6999999999998"/>
    <n v="17399.899999999998"/>
    <n v="1466.5630000000001"/>
    <s v="OH"/>
    <s v="Ohio"/>
    <s v="Midwest"/>
    <n v="4028698.409"/>
    <n v="10265.941000000001"/>
    <n v="7133.9589999999998"/>
    <n v="41"/>
    <s v="December"/>
    <n v="12"/>
    <s v="2017-12"/>
    <x v="0"/>
  </r>
  <r>
    <s v="SO - 0005364"/>
    <d v="2017-12-01T00:00:00"/>
    <s v="Realbuzz Ltd"/>
    <s v="Distributor"/>
    <x v="12"/>
    <n v="7"/>
    <n v="2726.9"/>
    <n v="19088.3"/>
    <n v="2045.175"/>
    <s v="FL"/>
    <s v="Florida"/>
    <s v="South"/>
    <n v="959899.21799999999"/>
    <n v="14316.225"/>
    <n v="4772.0749999999898"/>
    <n v="24.999999999999901"/>
    <s v="December"/>
    <n v="12"/>
    <s v="2017-12"/>
    <x v="0"/>
  </r>
  <r>
    <s v="SO - 0009010"/>
    <d v="2017-12-01T00:00:00"/>
    <s v="Ncs Group"/>
    <s v="Distributor"/>
    <x v="11"/>
    <n v="11"/>
    <n v="3953"/>
    <n v="43483"/>
    <n v="2767.1"/>
    <s v="IL"/>
    <s v="Illinois"/>
    <s v="Midwest"/>
    <n v="5685138.2699999996"/>
    <n v="30438.1"/>
    <n v="13044.9"/>
    <n v="30"/>
    <s v="December"/>
    <n v="12"/>
    <s v="2017-12"/>
    <x v="0"/>
  </r>
  <r>
    <s v="SO - 0009324"/>
    <d v="2017-12-01T00:00:00"/>
    <s v="Buzzshare Company"/>
    <s v="Distributor"/>
    <x v="13"/>
    <n v="11"/>
    <n v="187.6"/>
    <n v="2063.6"/>
    <n v="93.8"/>
    <s v="MA"/>
    <s v="Massachusetts"/>
    <s v="Northeast"/>
    <n v="3299478.3149999999"/>
    <n v="1031.8"/>
    <n v="1031.8"/>
    <n v="50"/>
    <s v="December"/>
    <n v="12"/>
    <s v="2017-12"/>
    <x v="0"/>
  </r>
  <r>
    <s v="SO - 0009705"/>
    <d v="2017-12-01T00:00:00"/>
    <s v="Eidel Corp"/>
    <s v="Distributor"/>
    <x v="14"/>
    <n v="11"/>
    <n v="3973.1"/>
    <n v="43704.1"/>
    <n v="2423.5909999999999"/>
    <s v="OK"/>
    <s v="Oklahoma"/>
    <s v="South"/>
    <n v="2119616.824"/>
    <n v="26659.501"/>
    <n v="17044.598999999998"/>
    <n v="38.999999999999901"/>
    <s v="December"/>
    <n v="12"/>
    <s v="2017-12"/>
    <x v="0"/>
  </r>
  <r>
    <s v="SO - 0009597"/>
    <d v="2017-12-01T00:00:00"/>
    <s v="Roomm Company"/>
    <s v="Wholesale"/>
    <x v="11"/>
    <n v="5"/>
    <n v="1118.9000000000001"/>
    <n v="5594.5"/>
    <n v="492.31599999999997"/>
    <s v="MA"/>
    <s v="Massachusetts"/>
    <s v="Northeast"/>
    <n v="5685138.2699999996"/>
    <n v="2461.58"/>
    <n v="3132.92"/>
    <n v="56"/>
    <s v="December"/>
    <n v="12"/>
    <s v="2017-12"/>
    <x v="0"/>
  </r>
  <r>
    <s v="SO - 000368"/>
    <d v="2017-12-01T00:00:00"/>
    <s v="Skippad Ltd"/>
    <s v="Wholesale"/>
    <x v="15"/>
    <n v="10"/>
    <n v="5098.7"/>
    <n v="50987"/>
    <n v="3416.1289999999999"/>
    <s v="CA"/>
    <s v="California"/>
    <s v="West"/>
    <n v="2062061.1440000001"/>
    <n v="34161.29"/>
    <n v="16825.71"/>
    <n v="32.999999999999901"/>
    <s v="December"/>
    <n v="12"/>
    <s v="2017-12"/>
    <x v="0"/>
  </r>
  <r>
    <s v="SO - 000632"/>
    <d v="2017-12-01T00:00:00"/>
    <s v="Arbor Company"/>
    <s v="Distributor"/>
    <x v="4"/>
    <n v="8"/>
    <n v="1835.8"/>
    <n v="14686.4"/>
    <n v="1248.3440000000001"/>
    <s v="CA"/>
    <s v="California"/>
    <s v="West"/>
    <n v="2309499.0449999999"/>
    <n v="9986.7520000000004"/>
    <n v="4699.6479999999901"/>
    <n v="31.999999999999901"/>
    <s v="December"/>
    <n v="12"/>
    <s v="2017-12"/>
    <x v="0"/>
  </r>
  <r>
    <s v="SO - 0001155"/>
    <d v="2017-12-01T00:00:00"/>
    <s v="Emd Group"/>
    <s v="Wholesale"/>
    <x v="4"/>
    <n v="9"/>
    <n v="1038.5"/>
    <n v="9346.5"/>
    <n v="643.87"/>
    <s v="GA"/>
    <s v="Georgia"/>
    <s v="South"/>
    <n v="2309499.0449999999"/>
    <n v="5794.83"/>
    <n v="3551.67"/>
    <n v="38"/>
    <s v="December"/>
    <n v="12"/>
    <s v="2017-12"/>
    <x v="0"/>
  </r>
  <r>
    <s v="SO - 0002389"/>
    <d v="2017-12-01T00:00:00"/>
    <s v="Meejo Corp"/>
    <s v="Distributor"/>
    <x v="9"/>
    <n v="5"/>
    <n v="6277.9"/>
    <n v="31389.5"/>
    <n v="3201.7289999999998"/>
    <s v="MD"/>
    <s v="Maryland"/>
    <s v="South"/>
    <n v="3720639.645"/>
    <n v="16008.645"/>
    <n v="15380.855"/>
    <n v="49"/>
    <s v="December"/>
    <n v="12"/>
    <s v="2017-12"/>
    <x v="0"/>
  </r>
  <r>
    <s v="SO - 0003889"/>
    <d v="2017-12-01T00:00:00"/>
    <s v="Dazzlesphe Corp"/>
    <s v="Wholesale"/>
    <x v="13"/>
    <n v="5"/>
    <n v="1882.7"/>
    <n v="9413.5"/>
    <n v="903.69600000000003"/>
    <s v="FL"/>
    <s v="Florida"/>
    <s v="South"/>
    <n v="3299478.3149999999"/>
    <n v="4518.4799999999996"/>
    <n v="4895.0199999999904"/>
    <n v="51.999999999999901"/>
    <s v="December"/>
    <n v="12"/>
    <s v="2017-12"/>
    <x v="0"/>
  </r>
  <r>
    <s v="SO - 0007099"/>
    <d v="2017-12-01T00:00:00"/>
    <s v="Jayo Company"/>
    <s v="Distributor"/>
    <x v="7"/>
    <n v="7"/>
    <n v="3899.4"/>
    <n v="27295.8"/>
    <n v="1598.7539999999999"/>
    <s v="KY"/>
    <s v="Kentucky"/>
    <s v="South"/>
    <n v="3050087.5649999999"/>
    <n v="11191.2779999999"/>
    <n v="16104.522000000001"/>
    <n v="59"/>
    <s v="December"/>
    <n v="12"/>
    <s v="2017-12"/>
    <x v="0"/>
  </r>
  <r>
    <s v="SO - 0007467"/>
    <d v="2017-12-01T00:00:00"/>
    <s v="Bta Corp"/>
    <s v="Distributor"/>
    <x v="15"/>
    <n v="8"/>
    <n v="1038.5"/>
    <n v="8308"/>
    <n v="425.784999999999"/>
    <s v="IL"/>
    <s v="Illinois"/>
    <s v="Midwest"/>
    <n v="2062061.1440000001"/>
    <n v="3406.2799999999902"/>
    <n v="4901.72"/>
    <n v="59"/>
    <s v="December"/>
    <n v="12"/>
    <s v="2017-12"/>
    <x v="0"/>
  </r>
  <r>
    <s v="SO - 0009103"/>
    <d v="2017-12-01T00:00:00"/>
    <s v="Eidel Corp"/>
    <s v="Wholesale"/>
    <x v="9"/>
    <n v="12"/>
    <n v="1721.9"/>
    <n v="20662.800000000003"/>
    <n v="843.73099999999999"/>
    <s v="MD"/>
    <s v="Maryland"/>
    <s v="South"/>
    <n v="3720639.645"/>
    <n v="10124.772000000001"/>
    <n v="10538.028"/>
    <n v="51"/>
    <s v="December"/>
    <n v="12"/>
    <s v="2017-12"/>
    <x v="0"/>
  </r>
  <r>
    <s v="SO - 0008468"/>
    <d v="2017-12-01T00:00:00"/>
    <s v="Alembic Ltd"/>
    <s v="Wholesale"/>
    <x v="16"/>
    <n v="7"/>
    <n v="5621.3"/>
    <n v="39349.1"/>
    <n v="3541.4189999999999"/>
    <s v="CA"/>
    <s v="California"/>
    <s v="West"/>
    <n v="3016489.2089999998"/>
    <n v="24789.933000000001"/>
    <n v="14559.166999999899"/>
    <n v="36.999999999999901"/>
    <s v="December"/>
    <n v="12"/>
    <s v="2017-12"/>
    <x v="0"/>
  </r>
  <r>
    <s v="SO - 0003875"/>
    <d v="2017-12-01T00:00:00"/>
    <s v="Linkbuzz Ltd"/>
    <s v="Distributor"/>
    <x v="17"/>
    <n v="8"/>
    <n v="2613"/>
    <n v="20904"/>
    <n v="1907.49"/>
    <s v="MA"/>
    <s v="Massachusetts"/>
    <s v="Northeast"/>
    <n v="2642352.432"/>
    <n v="15259.92"/>
    <n v="5644.08"/>
    <n v="27"/>
    <s v="December"/>
    <n v="12"/>
    <s v="2017-12"/>
    <x v="0"/>
  </r>
  <r>
    <s v="SO - 0006577"/>
    <d v="2017-12-01T00:00:00"/>
    <s v="True Ltd"/>
    <s v="Wholesale"/>
    <x v="9"/>
    <n v="9"/>
    <n v="6478.9"/>
    <n v="58310.1"/>
    <n v="5183.12"/>
    <s v="CA"/>
    <s v="California"/>
    <s v="West"/>
    <n v="3720639.645"/>
    <n v="46648.08"/>
    <n v="11662.0199999999"/>
    <n v="19.999999999999901"/>
    <s v="December"/>
    <n v="12"/>
    <s v="2017-12"/>
    <x v="0"/>
  </r>
  <r>
    <s v="SO - 0002158"/>
    <d v="2017-12-02T00:00:00"/>
    <s v="Skinder Group"/>
    <s v="Wholesale"/>
    <x v="2"/>
    <n v="5"/>
    <n v="676.7"/>
    <n v="3383.5"/>
    <n v="433.08800000000002"/>
    <s v="WA"/>
    <s v="Washington"/>
    <s v="West"/>
    <n v="4028698.409"/>
    <n v="2165.44"/>
    <n v="1218.06"/>
    <n v="36"/>
    <s v="December"/>
    <n v="12"/>
    <s v="2017-12"/>
    <x v="0"/>
  </r>
  <r>
    <s v="SO - 0005722"/>
    <d v="2017-12-02T00:00:00"/>
    <s v="Organon Corp"/>
    <s v="Wholesale"/>
    <x v="1"/>
    <n v="10"/>
    <n v="1038.5"/>
    <n v="10385"/>
    <n v="498.479999999999"/>
    <s v="UT"/>
    <s v="Utah"/>
    <s v="West"/>
    <n v="5342315.4840000002"/>
    <n v="4984.7999999999902"/>
    <n v="5400.2"/>
    <n v="52"/>
    <s v="December"/>
    <n v="12"/>
    <s v="2017-12"/>
    <x v="0"/>
  </r>
  <r>
    <s v="SO - 0006683"/>
    <d v="2017-12-02T00:00:00"/>
    <s v="Terumo Corp"/>
    <s v="Wholesale"/>
    <x v="3"/>
    <n v="9"/>
    <n v="3879.3"/>
    <n v="34913.700000000004"/>
    <n v="3219.819"/>
    <s v="WI"/>
    <s v="Wisconsin"/>
    <s v="Midwest"/>
    <n v="1085037.3289999999"/>
    <n v="28978.370999999999"/>
    <n v="5935.3289999999997"/>
    <n v="17"/>
    <s v="December"/>
    <n v="12"/>
    <s v="2017-12"/>
    <x v="0"/>
  </r>
  <r>
    <s v="SO - 0007603"/>
    <d v="2017-12-02T00:00:00"/>
    <s v="Colgate-Pa Group"/>
    <s v="Wholesale"/>
    <x v="6"/>
    <n v="9"/>
    <n v="6472.2"/>
    <n v="58249.799999999996"/>
    <n v="5371.9259999999904"/>
    <s v="RI"/>
    <s v="Rhode Island"/>
    <s v="Northeast"/>
    <n v="3925424.5419999999"/>
    <n v="48347.333999999901"/>
    <n v="9902.4660000000003"/>
    <n v="17"/>
    <s v="December"/>
    <n v="12"/>
    <s v="2017-12"/>
    <x v="0"/>
  </r>
  <r>
    <s v="SO - 0010731"/>
    <d v="2017-12-02T00:00:00"/>
    <s v="Pixoboo Corp"/>
    <s v="Export"/>
    <x v="18"/>
    <n v="12"/>
    <n v="1132.3"/>
    <n v="13587.599999999999"/>
    <n v="951.13199999999995"/>
    <s v="IL"/>
    <s v="Illinois"/>
    <s v="Midwest"/>
    <n v="1135815.7579999999"/>
    <n v="11413.583999999901"/>
    <n v="2174.0159999999901"/>
    <n v="15.999999999999901"/>
    <s v="December"/>
    <n v="12"/>
    <s v="2017-12"/>
    <x v="0"/>
  </r>
  <r>
    <s v="SO - 0002133"/>
    <d v="2017-12-02T00:00:00"/>
    <s v="Dazzlesphe Corp"/>
    <s v="Distributor"/>
    <x v="11"/>
    <n v="10"/>
    <n v="3390.2"/>
    <n v="33902"/>
    <n v="2000.2180000000001"/>
    <s v="OK"/>
    <s v="Oklahoma"/>
    <s v="South"/>
    <n v="5685138.2699999996"/>
    <n v="20002.18"/>
    <n v="13899.82"/>
    <n v="41"/>
    <s v="December"/>
    <n v="12"/>
    <s v="2017-12"/>
    <x v="0"/>
  </r>
  <r>
    <s v="SO - 0002560"/>
    <d v="2017-12-02T00:00:00"/>
    <s v="Linklinks Ltd"/>
    <s v="Wholesale"/>
    <x v="7"/>
    <n v="9"/>
    <n v="3845.8"/>
    <n v="34612.200000000004"/>
    <n v="1845.9839999999999"/>
    <s v="WI"/>
    <s v="Wisconsin"/>
    <s v="Midwest"/>
    <n v="3050087.5649999999"/>
    <n v="16613.856"/>
    <n v="17998.344000000001"/>
    <n v="52"/>
    <s v="December"/>
    <n v="12"/>
    <s v="2017-12"/>
    <x v="0"/>
  </r>
  <r>
    <s v="SO - 0004584"/>
    <d v="2017-12-02T00:00:00"/>
    <s v="Wockhardt Group"/>
    <s v="Wholesale"/>
    <x v="15"/>
    <n v="10"/>
    <n v="187.6"/>
    <n v="1876"/>
    <n v="91.923999999999893"/>
    <s v="CT"/>
    <s v="Connecticut"/>
    <s v="Northeast"/>
    <n v="2062061.1440000001"/>
    <n v="919.23999999999899"/>
    <n v="956.76"/>
    <n v="51"/>
    <s v="December"/>
    <n v="12"/>
    <s v="2017-12"/>
    <x v="0"/>
  </r>
  <r>
    <s v="SO - 0004970"/>
    <d v="2017-12-02T00:00:00"/>
    <s v="Janyx Group"/>
    <s v="Wholesale"/>
    <x v="9"/>
    <n v="9"/>
    <n v="268"/>
    <n v="2412"/>
    <n v="123.28"/>
    <s v="CA"/>
    <s v="California"/>
    <s v="West"/>
    <n v="3720639.645"/>
    <n v="1109.52"/>
    <n v="1302.48"/>
    <n v="54"/>
    <s v="December"/>
    <n v="12"/>
    <s v="2017-12"/>
    <x v="0"/>
  </r>
  <r>
    <s v="SO - 0005600"/>
    <d v="2017-12-02T00:00:00"/>
    <s v="Cadila Ltd"/>
    <s v="Wholesale"/>
    <x v="1"/>
    <n v="7"/>
    <n v="971.5"/>
    <n v="6800.5"/>
    <n v="505.18"/>
    <s v="NJ"/>
    <s v="New Jersey"/>
    <s v="Northeast"/>
    <n v="5342315.4840000002"/>
    <n v="3536.26"/>
    <n v="3264.24"/>
    <n v="48"/>
    <s v="December"/>
    <n v="12"/>
    <s v="2017-12"/>
    <x v="0"/>
  </r>
  <r>
    <s v="SO - 0005679"/>
    <d v="2017-12-02T00:00:00"/>
    <s v="State Ltd"/>
    <s v="Wholesale"/>
    <x v="17"/>
    <n v="10"/>
    <n v="1118.9000000000001"/>
    <n v="11189"/>
    <n v="783.23"/>
    <s v="AR"/>
    <s v="Arkansas"/>
    <s v="South"/>
    <n v="2642352.432"/>
    <n v="7832.3"/>
    <n v="3356.7"/>
    <n v="30"/>
    <s v="December"/>
    <n v="12"/>
    <s v="2017-12"/>
    <x v="0"/>
  </r>
  <r>
    <s v="SO - 0006417"/>
    <d v="2017-12-02T00:00:00"/>
    <s v="Rochester Group"/>
    <s v="Wholesale"/>
    <x v="11"/>
    <n v="6"/>
    <n v="2371.8000000000002"/>
    <n v="14230.800000000001"/>
    <n v="1778.85"/>
    <s v="FL"/>
    <s v="Florida"/>
    <s v="South"/>
    <n v="5685138.2699999996"/>
    <n v="10673.1"/>
    <n v="3557.7"/>
    <n v="25"/>
    <s v="December"/>
    <n v="12"/>
    <s v="2017-12"/>
    <x v="0"/>
  </r>
  <r>
    <s v="SO - 0008210"/>
    <d v="2017-12-02T00:00:00"/>
    <s v="Linkbuzz Ltd"/>
    <s v="Wholesale"/>
    <x v="11"/>
    <n v="7"/>
    <n v="4013.3"/>
    <n v="28093.100000000002"/>
    <n v="2367.8470000000002"/>
    <s v="NJ"/>
    <s v="New Jersey"/>
    <s v="Northeast"/>
    <n v="5685138.2699999996"/>
    <n v="16574.929"/>
    <n v="11518.171"/>
    <n v="41"/>
    <s v="December"/>
    <n v="12"/>
    <s v="2017-12"/>
    <x v="0"/>
  </r>
  <r>
    <s v="SO - 0008137"/>
    <d v="2017-12-02T00:00:00"/>
    <s v="Ascend Ltd"/>
    <s v="Export"/>
    <x v="13"/>
    <n v="6"/>
    <n v="3865.9"/>
    <n v="23195.4"/>
    <n v="2396.8580000000002"/>
    <s v="CA"/>
    <s v="California"/>
    <s v="West"/>
    <n v="3299478.3149999999"/>
    <n v="14381.147999999999"/>
    <n v="8814.2520000000004"/>
    <n v="38"/>
    <s v="December"/>
    <n v="12"/>
    <s v="2017-12"/>
    <x v="0"/>
  </r>
  <r>
    <s v="SO - 0003048"/>
    <d v="2017-12-02T00:00:00"/>
    <s v="Skippad Ltd"/>
    <s v="Wholesale"/>
    <x v="9"/>
    <n v="5"/>
    <n v="1775.5"/>
    <n v="8877.5"/>
    <n v="1065.3"/>
    <s v="CA"/>
    <s v="California"/>
    <s v="West"/>
    <n v="3720639.645"/>
    <n v="5326.5"/>
    <n v="3551"/>
    <n v="40"/>
    <s v="December"/>
    <n v="12"/>
    <s v="2017-12"/>
    <x v="0"/>
  </r>
  <r>
    <s v="SO - 0003195"/>
    <d v="2017-12-02T00:00:00"/>
    <s v="Kaymbo Company"/>
    <s v="Wholesale"/>
    <x v="15"/>
    <n v="5"/>
    <n v="1105.5"/>
    <n v="5527.5"/>
    <n v="707.52"/>
    <s v="FL"/>
    <s v="Florida"/>
    <s v="South"/>
    <n v="2062061.1440000001"/>
    <n v="3537.6"/>
    <n v="1989.9"/>
    <n v="36"/>
    <s v="December"/>
    <n v="12"/>
    <s v="2017-12"/>
    <x v="0"/>
  </r>
  <r>
    <s v="SO - 0008098"/>
    <d v="2017-12-02T00:00:00"/>
    <s v="Revitol Company"/>
    <s v="Export"/>
    <x v="19"/>
    <n v="5"/>
    <n v="6164"/>
    <n v="30820"/>
    <n v="4129.88"/>
    <s v="IL"/>
    <s v="Illinois"/>
    <s v="Midwest"/>
    <n v="2885560.824"/>
    <n v="20649.400000000001"/>
    <n v="10170.5999999999"/>
    <n v="32.999999999999901"/>
    <s v="December"/>
    <n v="12"/>
    <s v="2017-12"/>
    <x v="0"/>
  </r>
  <r>
    <s v="SO - 0008497"/>
    <d v="2017-12-02T00:00:00"/>
    <s v="Kaymbo Company"/>
    <s v="Distributor"/>
    <x v="11"/>
    <n v="9"/>
    <n v="2412"/>
    <n v="21708"/>
    <n v="1784.8799999999901"/>
    <s v="MA"/>
    <s v="Massachusetts"/>
    <s v="Northeast"/>
    <n v="5685138.2699999996"/>
    <n v="16063.9199999999"/>
    <n v="5644.08"/>
    <n v="26"/>
    <s v="December"/>
    <n v="12"/>
    <s v="2017-12"/>
    <x v="0"/>
  </r>
  <r>
    <s v="SO - 0009293"/>
    <d v="2017-12-02T00:00:00"/>
    <s v="Camido Company"/>
    <s v="Wholesale"/>
    <x v="16"/>
    <n v="8"/>
    <n v="3966.4"/>
    <n v="31731.200000000001"/>
    <n v="2300.5119999999902"/>
    <s v="FL"/>
    <s v="Florida"/>
    <s v="South"/>
    <n v="3016489.2089999998"/>
    <n v="18404.0959999999"/>
    <n v="13327.103999999999"/>
    <n v="42"/>
    <s v="December"/>
    <n v="12"/>
    <s v="2017-12"/>
    <x v="0"/>
  </r>
  <r>
    <s v="SO - 0009684"/>
    <d v="2017-12-02T00:00:00"/>
    <s v="Pixoboo Corp"/>
    <s v="Wholesale"/>
    <x v="13"/>
    <n v="5"/>
    <n v="2365.1"/>
    <n v="11825.5"/>
    <n v="1702.8719999999901"/>
    <s v="FL"/>
    <s v="Florida"/>
    <s v="South"/>
    <n v="3299478.3149999999"/>
    <n v="8514.3599999999897"/>
    <n v="3311.14"/>
    <n v="28"/>
    <s v="December"/>
    <n v="12"/>
    <s v="2017-12"/>
    <x v="0"/>
  </r>
  <r>
    <s v="SO - 0005367"/>
    <d v="2017-12-02T00:00:00"/>
    <s v="Unit Ltd"/>
    <s v="Wholesale"/>
    <x v="20"/>
    <n v="7"/>
    <n v="2525.9"/>
    <n v="17681.3"/>
    <n v="1338.7270000000001"/>
    <s v="OK"/>
    <s v="Oklahoma"/>
    <s v="South"/>
    <n v="964940.23100000003"/>
    <n v="9371.0889999999999"/>
    <n v="8310.2109999999993"/>
    <n v="47"/>
    <s v="December"/>
    <n v="12"/>
    <s v="2017-12"/>
    <x v="0"/>
  </r>
  <r>
    <s v="SO - 0007598"/>
    <d v="2017-12-02T00:00:00"/>
    <s v="Woonsocket Corp"/>
    <s v="Export"/>
    <x v="10"/>
    <n v="12"/>
    <n v="1085.4000000000001"/>
    <n v="13024.800000000001"/>
    <n v="477.57600000000002"/>
    <s v="FL"/>
    <s v="Florida"/>
    <s v="South"/>
    <n v="1672229.416"/>
    <n v="5730.9120000000003"/>
    <n v="7293.8879999999999"/>
    <n v="56"/>
    <s v="December"/>
    <n v="12"/>
    <s v="2017-12"/>
    <x v="0"/>
  </r>
  <r>
    <s v="SO - 0008830"/>
    <d v="2017-12-02T00:00:00"/>
    <s v="Snaptags Ltd"/>
    <s v="Wholesale"/>
    <x v="1"/>
    <n v="11"/>
    <n v="1815.7"/>
    <n v="19972.7"/>
    <n v="1434.403"/>
    <s v="IA"/>
    <s v="Iowa"/>
    <s v="Midwest"/>
    <n v="5342315.4840000002"/>
    <n v="15778.433000000001"/>
    <n v="4194.2669999999998"/>
    <n v="21"/>
    <s v="December"/>
    <n v="12"/>
    <s v="2017-12"/>
    <x v="0"/>
  </r>
  <r>
    <s v="SO - 0008408"/>
    <d v="2017-12-02T00:00:00"/>
    <s v="Gabvine Ltd"/>
    <s v="Distributor"/>
    <x v="11"/>
    <n v="7"/>
    <n v="3966.4"/>
    <n v="27764.799999999999"/>
    <n v="2379.84"/>
    <s v="IL"/>
    <s v="Illinois"/>
    <s v="Midwest"/>
    <n v="5685138.2699999996"/>
    <n v="16658.88"/>
    <n v="11105.9199999999"/>
    <n v="40"/>
    <s v="December"/>
    <n v="12"/>
    <s v="2017-12"/>
    <x v="0"/>
  </r>
  <r>
    <s v="SO - 0008679"/>
    <d v="2017-12-02T00:00:00"/>
    <s v="Dynazzy Company"/>
    <s v="Wholesale"/>
    <x v="7"/>
    <n v="8"/>
    <n v="1098.8"/>
    <n v="8790.4"/>
    <n v="483.47199999999998"/>
    <s v="SC"/>
    <s v="South Carolina"/>
    <s v="South"/>
    <n v="3050087.5649999999"/>
    <n v="3867.7759999999998"/>
    <n v="4922.6239999999998"/>
    <n v="56"/>
    <s v="December"/>
    <n v="12"/>
    <s v="2017-12"/>
    <x v="0"/>
  </r>
  <r>
    <s v="SO - 0001172"/>
    <d v="2017-12-02T00:00:00"/>
    <s v="Lazzy Group"/>
    <s v="Wholesale"/>
    <x v="4"/>
    <n v="9"/>
    <n v="1326.6"/>
    <n v="11939.4"/>
    <n v="809.226"/>
    <s v="IL"/>
    <s v="Illinois"/>
    <s v="Midwest"/>
    <n v="2309499.0449999999"/>
    <n v="7283.0339999999997"/>
    <n v="4656.366"/>
    <n v="38.999999999999901"/>
    <s v="December"/>
    <n v="12"/>
    <s v="2017-12"/>
    <x v="0"/>
  </r>
  <r>
    <s v="SO - 0001177"/>
    <d v="2017-12-02T00:00:00"/>
    <s v="Cogidoo Company"/>
    <s v="Distributor"/>
    <x v="19"/>
    <n v="12"/>
    <n v="5775.4"/>
    <n v="69304.799999999988"/>
    <n v="4273.7960000000003"/>
    <s v="NV"/>
    <s v="Nevada"/>
    <s v="West"/>
    <n v="2885560.824"/>
    <n v="51285.552000000003"/>
    <n v="18019.248"/>
    <n v="26"/>
    <s v="December"/>
    <n v="12"/>
    <s v="2017-12"/>
    <x v="0"/>
  </r>
  <r>
    <s v="SO - 0001428"/>
    <d v="2017-12-02T00:00:00"/>
    <s v="Rhynoodle Ltd"/>
    <s v="Wholesale"/>
    <x v="9"/>
    <n v="11"/>
    <n v="2512.5"/>
    <n v="27637.5"/>
    <n v="2060.25"/>
    <s v="NC"/>
    <s v="North Carolina"/>
    <s v="South"/>
    <n v="3720639.645"/>
    <n v="22662.75"/>
    <n v="4974.75"/>
    <n v="18"/>
    <s v="December"/>
    <n v="12"/>
    <s v="2017-12"/>
    <x v="0"/>
  </r>
  <r>
    <s v="SO - 0003646"/>
    <d v="2017-12-02T00:00:00"/>
    <s v="General Company"/>
    <s v="Wholesale"/>
    <x v="11"/>
    <n v="9"/>
    <n v="3162.4"/>
    <n v="28461.600000000002"/>
    <n v="2624.7919999999999"/>
    <s v="IL"/>
    <s v="Illinois"/>
    <s v="Midwest"/>
    <n v="5685138.2699999996"/>
    <n v="23623.128000000001"/>
    <n v="4838.4719999999998"/>
    <n v="17"/>
    <s v="December"/>
    <n v="12"/>
    <s v="2017-12"/>
    <x v="0"/>
  </r>
  <r>
    <s v="SO - 0004031"/>
    <d v="2017-12-02T00:00:00"/>
    <s v="Skyble Corp"/>
    <s v="Distributor"/>
    <x v="16"/>
    <n v="9"/>
    <n v="1755.4"/>
    <n v="15798.6"/>
    <n v="983.024"/>
    <s v="VA"/>
    <s v="Virginia"/>
    <s v="South"/>
    <n v="3016489.2089999998"/>
    <n v="8847.2160000000003"/>
    <n v="6951.384"/>
    <n v="44"/>
    <s v="December"/>
    <n v="12"/>
    <s v="2017-12"/>
    <x v="0"/>
  </r>
  <r>
    <s v="SO - 0007636"/>
    <d v="2017-12-02T00:00:00"/>
    <s v="Flipbug Ltd"/>
    <s v="Distributor"/>
    <x v="3"/>
    <n v="9"/>
    <n v="4006.6"/>
    <n v="36059.4"/>
    <n v="2283.7619999999902"/>
    <s v="MO"/>
    <s v="Missouri"/>
    <s v="Midwest"/>
    <n v="1085037.3289999999"/>
    <n v="20553.857999999898"/>
    <n v="15505.541999999999"/>
    <n v="43"/>
    <s v="December"/>
    <n v="12"/>
    <s v="2017-12"/>
    <x v="0"/>
  </r>
  <r>
    <s v="SO - 000928"/>
    <d v="2017-12-02T00:00:00"/>
    <s v="Realbridge Corp"/>
    <s v="Wholesale"/>
    <x v="11"/>
    <n v="11"/>
    <n v="1989.9"/>
    <n v="21888.9"/>
    <n v="935.25300000000004"/>
    <s v="IN"/>
    <s v="Indiana"/>
    <s v="Midwest"/>
    <n v="5685138.2699999996"/>
    <n v="10287.782999999999"/>
    <n v="11601.117"/>
    <n v="53"/>
    <s v="December"/>
    <n v="12"/>
    <s v="2017-12"/>
    <x v="0"/>
  </r>
  <r>
    <s v="SO - 0001572"/>
    <d v="2017-12-02T00:00:00"/>
    <s v="Jayo Company"/>
    <s v="Export"/>
    <x v="21"/>
    <n v="5"/>
    <n v="1118.9000000000001"/>
    <n v="5594.5"/>
    <n v="749.66300000000001"/>
    <s v="CA"/>
    <s v="California"/>
    <s v="West"/>
    <n v="1230458.4839999999"/>
    <n v="3748.3150000000001"/>
    <n v="1846.1849999999899"/>
    <n v="32.999999999999901"/>
    <s v="December"/>
    <n v="12"/>
    <s v="2017-12"/>
    <x v="0"/>
  </r>
  <r>
    <s v="SO - 0002888"/>
    <d v="2017-12-02T00:00:00"/>
    <s v="Colgate-Pa Group"/>
    <s v="Wholesale"/>
    <x v="22"/>
    <n v="11"/>
    <n v="3832.4"/>
    <n v="42156.4"/>
    <n v="2107.8200000000002"/>
    <s v="ME"/>
    <s v="Maine"/>
    <s v="Northeast"/>
    <n v="710415.40500000003"/>
    <n v="23186.02"/>
    <n v="18970.38"/>
    <n v="45"/>
    <s v="December"/>
    <n v="12"/>
    <s v="2017-12"/>
    <x v="0"/>
  </r>
  <r>
    <s v="SO - 0004411"/>
    <d v="2017-12-02T00:00:00"/>
    <s v="Voolith Ltd"/>
    <s v="Wholesale"/>
    <x v="16"/>
    <n v="6"/>
    <n v="194.3"/>
    <n v="1165.8000000000002"/>
    <n v="102.979"/>
    <s v="NY"/>
    <s v="New York"/>
    <s v="Northeast"/>
    <n v="3016489.2089999998"/>
    <n v="617.87400000000002"/>
    <n v="547.92600000000004"/>
    <n v="47"/>
    <s v="December"/>
    <n v="12"/>
    <s v="2017-12"/>
    <x v="0"/>
  </r>
  <r>
    <s v="SO - 0006081"/>
    <d v="2017-12-02T00:00:00"/>
    <s v="Shuffledri Group"/>
    <s v="Wholesale"/>
    <x v="13"/>
    <n v="10"/>
    <n v="2211"/>
    <n v="22110"/>
    <n v="1857.24"/>
    <s v="IL"/>
    <s v="Illinois"/>
    <s v="Midwest"/>
    <n v="3299478.3149999999"/>
    <n v="18572.400000000001"/>
    <n v="3537.5999999999899"/>
    <n v="15.999999999999901"/>
    <s v="December"/>
    <n v="12"/>
    <s v="2017-12"/>
    <x v="0"/>
  </r>
  <r>
    <s v="SO - 0007607"/>
    <d v="2017-12-02T00:00:00"/>
    <s v="Snaptags Ltd"/>
    <s v="Distributor"/>
    <x v="6"/>
    <n v="11"/>
    <n v="2860.9"/>
    <n v="31469.9"/>
    <n v="1316.0139999999999"/>
    <s v="TX"/>
    <s v="Texas"/>
    <s v="South"/>
    <n v="3925424.5419999999"/>
    <n v="14476.154"/>
    <n v="16993.745999999999"/>
    <n v="53.999999999999901"/>
    <s v="December"/>
    <n v="12"/>
    <s v="2017-12"/>
    <x v="0"/>
  </r>
  <r>
    <s v="SO - 0009046"/>
    <d v="2017-12-02T00:00:00"/>
    <s v="Kare Corp"/>
    <s v="Wholesale"/>
    <x v="2"/>
    <n v="12"/>
    <n v="214.4"/>
    <n v="2572.8000000000002"/>
    <n v="150.07999999999899"/>
    <s v="FL"/>
    <s v="Florida"/>
    <s v="South"/>
    <n v="4028698.409"/>
    <n v="1800.95999999999"/>
    <n v="771.84"/>
    <n v="30"/>
    <s v="December"/>
    <n v="12"/>
    <s v="2017-12"/>
    <x v="0"/>
  </r>
  <r>
    <s v="SO - 0009485"/>
    <d v="2017-12-02T00:00:00"/>
    <s v="Fred'S Company"/>
    <s v="Distributor"/>
    <x v="9"/>
    <n v="9"/>
    <n v="2680"/>
    <n v="24120"/>
    <n v="1259.5999999999999"/>
    <s v="NC"/>
    <s v="North Carolina"/>
    <s v="South"/>
    <n v="3720639.645"/>
    <n v="11336.4"/>
    <n v="12783.6"/>
    <n v="53"/>
    <s v="December"/>
    <n v="12"/>
    <s v="2017-12"/>
    <x v="0"/>
  </r>
  <r>
    <s v="SO - 0001011"/>
    <d v="2017-12-03T00:00:00"/>
    <s v="Alembic Ltd"/>
    <s v="Distributor"/>
    <x v="17"/>
    <n v="10"/>
    <n v="3886"/>
    <n v="38860"/>
    <n v="2720.2"/>
    <s v="TX"/>
    <s v="Texas"/>
    <s v="South"/>
    <n v="2642352.432"/>
    <n v="27202"/>
    <n v="11658"/>
    <n v="30"/>
    <s v="December"/>
    <n v="12"/>
    <s v="2017-12"/>
    <x v="0"/>
  </r>
  <r>
    <s v="SO - 0002792"/>
    <d v="2017-12-03T00:00:00"/>
    <s v="Clinique Ltd"/>
    <s v="Distributor"/>
    <x v="15"/>
    <n v="8"/>
    <n v="1681.7"/>
    <n v="13453.6"/>
    <n v="992.20299999999997"/>
    <s v="FL"/>
    <s v="Florida"/>
    <s v="South"/>
    <n v="2062061.1440000001"/>
    <n v="7937.6239999999998"/>
    <n v="5515.9759999999997"/>
    <n v="41"/>
    <s v="December"/>
    <n v="12"/>
    <s v="2017-12"/>
    <x v="0"/>
  </r>
  <r>
    <s v="SO - 0003142"/>
    <d v="2017-12-03T00:00:00"/>
    <s v="Terumo Corp"/>
    <s v="Wholesale"/>
    <x v="4"/>
    <n v="7"/>
    <n v="2271.3000000000002"/>
    <n v="15899.100000000002"/>
    <n v="1635.336"/>
    <s v="GA"/>
    <s v="Georgia"/>
    <s v="South"/>
    <n v="2309499.0449999999"/>
    <n v="11447.352000000001"/>
    <n v="4451.7479999999996"/>
    <n v="28"/>
    <s v="December"/>
    <n v="12"/>
    <s v="2017-12"/>
    <x v="0"/>
  </r>
  <r>
    <s v="SO - 0004194"/>
    <d v="2017-12-03T00:00:00"/>
    <s v="Rochester Group"/>
    <s v="Wholesale"/>
    <x v="5"/>
    <n v="6"/>
    <n v="3832.4"/>
    <n v="22994.400000000001"/>
    <n v="2721.0039999999999"/>
    <s v="AR"/>
    <s v="Arkansas"/>
    <s v="South"/>
    <n v="1003867.767"/>
    <n v="16326.023999999999"/>
    <n v="6668.3760000000002"/>
    <n v="29"/>
    <s v="December"/>
    <n v="12"/>
    <s v="2017-12"/>
    <x v="0"/>
  </r>
  <r>
    <s v="SO - 0007886"/>
    <d v="2017-12-03T00:00:00"/>
    <s v="Aibox Company"/>
    <s v="Wholesale"/>
    <x v="17"/>
    <n v="8"/>
    <n v="227.8"/>
    <n v="1822.4"/>
    <n v="136.68"/>
    <s v="FL"/>
    <s v="Florida"/>
    <s v="South"/>
    <n v="2642352.432"/>
    <n v="1093.44"/>
    <n v="728.96"/>
    <n v="40"/>
    <s v="December"/>
    <n v="12"/>
    <s v="2017-12"/>
    <x v="0"/>
  </r>
  <r>
    <s v="SO - 0008618"/>
    <d v="2017-12-03T00:00:00"/>
    <s v="Johnson Ltd"/>
    <s v="Distributor"/>
    <x v="6"/>
    <n v="6"/>
    <n v="3926.2"/>
    <n v="23557.199999999997"/>
    <n v="1845.3140000000001"/>
    <s v="WA"/>
    <s v="Washington"/>
    <s v="West"/>
    <n v="3925424.5419999999"/>
    <n v="11071.884"/>
    <n v="12485.316000000001"/>
    <n v="53"/>
    <s v="December"/>
    <n v="12"/>
    <s v="2017-12"/>
    <x v="0"/>
  </r>
  <r>
    <s v="SO - 000298"/>
    <d v="2017-12-03T00:00:00"/>
    <s v="Neutrogena Ltd"/>
    <s v="Distributor"/>
    <x v="23"/>
    <n v="8"/>
    <n v="3899.4"/>
    <n v="31195.200000000001"/>
    <n v="2027.6880000000001"/>
    <s v="NY"/>
    <s v="New York"/>
    <s v="Northeast"/>
    <n v="1645841.6"/>
    <n v="16221.504000000001"/>
    <n v="14973.696"/>
    <n v="48"/>
    <s v="December"/>
    <n v="12"/>
    <s v="2017-12"/>
    <x v="0"/>
  </r>
  <r>
    <s v="SO - 000868"/>
    <d v="2017-12-03T00:00:00"/>
    <s v="Vitz Company"/>
    <s v="Wholesale"/>
    <x v="1"/>
    <n v="10"/>
    <n v="1159.0999999999999"/>
    <n v="11591"/>
    <n v="741.82399999999996"/>
    <s v="MD"/>
    <s v="Maryland"/>
    <s v="South"/>
    <n v="5342315.4840000002"/>
    <n v="7418.24"/>
    <n v="4172.76"/>
    <n v="36"/>
    <s v="December"/>
    <n v="12"/>
    <s v="2017-12"/>
    <x v="0"/>
  </r>
  <r>
    <s v="SO - 0001796"/>
    <d v="2017-12-03T00:00:00"/>
    <s v="Yodoo Ltd"/>
    <s v="Wholesale"/>
    <x v="17"/>
    <n v="9"/>
    <n v="1721.9"/>
    <n v="15497.1"/>
    <n v="1360.3009999999999"/>
    <s v="MI"/>
    <s v="Michigan"/>
    <s v="Midwest"/>
    <n v="2642352.432"/>
    <n v="12242.709000000001"/>
    <n v="3254.3909999999901"/>
    <n v="20.999999999999901"/>
    <s v="December"/>
    <n v="12"/>
    <s v="2017-12"/>
    <x v="0"/>
  </r>
  <r>
    <s v="SO - 0003017"/>
    <d v="2017-12-03T00:00:00"/>
    <s v="Aibox Company"/>
    <s v="Wholesale"/>
    <x v="7"/>
    <n v="8"/>
    <n v="3343.3"/>
    <n v="26746.400000000001"/>
    <n v="2540.9079999999999"/>
    <s v="CT"/>
    <s v="Connecticut"/>
    <s v="Northeast"/>
    <n v="3050087.5649999999"/>
    <n v="20327.263999999999"/>
    <n v="6419.1359999999904"/>
    <n v="23.999999999999901"/>
    <s v="December"/>
    <n v="12"/>
    <s v="2017-12"/>
    <x v="0"/>
  </r>
  <r>
    <s v="SO - 0005133"/>
    <d v="2017-12-03T00:00:00"/>
    <s v="Yombu Corp"/>
    <s v="Wholesale"/>
    <x v="18"/>
    <n v="5"/>
    <n v="1098.8"/>
    <n v="5494"/>
    <n v="901.01599999999996"/>
    <s v="IN"/>
    <s v="Indiana"/>
    <s v="Midwest"/>
    <n v="1135815.7579999999"/>
    <n v="4505.08"/>
    <n v="988.92"/>
    <n v="18"/>
    <s v="December"/>
    <n v="12"/>
    <s v="2017-12"/>
    <x v="0"/>
  </r>
  <r>
    <s v="SO - 0005187"/>
    <d v="2017-12-03T00:00:00"/>
    <s v="True Ltd"/>
    <s v="Export"/>
    <x v="16"/>
    <n v="6"/>
    <n v="1788.9"/>
    <n v="10733.400000000001"/>
    <n v="1216.452"/>
    <s v="OH"/>
    <s v="Ohio"/>
    <s v="Midwest"/>
    <n v="3016489.2089999998"/>
    <n v="7298.7120000000004"/>
    <n v="3434.6880000000001"/>
    <n v="31.999999999999901"/>
    <s v="December"/>
    <n v="12"/>
    <s v="2017-12"/>
    <x v="0"/>
  </r>
  <r>
    <s v="SO - 0005280"/>
    <d v="2017-12-03T00:00:00"/>
    <s v="Realcube Company"/>
    <s v="Wholesale"/>
    <x v="24"/>
    <n v="5"/>
    <n v="1922.9"/>
    <n v="9614.5"/>
    <n v="1288.3430000000001"/>
    <s v="TN"/>
    <s v="Tennessee"/>
    <s v="South"/>
    <n v="594471.56999999995"/>
    <n v="6441.7150000000001"/>
    <n v="3172.7849999999999"/>
    <n v="32.999999999999901"/>
    <s v="December"/>
    <n v="12"/>
    <s v="2017-12"/>
    <x v="0"/>
  </r>
  <r>
    <s v="SO - 0007801"/>
    <d v="2017-12-03T00:00:00"/>
    <s v="State Ltd"/>
    <s v="Wholesale"/>
    <x v="4"/>
    <n v="7"/>
    <n v="2673.3"/>
    <n v="18713.100000000002"/>
    <n v="1256.451"/>
    <s v="CA"/>
    <s v="California"/>
    <s v="West"/>
    <n v="2309499.0449999999"/>
    <n v="8795.1569999999992"/>
    <n v="9917.9429999999993"/>
    <n v="53"/>
    <s v="December"/>
    <n v="12"/>
    <s v="2017-12"/>
    <x v="0"/>
  </r>
  <r>
    <s v="SO - 000428"/>
    <d v="2017-12-03T00:00:00"/>
    <s v="Cogilith Group"/>
    <s v="Export"/>
    <x v="2"/>
    <n v="5"/>
    <n v="167.5"/>
    <n v="837.5"/>
    <n v="100.5"/>
    <s v="MA"/>
    <s v="Massachusetts"/>
    <s v="Northeast"/>
    <n v="4028698.409"/>
    <n v="502.5"/>
    <n v="335"/>
    <n v="40"/>
    <s v="December"/>
    <n v="12"/>
    <s v="2017-12"/>
    <x v="0"/>
  </r>
  <r>
    <s v="SO - 0001781"/>
    <d v="2017-12-03T00:00:00"/>
    <s v="Voolith Ltd"/>
    <s v="Distributor"/>
    <x v="23"/>
    <n v="6"/>
    <n v="951.4"/>
    <n v="5708.4"/>
    <n v="761.12"/>
    <s v="IL"/>
    <s v="Illinois"/>
    <s v="Midwest"/>
    <n v="1645841.6"/>
    <n v="4566.72"/>
    <n v="1141.6799999999901"/>
    <n v="19.999999999999901"/>
    <s v="December"/>
    <n v="12"/>
    <s v="2017-12"/>
    <x v="0"/>
  </r>
  <r>
    <s v="SO - 0003690"/>
    <d v="2017-12-03T00:00:00"/>
    <s v="Mycone Ltd"/>
    <s v="Wholesale"/>
    <x v="11"/>
    <n v="11"/>
    <n v="3999.9"/>
    <n v="43998.9"/>
    <n v="2279.9429999999902"/>
    <s v="CA"/>
    <s v="California"/>
    <s v="West"/>
    <n v="5685138.2699999996"/>
    <n v="25079.372999999901"/>
    <n v="18919.526999999998"/>
    <n v="43"/>
    <s v="December"/>
    <n v="12"/>
    <s v="2017-12"/>
    <x v="0"/>
  </r>
  <r>
    <s v="SO - 0003794"/>
    <d v="2017-12-03T00:00:00"/>
    <s v="Fivebridge Ltd"/>
    <s v="Wholesale"/>
    <x v="15"/>
    <n v="10"/>
    <n v="241.2"/>
    <n v="2412"/>
    <n v="135.072"/>
    <s v="IL"/>
    <s v="Illinois"/>
    <s v="Midwest"/>
    <n v="2062061.1440000001"/>
    <n v="1350.72"/>
    <n v="1061.27999999999"/>
    <n v="43.999999999999901"/>
    <s v="December"/>
    <n v="12"/>
    <s v="2017-12"/>
    <x v="0"/>
  </r>
  <r>
    <s v="SO - 0004623"/>
    <d v="2017-12-03T00:00:00"/>
    <s v="Golden Corp"/>
    <s v="Distributor"/>
    <x v="7"/>
    <n v="5"/>
    <n v="924.6"/>
    <n v="4623"/>
    <n v="564.00599999999997"/>
    <s v="NJ"/>
    <s v="New Jersey"/>
    <s v="Northeast"/>
    <n v="3050087.5649999999"/>
    <n v="2820.0299999999902"/>
    <n v="1802.97"/>
    <n v="39"/>
    <s v="December"/>
    <n v="12"/>
    <s v="2017-12"/>
    <x v="0"/>
  </r>
  <r>
    <s v="SO - 0008249"/>
    <d v="2017-12-03T00:00:00"/>
    <s v="Aldi Ltd"/>
    <s v="Wholesale"/>
    <x v="1"/>
    <n v="7"/>
    <n v="3504.1"/>
    <n v="24528.7"/>
    <n v="2207.5830000000001"/>
    <s v="IN"/>
    <s v="Indiana"/>
    <s v="Midwest"/>
    <n v="5342315.4840000002"/>
    <n v="15453.081"/>
    <n v="9075.6190000000006"/>
    <n v="37"/>
    <s v="December"/>
    <n v="12"/>
    <s v="2017-12"/>
    <x v="0"/>
  </r>
  <r>
    <s v="SO - 0009179"/>
    <d v="2017-12-03T00:00:00"/>
    <s v="Cadila Ltd"/>
    <s v="Wholesale"/>
    <x v="9"/>
    <n v="12"/>
    <n v="1139"/>
    <n v="13668"/>
    <n v="569.5"/>
    <s v="IL"/>
    <s v="Illinois"/>
    <s v="Midwest"/>
    <n v="3720639.645"/>
    <n v="6834"/>
    <n v="6834"/>
    <n v="50"/>
    <s v="December"/>
    <n v="12"/>
    <s v="2017-12"/>
    <x v="0"/>
  </r>
  <r>
    <s v="SO - 0010470"/>
    <d v="2017-12-03T00:00:00"/>
    <s v="Holston Company"/>
    <s v="Distributor"/>
    <x v="1"/>
    <n v="11"/>
    <n v="1125.5999999999999"/>
    <n v="12381.599999999999"/>
    <n v="619.08000000000004"/>
    <s v="VA"/>
    <s v="Virginia"/>
    <s v="South"/>
    <n v="5342315.4840000002"/>
    <n v="6809.88"/>
    <n v="5571.72"/>
    <n v="44.999999999999901"/>
    <s v="December"/>
    <n v="12"/>
    <s v="2017-12"/>
    <x v="0"/>
  </r>
  <r>
    <s v="SO - 0002236"/>
    <d v="2017-12-03T00:00:00"/>
    <s v="Cadila Ltd"/>
    <s v="Export"/>
    <x v="25"/>
    <n v="8"/>
    <n v="2405.3000000000002"/>
    <n v="19242.400000000001"/>
    <n v="1154.5440000000001"/>
    <s v="WA"/>
    <s v="Washington"/>
    <s v="West"/>
    <n v="889737.55500000005"/>
    <n v="9236.3520000000008"/>
    <n v="10006.048000000001"/>
    <n v="52"/>
    <s v="December"/>
    <n v="12"/>
    <s v="2017-12"/>
    <x v="0"/>
  </r>
  <r>
    <s v="SO - 0006280"/>
    <d v="2017-12-03T00:00:00"/>
    <s v="Epic Group"/>
    <s v="Distributor"/>
    <x v="11"/>
    <n v="5"/>
    <n v="1755.4"/>
    <n v="8777"/>
    <n v="754.822"/>
    <s v="MI"/>
    <s v="Michigan"/>
    <s v="Midwest"/>
    <n v="5685138.2699999996"/>
    <n v="3774.11"/>
    <n v="5002.8899999999903"/>
    <n v="56.999999999999901"/>
    <s v="December"/>
    <n v="12"/>
    <s v="2017-12"/>
    <x v="0"/>
  </r>
  <r>
    <s v="SO - 0008457"/>
    <d v="2017-12-03T00:00:00"/>
    <s v="Cantrell Company"/>
    <s v="Distributor"/>
    <x v="1"/>
    <n v="8"/>
    <n v="1922.9"/>
    <n v="15383.2"/>
    <n v="999.90800000000002"/>
    <s v="LA"/>
    <s v="Louisiana"/>
    <s v="South"/>
    <n v="5342315.4840000002"/>
    <n v="7999.2640000000001"/>
    <n v="7383.9359999999997"/>
    <n v="48"/>
    <s v="December"/>
    <n v="12"/>
    <s v="2017-12"/>
    <x v="0"/>
  </r>
  <r>
    <s v="SO - 000430"/>
    <d v="2017-12-03T00:00:00"/>
    <s v="Gabvine Ltd"/>
    <s v="Export"/>
    <x v="9"/>
    <n v="7"/>
    <n v="924.6"/>
    <n v="6472.2"/>
    <n v="665.71199999999999"/>
    <s v="MI"/>
    <s v="Michigan"/>
    <s v="Midwest"/>
    <n v="3720639.645"/>
    <n v="4659.9840000000004"/>
    <n v="1812.2159999999899"/>
    <n v="27.999999999999901"/>
    <s v="December"/>
    <n v="12"/>
    <s v="2017-12"/>
    <x v="0"/>
  </r>
  <r>
    <s v="SO - 000824"/>
    <d v="2017-12-03T00:00:00"/>
    <s v="Dynazzy Company"/>
    <s v="Wholesale"/>
    <x v="9"/>
    <n v="11"/>
    <n v="1179.2"/>
    <n v="12971.2"/>
    <n v="825.43999999999903"/>
    <s v="CA"/>
    <s v="California"/>
    <s v="West"/>
    <n v="3720639.645"/>
    <n v="9079.84"/>
    <n v="3891.36"/>
    <n v="30"/>
    <s v="December"/>
    <n v="12"/>
    <s v="2017-12"/>
    <x v="0"/>
  </r>
  <r>
    <s v="SO - 0002075"/>
    <d v="2017-12-03T00:00:00"/>
    <s v="Trunyx Ltd"/>
    <s v="Distributor"/>
    <x v="21"/>
    <n v="5"/>
    <n v="991.6"/>
    <n v="4958"/>
    <n v="743.7"/>
    <s v="CA"/>
    <s v="California"/>
    <s v="West"/>
    <n v="1230458.4839999999"/>
    <n v="3718.5"/>
    <n v="1239.5"/>
    <n v="25"/>
    <s v="December"/>
    <n v="12"/>
    <s v="2017-12"/>
    <x v="0"/>
  </r>
  <r>
    <s v="SO - 0006202"/>
    <d v="2017-12-03T00:00:00"/>
    <s v="Voolia Ltd"/>
    <s v="Distributor"/>
    <x v="7"/>
    <n v="6"/>
    <n v="174.2"/>
    <n v="1045.1999999999998"/>
    <n v="69.680000000000007"/>
    <s v="FL"/>
    <s v="Florida"/>
    <s v="South"/>
    <n v="3050087.5649999999"/>
    <n v="418.08"/>
    <n v="627.12"/>
    <n v="60"/>
    <s v="December"/>
    <n v="12"/>
    <s v="2017-12"/>
    <x v="0"/>
  </r>
  <r>
    <s v="SO - 0007084"/>
    <d v="2017-12-03T00:00:00"/>
    <s v="Talane Group"/>
    <s v="Distributor"/>
    <x v="16"/>
    <n v="9"/>
    <n v="2499.1"/>
    <n v="22491.899999999998"/>
    <n v="1599.424"/>
    <s v="AZ"/>
    <s v="Arizona"/>
    <s v="West"/>
    <n v="3016489.2089999998"/>
    <n v="14394.815999999901"/>
    <n v="8097.0839999999898"/>
    <n v="36"/>
    <s v="December"/>
    <n v="12"/>
    <s v="2017-12"/>
    <x v="0"/>
  </r>
  <r>
    <s v="SO - 0010401"/>
    <d v="2017-12-03T00:00:00"/>
    <s v="American Corp"/>
    <s v="Distributor"/>
    <x v="2"/>
    <n v="10"/>
    <n v="1695.1"/>
    <n v="16951"/>
    <n v="1440.835"/>
    <s v="CA"/>
    <s v="California"/>
    <s v="West"/>
    <n v="4028698.409"/>
    <n v="14408.35"/>
    <n v="2542.6499999999901"/>
    <n v="14.999999999999901"/>
    <s v="December"/>
    <n v="12"/>
    <s v="2017-12"/>
    <x v="0"/>
  </r>
  <r>
    <s v="SO - 0001446"/>
    <d v="2017-12-03T00:00:00"/>
    <s v="Geiss Company"/>
    <s v="Export"/>
    <x v="13"/>
    <n v="9"/>
    <n v="810.7"/>
    <n v="7296.3"/>
    <n v="486.42"/>
    <s v="IL"/>
    <s v="Illinois"/>
    <s v="Midwest"/>
    <n v="3299478.3149999999"/>
    <n v="4377.78"/>
    <n v="2918.52"/>
    <n v="40"/>
    <s v="December"/>
    <n v="12"/>
    <s v="2017-12"/>
    <x v="0"/>
  </r>
  <r>
    <s v="SO - 0002734"/>
    <d v="2017-12-03T00:00:00"/>
    <s v="Meejo Corp"/>
    <s v="Wholesale"/>
    <x v="19"/>
    <n v="5"/>
    <n v="2539.3000000000002"/>
    <n v="12696.5"/>
    <n v="1828.296"/>
    <s v="MA"/>
    <s v="Massachusetts"/>
    <s v="Northeast"/>
    <n v="2885560.824"/>
    <n v="9141.48"/>
    <n v="3555.02"/>
    <n v="28"/>
    <s v="December"/>
    <n v="12"/>
    <s v="2017-12"/>
    <x v="0"/>
  </r>
  <r>
    <s v="SO - 0004897"/>
    <d v="2017-12-03T00:00:00"/>
    <s v="Neutrogena Ltd"/>
    <s v="Wholesale"/>
    <x v="13"/>
    <n v="6"/>
    <n v="931.3"/>
    <n v="5587.7999999999993"/>
    <n v="596.03200000000004"/>
    <s v="MA"/>
    <s v="Massachusetts"/>
    <s v="Northeast"/>
    <n v="3299478.3149999999"/>
    <n v="3576.192"/>
    <n v="2011.6079999999999"/>
    <n v="36"/>
    <s v="December"/>
    <n v="12"/>
    <s v="2017-12"/>
    <x v="0"/>
  </r>
  <r>
    <s v="SO - 0005215"/>
    <d v="2017-12-03T00:00:00"/>
    <s v="Remedy Ltd"/>
    <s v="Export"/>
    <x v="17"/>
    <n v="7"/>
    <n v="2706.8"/>
    <n v="18947.600000000002"/>
    <n v="1569.944"/>
    <s v="OH"/>
    <s v="Ohio"/>
    <s v="Midwest"/>
    <n v="2642352.432"/>
    <n v="10989.608"/>
    <n v="7957.9920000000002"/>
    <n v="42"/>
    <s v="December"/>
    <n v="12"/>
    <s v="2017-12"/>
    <x v="0"/>
  </r>
  <r>
    <s v="SO - 0005678"/>
    <d v="2017-12-03T00:00:00"/>
    <s v="Skippad Ltd"/>
    <s v="Wholesale"/>
    <x v="26"/>
    <n v="7"/>
    <n v="891.1"/>
    <n v="6237.7"/>
    <n v="543.57100000000003"/>
    <s v="CA"/>
    <s v="California"/>
    <s v="West"/>
    <n v="1356976.996"/>
    <n v="3804.9969999999998"/>
    <n v="2432.70299999999"/>
    <n v="38.999999999999901"/>
    <s v="December"/>
    <n v="12"/>
    <s v="2017-12"/>
    <x v="0"/>
  </r>
  <r>
    <s v="SO - 0008701"/>
    <d v="2017-12-03T00:00:00"/>
    <s v="Cardinal Group"/>
    <s v="Wholesale"/>
    <x v="3"/>
    <n v="11"/>
    <n v="1011.7"/>
    <n v="11128.7"/>
    <n v="708.18999999999903"/>
    <s v="IL"/>
    <s v="Illinois"/>
    <s v="Midwest"/>
    <n v="1085037.3289999999"/>
    <n v="7790.0899999999901"/>
    <n v="3338.61"/>
    <n v="30"/>
    <s v="December"/>
    <n v="12"/>
    <s v="2017-12"/>
    <x v="0"/>
  </r>
  <r>
    <s v="SO - 0001173"/>
    <d v="2017-12-04T00:00:00"/>
    <s v="Golden Corp"/>
    <s v="Wholesale"/>
    <x v="9"/>
    <n v="10"/>
    <n v="2525.9"/>
    <n v="25259"/>
    <n v="1793.3889999999999"/>
    <s v="CA"/>
    <s v="California"/>
    <s v="West"/>
    <n v="3720639.645"/>
    <n v="17933.89"/>
    <n v="7325.11"/>
    <n v="29"/>
    <s v="December"/>
    <n v="12"/>
    <s v="2017-12"/>
    <x v="0"/>
  </r>
  <r>
    <s v="SO - 0001252"/>
    <d v="2017-12-04T00:00:00"/>
    <s v="Chatterbri Ltd"/>
    <s v="Wholesale"/>
    <x v="3"/>
    <n v="7"/>
    <n v="850.9"/>
    <n v="5956.3"/>
    <n v="553.08500000000004"/>
    <s v="FL"/>
    <s v="Florida"/>
    <s v="South"/>
    <n v="1085037.3289999999"/>
    <n v="3871.5949999999998"/>
    <n v="2084.7049999999999"/>
    <n v="35"/>
    <s v="December"/>
    <n v="12"/>
    <s v="2017-12"/>
    <x v="0"/>
  </r>
  <r>
    <s v="SO - 0001791"/>
    <d v="2017-12-04T00:00:00"/>
    <s v="Neutrogena Ltd"/>
    <s v="Wholesale"/>
    <x v="21"/>
    <n v="11"/>
    <n v="3919.5"/>
    <n v="43114.5"/>
    <n v="2038.14"/>
    <s v="MI"/>
    <s v="Michigan"/>
    <s v="Midwest"/>
    <n v="1230458.4839999999"/>
    <n v="22419.54"/>
    <n v="20694.96"/>
    <n v="48"/>
    <s v="December"/>
    <n v="12"/>
    <s v="2017-12"/>
    <x v="0"/>
  </r>
  <r>
    <s v="SO - 0006072"/>
    <d v="2017-12-04T00:00:00"/>
    <s v="Rooxo Company"/>
    <s v="Distributor"/>
    <x v="26"/>
    <n v="8"/>
    <n v="877.7"/>
    <n v="7021.6"/>
    <n v="351.08"/>
    <s v="IN"/>
    <s v="Indiana"/>
    <s v="Midwest"/>
    <n v="1356976.996"/>
    <n v="2808.64"/>
    <n v="4212.96"/>
    <n v="60"/>
    <s v="December"/>
    <n v="12"/>
    <s v="2017-12"/>
    <x v="0"/>
  </r>
  <r>
    <s v="SO - 0009418"/>
    <d v="2017-12-04T00:00:00"/>
    <s v="Liberty Group"/>
    <s v="Wholesale"/>
    <x v="6"/>
    <n v="5"/>
    <n v="984.9"/>
    <n v="4924.5"/>
    <n v="630.33600000000001"/>
    <s v="MI"/>
    <s v="Michigan"/>
    <s v="Midwest"/>
    <n v="3925424.5419999999"/>
    <n v="3151.68"/>
    <n v="1772.8199999999899"/>
    <n v="35.999999999999901"/>
    <s v="December"/>
    <n v="12"/>
    <s v="2017-12"/>
    <x v="0"/>
  </r>
  <r>
    <s v="SO - 000210"/>
    <d v="2017-12-04T00:00:00"/>
    <s v="Skippad Ltd"/>
    <s v="Wholesale"/>
    <x v="17"/>
    <n v="10"/>
    <n v="958.1"/>
    <n v="9581"/>
    <n v="517.37400000000002"/>
    <s v="FL"/>
    <s v="Florida"/>
    <s v="South"/>
    <n v="2642352.432"/>
    <n v="5173.74"/>
    <n v="4407.26"/>
    <n v="46"/>
    <s v="December"/>
    <n v="12"/>
    <s v="2017-12"/>
    <x v="0"/>
  </r>
  <r>
    <s v="SO - 000907"/>
    <d v="2017-12-04T00:00:00"/>
    <s v="Fatz Group"/>
    <s v="Wholesale"/>
    <x v="2"/>
    <n v="6"/>
    <n v="2365.1"/>
    <n v="14190.599999999999"/>
    <n v="1986.68399999999"/>
    <s v="TX"/>
    <s v="Texas"/>
    <s v="South"/>
    <n v="4028698.409"/>
    <n v="11920.103999999999"/>
    <n v="2270.4959999999901"/>
    <n v="15.999999999999901"/>
    <s v="December"/>
    <n v="12"/>
    <s v="2017-12"/>
    <x v="0"/>
  </r>
  <r>
    <s v="SO - 0001338"/>
    <d v="2017-12-04T00:00:00"/>
    <s v="Nexus Group"/>
    <s v="Wholesale"/>
    <x v="1"/>
    <n v="6"/>
    <n v="1098.8"/>
    <n v="6592.7999999999993"/>
    <n v="912.003999999999"/>
    <s v="NY"/>
    <s v="New York"/>
    <s v="Northeast"/>
    <n v="5342315.4840000002"/>
    <n v="5472.0239999999903"/>
    <n v="1120.7759999999901"/>
    <n v="17"/>
    <s v="December"/>
    <n v="12"/>
    <s v="2017-12"/>
    <x v="0"/>
  </r>
  <r>
    <s v="SO - 0001441"/>
    <d v="2017-12-04T00:00:00"/>
    <s v="Epic Group"/>
    <s v="Wholesale"/>
    <x v="14"/>
    <n v="11"/>
    <n v="2720.2"/>
    <n v="29922.199999999997"/>
    <n v="1251.2919999999999"/>
    <s v="MD"/>
    <s v="Maryland"/>
    <s v="South"/>
    <n v="2119616.824"/>
    <n v="13764.212"/>
    <n v="16157.987999999999"/>
    <n v="54"/>
    <s v="December"/>
    <n v="12"/>
    <s v="2017-12"/>
    <x v="0"/>
  </r>
  <r>
    <s v="SO - 0001566"/>
    <d v="2017-12-04T00:00:00"/>
    <s v="Arbor Company"/>
    <s v="Wholesale"/>
    <x v="25"/>
    <n v="9"/>
    <n v="3410.3"/>
    <n v="30692.7"/>
    <n v="2387.21"/>
    <s v="IL"/>
    <s v="Illinois"/>
    <s v="Midwest"/>
    <n v="889737.55500000005"/>
    <n v="21484.89"/>
    <n v="9207.81"/>
    <n v="30"/>
    <s v="December"/>
    <n v="12"/>
    <s v="2017-12"/>
    <x v="0"/>
  </r>
  <r>
    <s v="SO - 0002565"/>
    <d v="2017-12-04T00:00:00"/>
    <s v="Brightdog Corp"/>
    <s v="Distributor"/>
    <x v="27"/>
    <n v="5"/>
    <n v="1125.5999999999999"/>
    <n v="5628"/>
    <n v="709.12800000000004"/>
    <s v="NV"/>
    <s v="Nevada"/>
    <s v="West"/>
    <n v="2067108.1199999901"/>
    <n v="3545.64"/>
    <n v="2082.36"/>
    <n v="37"/>
    <s v="December"/>
    <n v="12"/>
    <s v="2017-12"/>
    <x v="0"/>
  </r>
  <r>
    <s v="SO - 0007412"/>
    <d v="2017-12-04T00:00:00"/>
    <s v="Nars Group"/>
    <s v="Wholesale"/>
    <x v="16"/>
    <n v="12"/>
    <n v="2452.1999999999998"/>
    <n v="29426.399999999998"/>
    <n v="1814.6279999999999"/>
    <s v="CA"/>
    <s v="California"/>
    <s v="West"/>
    <n v="3016489.2089999998"/>
    <n v="21775.536"/>
    <n v="7650.8639999999996"/>
    <n v="26"/>
    <s v="December"/>
    <n v="12"/>
    <s v="2017-12"/>
    <x v="0"/>
  </r>
  <r>
    <s v="SO - 0009890"/>
    <d v="2017-12-04T00:00:00"/>
    <s v="Twimbo Company"/>
    <s v="Wholesale"/>
    <x v="2"/>
    <n v="11"/>
    <n v="3912.8"/>
    <n v="43040.800000000003"/>
    <n v="2934.6"/>
    <s v="CA"/>
    <s v="California"/>
    <s v="West"/>
    <n v="4028698.409"/>
    <n v="32280.6"/>
    <n v="10760.199999999901"/>
    <n v="24.999999999999901"/>
    <s v="December"/>
    <n v="12"/>
    <s v="2017-12"/>
    <x v="0"/>
  </r>
  <r>
    <s v="SO - 0001747"/>
    <d v="2017-12-04T00:00:00"/>
    <s v="Ncs Group"/>
    <s v="Distributor"/>
    <x v="10"/>
    <n v="11"/>
    <n v="2847.5"/>
    <n v="31322.5"/>
    <n v="1708.5"/>
    <s v="CT"/>
    <s v="Connecticut"/>
    <s v="Northeast"/>
    <n v="1672229.416"/>
    <n v="18793.5"/>
    <n v="12529"/>
    <n v="40"/>
    <s v="December"/>
    <n v="12"/>
    <s v="2017-12"/>
    <x v="0"/>
  </r>
  <r>
    <s v="SO - 0006014"/>
    <d v="2017-12-04T00:00:00"/>
    <s v="Brightdog Corp"/>
    <s v="Distributor"/>
    <x v="6"/>
    <n v="7"/>
    <n v="180.9"/>
    <n v="1266.3"/>
    <n v="86.831999999999994"/>
    <s v="NY"/>
    <s v="New York"/>
    <s v="Northeast"/>
    <n v="3925424.5419999999"/>
    <n v="607.82399999999996"/>
    <n v="658.476"/>
    <n v="52"/>
    <s v="December"/>
    <n v="12"/>
    <s v="2017-12"/>
    <x v="0"/>
  </r>
  <r>
    <s v="SO - 0007513"/>
    <d v="2017-12-04T00:00:00"/>
    <s v="Supervalu Ltd"/>
    <s v="Distributor"/>
    <x v="2"/>
    <n v="7"/>
    <n v="5648.1"/>
    <n v="39536.700000000004"/>
    <n v="3501.8220000000001"/>
    <s v="VA"/>
    <s v="Virginia"/>
    <s v="South"/>
    <n v="4028698.409"/>
    <n v="24512.754000000001"/>
    <n v="15023.946"/>
    <n v="38"/>
    <s v="December"/>
    <n v="12"/>
    <s v="2017-12"/>
    <x v="0"/>
  </r>
  <r>
    <s v="SO - 0008813"/>
    <d v="2017-12-04T00:00:00"/>
    <s v="State Ltd"/>
    <s v="Wholesale"/>
    <x v="17"/>
    <n v="10"/>
    <n v="1118.9000000000001"/>
    <n v="11189"/>
    <n v="783.23"/>
    <s v="FL"/>
    <s v="Florida"/>
    <s v="South"/>
    <n v="2642352.432"/>
    <n v="7832.3"/>
    <n v="3356.7"/>
    <n v="30"/>
    <s v="December"/>
    <n v="12"/>
    <s v="2017-12"/>
    <x v="0"/>
  </r>
  <r>
    <s v="SO - 000957"/>
    <d v="2017-12-04T00:00:00"/>
    <s v="Tekfly Group"/>
    <s v="Distributor"/>
    <x v="5"/>
    <n v="12"/>
    <n v="1098.8"/>
    <n v="13185.599999999999"/>
    <n v="681.25599999999997"/>
    <s v="NJ"/>
    <s v="New Jersey"/>
    <s v="Northeast"/>
    <n v="1003867.767"/>
    <n v="8175.0720000000001"/>
    <n v="5010.5279999999902"/>
    <n v="37.999999999999901"/>
    <s v="December"/>
    <n v="12"/>
    <s v="2017-12"/>
    <x v="0"/>
  </r>
  <r>
    <s v="SO - 0001596"/>
    <d v="2017-12-04T00:00:00"/>
    <s v="Aimbo Corp"/>
    <s v="Export"/>
    <x v="22"/>
    <n v="7"/>
    <n v="254.6"/>
    <n v="1782.2"/>
    <n v="127.3"/>
    <s v="OH"/>
    <s v="Ohio"/>
    <s v="Midwest"/>
    <n v="710415.40500000003"/>
    <n v="891.1"/>
    <n v="891.1"/>
    <n v="50"/>
    <s v="December"/>
    <n v="12"/>
    <s v="2017-12"/>
    <x v="0"/>
  </r>
  <r>
    <s v="SO - 0006080"/>
    <d v="2017-12-04T00:00:00"/>
    <s v="Realbridge Corp"/>
    <s v="Distributor"/>
    <x v="5"/>
    <n v="7"/>
    <n v="2391.9"/>
    <n v="16743.3"/>
    <n v="1865.682"/>
    <s v="AZ"/>
    <s v="Arizona"/>
    <s v="West"/>
    <n v="1003867.767"/>
    <n v="13059.773999999999"/>
    <n v="3683.5259999999898"/>
    <n v="21.999999999999901"/>
    <s v="December"/>
    <n v="12"/>
    <s v="2017-12"/>
    <x v="0"/>
  </r>
  <r>
    <s v="SO - 0008233"/>
    <d v="2017-12-04T00:00:00"/>
    <s v="Realbuzz Ltd"/>
    <s v="Wholesale"/>
    <x v="6"/>
    <n v="5"/>
    <n v="5916.1"/>
    <n v="29580.5"/>
    <n v="3253.855"/>
    <s v="OH"/>
    <s v="Ohio"/>
    <s v="Midwest"/>
    <n v="3925424.5419999999"/>
    <n v="16269.275"/>
    <n v="13311.2249999999"/>
    <n v="44.999999999999901"/>
    <s v="December"/>
    <n v="12"/>
    <s v="2017-12"/>
    <x v="0"/>
  </r>
  <r>
    <s v="SO - 0010739"/>
    <d v="2017-12-04T00:00:00"/>
    <s v="Linkbuzz Ltd"/>
    <s v="Wholesale"/>
    <x v="2"/>
    <n v="7"/>
    <n v="1835.8"/>
    <n v="12850.6"/>
    <n v="1193.27"/>
    <s v="IN"/>
    <s v="Indiana"/>
    <s v="Midwest"/>
    <n v="4028698.409"/>
    <n v="8352.89"/>
    <n v="4497.71"/>
    <n v="35"/>
    <s v="December"/>
    <n v="12"/>
    <s v="2017-12"/>
    <x v="0"/>
  </r>
  <r>
    <s v="SO - 0001661"/>
    <d v="2017-12-04T00:00:00"/>
    <s v="Oba Company"/>
    <s v="Wholesale"/>
    <x v="2"/>
    <n v="10"/>
    <n v="1065.3"/>
    <n v="10653"/>
    <n v="479.38499999999999"/>
    <s v="CA"/>
    <s v="California"/>
    <s v="West"/>
    <n v="4028698.409"/>
    <n v="4793.8500000000004"/>
    <n v="5859.15"/>
    <n v="54.999999999999901"/>
    <s v="December"/>
    <n v="12"/>
    <s v="2017-12"/>
    <x v="0"/>
  </r>
  <r>
    <s v="SO - 0001735"/>
    <d v="2017-12-04T00:00:00"/>
    <s v="Holston Company"/>
    <s v="Distributor"/>
    <x v="7"/>
    <n v="7"/>
    <n v="743.7"/>
    <n v="5205.9000000000005"/>
    <n v="438.78300000000002"/>
    <s v="MI"/>
    <s v="Michigan"/>
    <s v="Midwest"/>
    <n v="3050087.5649999999"/>
    <n v="3071.4810000000002"/>
    <n v="2134.4189999999999"/>
    <n v="41"/>
    <s v="December"/>
    <n v="12"/>
    <s v="2017-12"/>
    <x v="0"/>
  </r>
  <r>
    <s v="SO - 0002673"/>
    <d v="2017-12-04T00:00:00"/>
    <s v="Pixoboo Corp"/>
    <s v="Distributor"/>
    <x v="15"/>
    <n v="12"/>
    <n v="1172.5"/>
    <n v="14070"/>
    <n v="562.79999999999995"/>
    <s v="TX"/>
    <s v="Texas"/>
    <s v="South"/>
    <n v="2062061.1440000001"/>
    <n v="6753.5999999999904"/>
    <n v="7316.4"/>
    <n v="52"/>
    <s v="December"/>
    <n v="12"/>
    <s v="2017-12"/>
    <x v="0"/>
  </r>
  <r>
    <s v="SO - 0006871"/>
    <d v="2017-12-04T00:00:00"/>
    <s v="Zoovu Corp"/>
    <s v="Wholesale"/>
    <x v="21"/>
    <n v="10"/>
    <n v="1132.3"/>
    <n v="11323"/>
    <n v="690.70299999999997"/>
    <s v="VA"/>
    <s v="Virginia"/>
    <s v="South"/>
    <n v="1230458.4839999999"/>
    <n v="6907.03"/>
    <n v="4415.97"/>
    <n v="39"/>
    <s v="December"/>
    <n v="12"/>
    <s v="2017-12"/>
    <x v="0"/>
  </r>
  <r>
    <s v="SO - 0007768"/>
    <d v="2017-12-04T00:00:00"/>
    <s v="Voonyx Group"/>
    <s v="Wholesale"/>
    <x v="2"/>
    <n v="10"/>
    <n v="1212.7"/>
    <n v="12127"/>
    <n v="582.096"/>
    <s v="NC"/>
    <s v="North Carolina"/>
    <s v="South"/>
    <n v="4028698.409"/>
    <n v="5820.96"/>
    <n v="6306.04"/>
    <n v="52"/>
    <s v="December"/>
    <n v="12"/>
    <s v="2017-12"/>
    <x v="0"/>
  </r>
  <r>
    <s v="SO - 0008265"/>
    <d v="2017-12-04T00:00:00"/>
    <s v="Wordware Company"/>
    <s v="Distributor"/>
    <x v="22"/>
    <n v="8"/>
    <n v="3055.2"/>
    <n v="24441.599999999999"/>
    <n v="2230.2959999999998"/>
    <s v="AR"/>
    <s v="Arkansas"/>
    <s v="South"/>
    <n v="710415.40500000003"/>
    <n v="17842.367999999999"/>
    <n v="6599.232"/>
    <n v="26.999999999999901"/>
    <s v="December"/>
    <n v="12"/>
    <s v="2017-12"/>
    <x v="0"/>
  </r>
  <r>
    <s v="SO - 0002469"/>
    <d v="2017-12-04T00:00:00"/>
    <s v="Voonyx Group"/>
    <s v="Distributor"/>
    <x v="16"/>
    <n v="10"/>
    <n v="1031.8"/>
    <n v="10318"/>
    <n v="660.35199999999998"/>
    <s v="NC"/>
    <s v="North Carolina"/>
    <s v="South"/>
    <n v="3016489.2089999998"/>
    <n v="6603.5199999999904"/>
    <n v="3714.48"/>
    <n v="36"/>
    <s v="December"/>
    <n v="12"/>
    <s v="2017-12"/>
    <x v="0"/>
  </r>
  <r>
    <s v="SO - 0006040"/>
    <d v="2017-12-04T00:00:00"/>
    <s v="Actavis Company"/>
    <s v="Distributor"/>
    <x v="13"/>
    <n v="9"/>
    <n v="2814"/>
    <n v="25326"/>
    <n v="1181.8799999999901"/>
    <s v="WA"/>
    <s v="Washington"/>
    <s v="West"/>
    <n v="3299478.3149999999"/>
    <n v="10636.9199999999"/>
    <n v="14689.08"/>
    <n v="58"/>
    <s v="December"/>
    <n v="12"/>
    <s v="2017-12"/>
    <x v="0"/>
  </r>
  <r>
    <s v="SO - 0006348"/>
    <d v="2017-12-04T00:00:00"/>
    <s v="Twinte Group"/>
    <s v="Wholesale"/>
    <x v="11"/>
    <n v="11"/>
    <n v="3979.8"/>
    <n v="43777.8"/>
    <n v="2427.6779999999999"/>
    <s v="AR"/>
    <s v="Arkansas"/>
    <s v="South"/>
    <n v="5685138.2699999996"/>
    <n v="26704.457999999999"/>
    <n v="17073.342000000001"/>
    <n v="39"/>
    <s v="December"/>
    <n v="12"/>
    <s v="2017-12"/>
    <x v="0"/>
  </r>
  <r>
    <s v="SO - 0008076"/>
    <d v="2017-12-04T00:00:00"/>
    <s v="Skyvu Group"/>
    <s v="Wholesale"/>
    <x v="7"/>
    <n v="5"/>
    <n v="1038.5"/>
    <n v="5192.5"/>
    <n v="664.64"/>
    <s v="VA"/>
    <s v="Virginia"/>
    <s v="South"/>
    <n v="3050087.5649999999"/>
    <n v="3323.2"/>
    <n v="1869.3"/>
    <n v="36"/>
    <s v="December"/>
    <n v="12"/>
    <s v="2017-12"/>
    <x v="0"/>
  </r>
  <r>
    <s v="SO - 0009789"/>
    <d v="2017-12-04T00:00:00"/>
    <s v="Divanoodle Ltd"/>
    <s v="Wholesale"/>
    <x v="17"/>
    <n v="8"/>
    <n v="1145.7"/>
    <n v="9165.6"/>
    <n v="618.678"/>
    <s v="CA"/>
    <s v="California"/>
    <s v="West"/>
    <n v="2642352.432"/>
    <n v="4949.424"/>
    <n v="4216.1759999999904"/>
    <n v="45.999999999999901"/>
    <s v="December"/>
    <n v="12"/>
    <s v="2017-12"/>
    <x v="0"/>
  </r>
  <r>
    <s v="SO - 0009607"/>
    <d v="2017-12-04T00:00:00"/>
    <s v="Flipbug Ltd"/>
    <s v="Wholesale"/>
    <x v="28"/>
    <n v="9"/>
    <n v="964.8"/>
    <n v="8683.1999999999989"/>
    <n v="482.4"/>
    <s v="FL"/>
    <s v="Florida"/>
    <s v="South"/>
    <n v="756557.97"/>
    <n v="4341.6000000000004"/>
    <n v="4341.6000000000004"/>
    <n v="50"/>
    <s v="December"/>
    <n v="12"/>
    <s v="2017-12"/>
    <x v="0"/>
  </r>
  <r>
    <s v="SO - 0001534"/>
    <d v="2017-12-05T00:00:00"/>
    <s v="Nexus Group"/>
    <s v="Distributor"/>
    <x v="13"/>
    <n v="6"/>
    <n v="877.7"/>
    <n v="5266.2000000000007"/>
    <n v="561.72799999999995"/>
    <s v="ME"/>
    <s v="Maine"/>
    <s v="Northeast"/>
    <n v="3299478.3149999999"/>
    <n v="3370.3679999999999"/>
    <n v="1895.8320000000001"/>
    <n v="36"/>
    <s v="December"/>
    <n v="12"/>
    <s v="2017-12"/>
    <x v="0"/>
  </r>
  <r>
    <s v="SO - 0001536"/>
    <d v="2017-12-05T00:00:00"/>
    <s v="Eayo Company"/>
    <s v="Wholesale"/>
    <x v="4"/>
    <n v="8"/>
    <n v="6472.2"/>
    <n v="51777.599999999999"/>
    <n v="2977.212"/>
    <s v="OK"/>
    <s v="Oklahoma"/>
    <s v="South"/>
    <n v="2309499.0449999999"/>
    <n v="23817.696"/>
    <n v="27959.903999999999"/>
    <n v="54"/>
    <s v="December"/>
    <n v="12"/>
    <s v="2017-12"/>
    <x v="0"/>
  </r>
  <r>
    <s v="SO - 0007626"/>
    <d v="2017-12-05T00:00:00"/>
    <s v="Terumo Corp"/>
    <s v="Wholesale"/>
    <x v="9"/>
    <n v="8"/>
    <n v="2311.5"/>
    <n v="18492"/>
    <n v="1525.59"/>
    <s v="CA"/>
    <s v="California"/>
    <s v="West"/>
    <n v="3720639.645"/>
    <n v="12204.72"/>
    <n v="6287.2799999999897"/>
    <n v="33.999999999999901"/>
    <s v="December"/>
    <n v="12"/>
    <s v="2017-12"/>
    <x v="0"/>
  </r>
  <r>
    <s v="SO - 0009342"/>
    <d v="2017-12-05T00:00:00"/>
    <s v="Meijer Corp"/>
    <s v="Wholesale"/>
    <x v="25"/>
    <n v="6"/>
    <n v="1152.4000000000001"/>
    <n v="6914.4000000000005"/>
    <n v="576.20000000000005"/>
    <s v="CA"/>
    <s v="California"/>
    <s v="West"/>
    <n v="889737.55500000005"/>
    <n v="3457.2"/>
    <n v="3457.2"/>
    <n v="50"/>
    <s v="December"/>
    <n v="12"/>
    <s v="2017-12"/>
    <x v="0"/>
  </r>
  <r>
    <s v="SO - 0009199"/>
    <d v="2017-12-05T00:00:00"/>
    <s v="Zava Group"/>
    <s v="Wholesale"/>
    <x v="14"/>
    <n v="6"/>
    <n v="6277.9"/>
    <n v="37667.399999999994"/>
    <n v="4959.5410000000002"/>
    <s v="MA"/>
    <s v="Massachusetts"/>
    <s v="Northeast"/>
    <n v="2119616.824"/>
    <n v="29757.245999999999"/>
    <n v="7910.1539999999904"/>
    <n v="20.999999999999901"/>
    <s v="December"/>
    <n v="12"/>
    <s v="2017-12"/>
    <x v="0"/>
  </r>
  <r>
    <s v="SO - 0004874"/>
    <d v="2017-12-05T00:00:00"/>
    <s v="Skiptube Ltd"/>
    <s v="Wholesale"/>
    <x v="27"/>
    <n v="7"/>
    <n v="2653.2"/>
    <n v="18572.399999999998"/>
    <n v="1485.7919999999999"/>
    <s v="FL"/>
    <s v="Florida"/>
    <s v="South"/>
    <n v="2067108.1199999901"/>
    <n v="10400.544"/>
    <n v="8171.8559999999998"/>
    <n v="43.999999999999901"/>
    <s v="December"/>
    <n v="12"/>
    <s v="2017-12"/>
    <x v="0"/>
  </r>
  <r>
    <s v="SO - 0004929"/>
    <d v="2017-12-05T00:00:00"/>
    <s v="Quimm Company"/>
    <s v="Wholesale"/>
    <x v="11"/>
    <n v="7"/>
    <n v="2673.3"/>
    <n v="18713.100000000002"/>
    <n v="2138.64"/>
    <s v="IL"/>
    <s v="Illinois"/>
    <s v="Midwest"/>
    <n v="5685138.2699999996"/>
    <n v="14970.48"/>
    <n v="3742.6199999999899"/>
    <n v="19.999999999999901"/>
    <s v="December"/>
    <n v="12"/>
    <s v="2017-12"/>
    <x v="0"/>
  </r>
  <r>
    <s v="SO - 0006005"/>
    <d v="2017-12-05T00:00:00"/>
    <s v="Skyble Corp"/>
    <s v="Export"/>
    <x v="2"/>
    <n v="9"/>
    <n v="2512.5"/>
    <n v="22612.5"/>
    <n v="1231.125"/>
    <s v="IN"/>
    <s v="Indiana"/>
    <s v="Midwest"/>
    <n v="4028698.409"/>
    <n v="11080.125"/>
    <n v="11532.375"/>
    <n v="51"/>
    <s v="December"/>
    <n v="12"/>
    <s v="2017-12"/>
    <x v="0"/>
  </r>
  <r>
    <s v="SO - 0006388"/>
    <d v="2017-12-05T00:00:00"/>
    <s v="Realpoint Corp"/>
    <s v="Distributor"/>
    <x v="18"/>
    <n v="8"/>
    <n v="1051.9000000000001"/>
    <n v="8415.2000000000007"/>
    <n v="715.29200000000003"/>
    <s v="NY"/>
    <s v="New York"/>
    <s v="Northeast"/>
    <n v="1135815.7579999999"/>
    <n v="5722.3360000000002"/>
    <n v="2692.86399999999"/>
    <n v="31.999999999999901"/>
    <s v="December"/>
    <n v="12"/>
    <s v="2017-12"/>
    <x v="0"/>
  </r>
  <r>
    <s v="SO - 0006602"/>
    <d v="2017-12-05T00:00:00"/>
    <s v="Clinique Ltd"/>
    <s v="Wholesale"/>
    <x v="19"/>
    <n v="8"/>
    <n v="1855.9"/>
    <n v="14847.2"/>
    <n v="1410.4839999999999"/>
    <s v="IL"/>
    <s v="Illinois"/>
    <s v="Midwest"/>
    <n v="2885560.824"/>
    <n v="11283.871999999999"/>
    <n v="3563.32799999999"/>
    <n v="23.999999999999901"/>
    <s v="December"/>
    <n v="12"/>
    <s v="2017-12"/>
    <x v="0"/>
  </r>
  <r>
    <s v="SO - 0006862"/>
    <d v="2017-12-05T00:00:00"/>
    <s v="Realbuzz Ltd"/>
    <s v="Wholesale"/>
    <x v="20"/>
    <n v="9"/>
    <n v="1273"/>
    <n v="11457"/>
    <n v="1069.32"/>
    <s v="FL"/>
    <s v="Florida"/>
    <s v="South"/>
    <n v="964940.23100000003"/>
    <n v="9623.8799999999992"/>
    <n v="1833.12"/>
    <n v="16"/>
    <s v="December"/>
    <n v="12"/>
    <s v="2017-12"/>
    <x v="0"/>
  </r>
  <r>
    <s v="SO - 0007022"/>
    <d v="2017-12-05T00:00:00"/>
    <s v="Sanofi-Ave Group"/>
    <s v="Distributor"/>
    <x v="1"/>
    <n v="9"/>
    <n v="2432.1"/>
    <n v="21888.899999999998"/>
    <n v="1556.5439999999901"/>
    <s v="CA"/>
    <s v="California"/>
    <s v="West"/>
    <n v="5342315.4840000002"/>
    <n v="14008.895999999901"/>
    <n v="7880.0039999999899"/>
    <n v="36"/>
    <s v="December"/>
    <n v="12"/>
    <s v="2017-12"/>
    <x v="0"/>
  </r>
  <r>
    <s v="SO - 0010250"/>
    <d v="2017-12-05T00:00:00"/>
    <s v="Safeway Ltd"/>
    <s v="Wholesale"/>
    <x v="1"/>
    <n v="12"/>
    <n v="1139"/>
    <n v="13668"/>
    <n v="728.96"/>
    <s v="IL"/>
    <s v="Illinois"/>
    <s v="Midwest"/>
    <n v="5342315.4840000002"/>
    <n v="8747.52"/>
    <n v="4920.4799999999996"/>
    <n v="36"/>
    <s v="December"/>
    <n v="12"/>
    <s v="2017-12"/>
    <x v="0"/>
  </r>
  <r>
    <s v="SO - 0010749"/>
    <d v="2017-12-05T00:00:00"/>
    <s v="Cantrell Company"/>
    <s v="Wholesale"/>
    <x v="9"/>
    <n v="6"/>
    <n v="167.5"/>
    <n v="1005"/>
    <n v="125.625"/>
    <s v="MD"/>
    <s v="Maryland"/>
    <s v="South"/>
    <n v="3720639.645"/>
    <n v="753.75"/>
    <n v="251.25"/>
    <n v="25"/>
    <s v="December"/>
    <n v="12"/>
    <s v="2017-12"/>
    <x v="0"/>
  </r>
  <r>
    <s v="SO - 0001114"/>
    <d v="2017-12-05T00:00:00"/>
    <s v="Fivebridge Ltd"/>
    <s v="Export"/>
    <x v="3"/>
    <n v="11"/>
    <n v="221.1"/>
    <n v="2432.1"/>
    <n v="108.339"/>
    <s v="NY"/>
    <s v="New York"/>
    <s v="Northeast"/>
    <n v="1085037.3289999999"/>
    <n v="1191.729"/>
    <n v="1240.3709999999901"/>
    <n v="51"/>
    <s v="December"/>
    <n v="12"/>
    <s v="2017-12"/>
    <x v="0"/>
  </r>
  <r>
    <s v="SO - 0004995"/>
    <d v="2017-12-05T00:00:00"/>
    <s v="Z.H.T. Group"/>
    <s v="Wholesale"/>
    <x v="23"/>
    <n v="5"/>
    <n v="3517.5"/>
    <n v="17587.5"/>
    <n v="2778.8249999999998"/>
    <s v="MD"/>
    <s v="Maryland"/>
    <s v="South"/>
    <n v="1645841.6"/>
    <n v="13894.125"/>
    <n v="3693.37499999999"/>
    <n v="20.999999999999901"/>
    <s v="December"/>
    <n v="12"/>
    <s v="2017-12"/>
    <x v="0"/>
  </r>
  <r>
    <s v="SO - 0006966"/>
    <d v="2017-12-05T00:00:00"/>
    <s v="Tekfly Group"/>
    <s v="Wholesale"/>
    <x v="27"/>
    <n v="5"/>
    <n v="1025.0999999999999"/>
    <n v="5125.5"/>
    <n v="420.291"/>
    <s v="MT"/>
    <s v="Montana"/>
    <s v="West"/>
    <n v="2067108.1199999901"/>
    <n v="2101.4549999999999"/>
    <n v="3024.0450000000001"/>
    <n v="59"/>
    <s v="December"/>
    <n v="12"/>
    <s v="2017-12"/>
    <x v="0"/>
  </r>
  <r>
    <s v="SO - 0010618"/>
    <d v="2017-12-05T00:00:00"/>
    <s v="Zooveo Company"/>
    <s v="Distributor"/>
    <x v="4"/>
    <n v="7"/>
    <n v="1239.5"/>
    <n v="8676.5"/>
    <n v="842.86"/>
    <s v="OK"/>
    <s v="Oklahoma"/>
    <s v="South"/>
    <n v="2309499.0449999999"/>
    <n v="5900.02"/>
    <n v="2776.47999999999"/>
    <n v="31.999999999999901"/>
    <s v="December"/>
    <n v="12"/>
    <s v="2017-12"/>
    <x v="0"/>
  </r>
  <r>
    <s v="SO - 000169"/>
    <d v="2017-12-05T00:00:00"/>
    <s v="Quimm Company"/>
    <s v="Distributor"/>
    <x v="6"/>
    <n v="5"/>
    <n v="1051.9000000000001"/>
    <n v="5259.5"/>
    <n v="494.39299999999997"/>
    <s v="IL"/>
    <s v="Illinois"/>
    <s v="Midwest"/>
    <n v="3925424.5419999999"/>
    <n v="2471.9650000000001"/>
    <n v="2787.5349999999999"/>
    <n v="53"/>
    <s v="December"/>
    <n v="12"/>
    <s v="2017-12"/>
    <x v="0"/>
  </r>
  <r>
    <s v="SO - 0001865"/>
    <d v="2017-12-05T00:00:00"/>
    <s v="Colgate-Pa Group"/>
    <s v="Wholesale"/>
    <x v="11"/>
    <n v="12"/>
    <n v="1708.5"/>
    <n v="20502"/>
    <n v="1349.7149999999999"/>
    <s v="OH"/>
    <s v="Ohio"/>
    <s v="Midwest"/>
    <n v="5685138.2699999996"/>
    <n v="16196.58"/>
    <n v="4305.4199999999901"/>
    <n v="20.999999999999901"/>
    <s v="December"/>
    <n v="12"/>
    <s v="2017-12"/>
    <x v="0"/>
  </r>
  <r>
    <s v="SO - 0004591"/>
    <d v="2017-12-05T00:00:00"/>
    <s v="Z.H.T. Group"/>
    <s v="Distributor"/>
    <x v="27"/>
    <n v="7"/>
    <n v="6030"/>
    <n v="42210"/>
    <n v="2894.4"/>
    <s v="NM"/>
    <s v="New Mexico"/>
    <s v="West"/>
    <n v="2067108.1199999901"/>
    <n v="20260.8"/>
    <n v="21949.200000000001"/>
    <n v="52"/>
    <s v="December"/>
    <n v="12"/>
    <s v="2017-12"/>
    <x v="0"/>
  </r>
  <r>
    <s v="SO - 0006564"/>
    <d v="2017-12-05T00:00:00"/>
    <s v="Snaptags Ltd"/>
    <s v="Wholesale"/>
    <x v="27"/>
    <n v="7"/>
    <n v="2626.4"/>
    <n v="18384.8"/>
    <n v="1339.4639999999999"/>
    <s v="NJ"/>
    <s v="New Jersey"/>
    <s v="Northeast"/>
    <n v="2067108.1199999901"/>
    <n v="9376.2479999999996"/>
    <n v="9008.5519999999906"/>
    <n v="48.999999999999901"/>
    <s v="December"/>
    <n v="12"/>
    <s v="2017-12"/>
    <x v="0"/>
  </r>
  <r>
    <s v="SO - 0009960"/>
    <d v="2017-12-05T00:00:00"/>
    <s v="Rooxo Company"/>
    <s v="Export"/>
    <x v="1"/>
    <n v="8"/>
    <n v="3986.5"/>
    <n v="31892"/>
    <n v="2152.71"/>
    <s v="NV"/>
    <s v="Nevada"/>
    <s v="West"/>
    <n v="5342315.4840000002"/>
    <n v="17221.68"/>
    <n v="14670.32"/>
    <n v="46"/>
    <s v="December"/>
    <n v="12"/>
    <s v="2017-12"/>
    <x v="0"/>
  </r>
  <r>
    <s v="SO - 000138"/>
    <d v="2017-12-05T00:00:00"/>
    <s v="Voonyx Group"/>
    <s v="Wholesale"/>
    <x v="10"/>
    <n v="9"/>
    <n v="998.3"/>
    <n v="8984.6999999999989"/>
    <n v="698.81"/>
    <s v="CA"/>
    <s v="California"/>
    <s v="West"/>
    <n v="1672229.416"/>
    <n v="6289.29"/>
    <n v="2695.41"/>
    <n v="29.999999999999901"/>
    <s v="December"/>
    <n v="12"/>
    <s v="2017-12"/>
    <x v="0"/>
  </r>
  <r>
    <s v="SO - 0001349"/>
    <d v="2017-12-05T00:00:00"/>
    <s v="Geiss Company"/>
    <s v="Wholesale"/>
    <x v="19"/>
    <n v="7"/>
    <n v="1246.2"/>
    <n v="8723.4"/>
    <n v="710.33399999999995"/>
    <s v="NY"/>
    <s v="New York"/>
    <s v="Northeast"/>
    <n v="2885560.824"/>
    <n v="4972.3379999999997"/>
    <n v="3751.0619999999999"/>
    <n v="43"/>
    <s v="December"/>
    <n v="12"/>
    <s v="2017-12"/>
    <x v="0"/>
  </r>
  <r>
    <s v="SO - 0001737"/>
    <d v="2017-12-05T00:00:00"/>
    <s v="Rochester Group"/>
    <s v="Export"/>
    <x v="10"/>
    <n v="8"/>
    <n v="5768.7"/>
    <n v="46149.599999999999"/>
    <n v="3922.7159999999999"/>
    <s v="CA"/>
    <s v="California"/>
    <s v="West"/>
    <n v="1672229.416"/>
    <n v="31381.727999999999"/>
    <n v="14767.871999999899"/>
    <n v="31.999999999999901"/>
    <s v="December"/>
    <n v="12"/>
    <s v="2017-12"/>
    <x v="0"/>
  </r>
  <r>
    <s v="SO - 0002435"/>
    <d v="2017-12-05T00:00:00"/>
    <s v="Bath Group"/>
    <s v="Wholesale"/>
    <x v="6"/>
    <n v="8"/>
    <n v="1031.8"/>
    <n v="8254.4"/>
    <n v="443.67399999999998"/>
    <s v="CT"/>
    <s v="Connecticut"/>
    <s v="Northeast"/>
    <n v="3925424.5419999999"/>
    <n v="3549.3919999999998"/>
    <n v="4705.0079999999998"/>
    <n v="56.999999999999901"/>
    <s v="December"/>
    <n v="12"/>
    <s v="2017-12"/>
    <x v="0"/>
  </r>
  <r>
    <s v="SO - 0003232"/>
    <d v="2017-12-05T00:00:00"/>
    <s v="Wordtune Company"/>
    <s v="Export"/>
    <x v="26"/>
    <n v="5"/>
    <n v="6545.9"/>
    <n v="32729.5"/>
    <n v="4713.0479999999998"/>
    <s v="VA"/>
    <s v="Virginia"/>
    <s v="South"/>
    <n v="1356976.996"/>
    <n v="23565.2399999999"/>
    <n v="9164.26"/>
    <n v="28"/>
    <s v="December"/>
    <n v="12"/>
    <s v="2017-12"/>
    <x v="0"/>
  </r>
  <r>
    <s v="SO - 0003676"/>
    <d v="2017-12-05T00:00:00"/>
    <s v="Viva Ltd"/>
    <s v="Export"/>
    <x v="6"/>
    <n v="5"/>
    <n v="3423.7"/>
    <n v="17118.5"/>
    <n v="2191.1680000000001"/>
    <s v="OR"/>
    <s v="Oregon"/>
    <s v="West"/>
    <n v="3925424.5419999999"/>
    <n v="10955.84"/>
    <n v="6162.66"/>
    <n v="36"/>
    <s v="December"/>
    <n v="12"/>
    <s v="2017-12"/>
    <x v="0"/>
  </r>
  <r>
    <s v="SO - 0004880"/>
    <d v="2017-12-05T00:00:00"/>
    <s v="Browsebug Company"/>
    <s v="Distributor"/>
    <x v="15"/>
    <n v="7"/>
    <n v="2318.1999999999998"/>
    <n v="16227.399999999998"/>
    <n v="1460.4659999999999"/>
    <s v="CA"/>
    <s v="California"/>
    <s v="West"/>
    <n v="2062061.1440000001"/>
    <n v="10223.262000000001"/>
    <n v="6004.1379999999999"/>
    <n v="37"/>
    <s v="December"/>
    <n v="12"/>
    <s v="2017-12"/>
    <x v="0"/>
  </r>
  <r>
    <s v="SO - 0006902"/>
    <d v="2017-12-05T00:00:00"/>
    <s v="Mydeo Ltd"/>
    <s v="Wholesale"/>
    <x v="15"/>
    <n v="5"/>
    <n v="1005"/>
    <n v="5025"/>
    <n v="592.94999999999902"/>
    <s v="CA"/>
    <s v="California"/>
    <s v="West"/>
    <n v="2062061.1440000001"/>
    <n v="2964.74999999999"/>
    <n v="2060.25"/>
    <n v="41"/>
    <s v="December"/>
    <n v="12"/>
    <s v="2017-12"/>
    <x v="0"/>
  </r>
  <r>
    <s v="SO - 0006968"/>
    <d v="2017-12-05T00:00:00"/>
    <s v="Buzzshare Company"/>
    <s v="Distributor"/>
    <x v="6"/>
    <n v="8"/>
    <n v="3999.9"/>
    <n v="31999.200000000001"/>
    <n v="3319.9169999999999"/>
    <s v="CO"/>
    <s v="Colorado"/>
    <s v="West"/>
    <n v="3925424.5419999999"/>
    <n v="26559.335999999999"/>
    <n v="5439.8639999999996"/>
    <n v="17"/>
    <s v="December"/>
    <n v="12"/>
    <s v="2017-12"/>
    <x v="0"/>
  </r>
  <r>
    <s v="SO - 0010041"/>
    <d v="2017-12-05T00:00:00"/>
    <s v="Skidoo Company"/>
    <s v="Distributor"/>
    <x v="6"/>
    <n v="11"/>
    <n v="850.9"/>
    <n v="9359.9"/>
    <n v="714.75599999999997"/>
    <s v="TX"/>
    <s v="Texas"/>
    <s v="South"/>
    <n v="3925424.5419999999"/>
    <n v="7862.3159999999998"/>
    <n v="1497.5839999999901"/>
    <n v="15.999999999999901"/>
    <s v="December"/>
    <n v="12"/>
    <s v="2017-12"/>
    <x v="0"/>
  </r>
  <r>
    <s v="SO - 0010075"/>
    <d v="2017-12-05T00:00:00"/>
    <s v="Tagfeed Ltd"/>
    <s v="Wholesale"/>
    <x v="2"/>
    <n v="6"/>
    <n v="2633.1"/>
    <n v="15798.599999999999"/>
    <n v="1079.5709999999999"/>
    <s v="CT"/>
    <s v="Connecticut"/>
    <s v="Northeast"/>
    <n v="4028698.409"/>
    <n v="6477.4259999999904"/>
    <n v="9321.17399999999"/>
    <n v="59"/>
    <s v="December"/>
    <n v="12"/>
    <s v="2017-12"/>
    <x v="0"/>
  </r>
  <r>
    <s v="SO - 000108"/>
    <d v="2017-12-05T00:00:00"/>
    <s v="Tagfeed Ltd"/>
    <s v="Distributor"/>
    <x v="29"/>
    <n v="10"/>
    <n v="1815.7"/>
    <n v="18157"/>
    <n v="1525.1879999999901"/>
    <s v="CT"/>
    <s v="Connecticut"/>
    <s v="Northeast"/>
    <n v="864331.62399999995"/>
    <n v="15251.88"/>
    <n v="2905.12"/>
    <n v="16"/>
    <s v="December"/>
    <n v="12"/>
    <s v="2017-12"/>
    <x v="0"/>
  </r>
  <r>
    <s v="SO - 000901"/>
    <d v="2017-12-05T00:00:00"/>
    <s v="Kare Corp"/>
    <s v="Distributor"/>
    <x v="10"/>
    <n v="8"/>
    <n v="1118.9000000000001"/>
    <n v="8951.2000000000007"/>
    <n v="469.93799999999999"/>
    <s v="NJ"/>
    <s v="New Jersey"/>
    <s v="Northeast"/>
    <n v="1672229.416"/>
    <n v="3759.5039999999999"/>
    <n v="5191.6959999999999"/>
    <n v="57.999999999999901"/>
    <s v="December"/>
    <n v="12"/>
    <s v="2017-12"/>
    <x v="0"/>
  </r>
  <r>
    <s v="SO - 000954"/>
    <d v="2017-12-05T00:00:00"/>
    <s v="Zooveo Company"/>
    <s v="Wholesale"/>
    <x v="24"/>
    <n v="5"/>
    <n v="1809"/>
    <n v="9045"/>
    <n v="1465.29"/>
    <s v="NC"/>
    <s v="North Carolina"/>
    <s v="South"/>
    <n v="594471.56999999995"/>
    <n v="7326.45"/>
    <n v="1718.54999999999"/>
    <n v="18.999999999999901"/>
    <s v="December"/>
    <n v="12"/>
    <s v="2017-12"/>
    <x v="0"/>
  </r>
  <r>
    <s v="SO - 0002176"/>
    <d v="2017-12-05T00:00:00"/>
    <s v="Fivechat Company"/>
    <s v="Distributor"/>
    <x v="9"/>
    <n v="9"/>
    <n v="2485.6999999999998"/>
    <n v="22371.3"/>
    <n v="1242.8499999999999"/>
    <s v="NY"/>
    <s v="New York"/>
    <s v="Northeast"/>
    <n v="3720639.645"/>
    <n v="11185.65"/>
    <n v="11185.65"/>
    <n v="50"/>
    <s v="December"/>
    <n v="12"/>
    <s v="2017-12"/>
    <x v="0"/>
  </r>
  <r>
    <s v="SO - 0003505"/>
    <d v="2017-12-05T00:00:00"/>
    <s v="Bta Corp"/>
    <s v="Export"/>
    <x v="19"/>
    <n v="7"/>
    <n v="1132.3"/>
    <n v="7926.0999999999995"/>
    <n v="962.45499999999902"/>
    <s v="NY"/>
    <s v="New York"/>
    <s v="Northeast"/>
    <n v="2885560.824"/>
    <n v="6737.1849999999904"/>
    <n v="1188.915"/>
    <n v="15"/>
    <s v="December"/>
    <n v="12"/>
    <s v="2017-12"/>
    <x v="0"/>
  </r>
  <r>
    <s v="SO - 0004465"/>
    <d v="2017-12-05T00:00:00"/>
    <s v="Aibox Company"/>
    <s v="Distributor"/>
    <x v="6"/>
    <n v="8"/>
    <n v="1038.5"/>
    <n v="8308"/>
    <n v="799.64499999999998"/>
    <s v="FL"/>
    <s v="Florida"/>
    <s v="South"/>
    <n v="3925424.5419999999"/>
    <n v="6397.16"/>
    <n v="1910.84"/>
    <n v="23"/>
    <s v="December"/>
    <n v="12"/>
    <s v="2017-12"/>
    <x v="0"/>
  </r>
  <r>
    <s v="SO - 0006550"/>
    <d v="2017-12-05T00:00:00"/>
    <s v="Pixoboo Corp"/>
    <s v="Wholesale"/>
    <x v="13"/>
    <n v="5"/>
    <n v="2365.1"/>
    <n v="11825.5"/>
    <n v="1702.8719999999901"/>
    <s v="PA"/>
    <s v="Pennsylvania"/>
    <s v="Northeast"/>
    <n v="3299478.3149999999"/>
    <n v="8514.3599999999897"/>
    <n v="3311.14"/>
    <n v="28"/>
    <s v="December"/>
    <n v="12"/>
    <s v="2017-12"/>
    <x v="0"/>
  </r>
  <r>
    <s v="SO - 0007292"/>
    <d v="2017-12-05T00:00:00"/>
    <s v="Cadila Ltd"/>
    <s v="Wholesale"/>
    <x v="16"/>
    <n v="7"/>
    <n v="1112.2"/>
    <n v="7785.4000000000005"/>
    <n v="778.54"/>
    <s v="NM"/>
    <s v="New Mexico"/>
    <s v="West"/>
    <n v="3016489.2089999998"/>
    <n v="5449.78"/>
    <n v="2335.62"/>
    <n v="30"/>
    <s v="December"/>
    <n v="12"/>
    <s v="2017-12"/>
    <x v="0"/>
  </r>
  <r>
    <s v="SO - 0007983"/>
    <d v="2017-12-05T00:00:00"/>
    <s v="Pixoboo Corp"/>
    <s v="Wholesale"/>
    <x v="10"/>
    <n v="5"/>
    <n v="1065.3"/>
    <n v="5326.5"/>
    <n v="617.873999999999"/>
    <s v="TX"/>
    <s v="Texas"/>
    <s v="South"/>
    <n v="1672229.416"/>
    <n v="3089.3699999999899"/>
    <n v="2237.13"/>
    <n v="42"/>
    <s v="December"/>
    <n v="12"/>
    <s v="2017-12"/>
    <x v="0"/>
  </r>
  <r>
    <s v="SO - 0009829"/>
    <d v="2017-12-05T00:00:00"/>
    <s v="The Ltd"/>
    <s v="Wholesale"/>
    <x v="29"/>
    <n v="5"/>
    <n v="3926.2"/>
    <n v="19631"/>
    <n v="3062.4360000000001"/>
    <s v="CA"/>
    <s v="California"/>
    <s v="West"/>
    <n v="864331.62399999995"/>
    <n v="15312.18"/>
    <n v="4318.82"/>
    <n v="21.999999999999901"/>
    <s v="December"/>
    <n v="12"/>
    <s v="2017-12"/>
    <x v="0"/>
  </r>
  <r>
    <s v="SO - 0008707"/>
    <d v="2017-12-05T00:00:00"/>
    <s v="Aibox Company"/>
    <s v="Wholesale"/>
    <x v="2"/>
    <n v="5"/>
    <n v="2378.5"/>
    <n v="11892.5"/>
    <n v="1974.155"/>
    <s v="GA"/>
    <s v="Georgia"/>
    <s v="South"/>
    <n v="4028698.409"/>
    <n v="9870.7749999999996"/>
    <n v="2021.7249999999999"/>
    <n v="17"/>
    <s v="December"/>
    <n v="12"/>
    <s v="2017-12"/>
    <x v="0"/>
  </r>
  <r>
    <s v="SO - 0001342"/>
    <d v="2017-12-06T00:00:00"/>
    <s v="Voolith Ltd"/>
    <s v="Distributor"/>
    <x v="14"/>
    <n v="9"/>
    <n v="5380.1"/>
    <n v="48420.9"/>
    <n v="4304.08"/>
    <s v="MA"/>
    <s v="Massachusetts"/>
    <s v="Northeast"/>
    <n v="2119616.824"/>
    <n v="38736.720000000001"/>
    <n v="9684.1799999999894"/>
    <n v="19.999999999999901"/>
    <s v="December"/>
    <n v="12"/>
    <s v="2017-12"/>
    <x v="0"/>
  </r>
  <r>
    <s v="SO - 0004026"/>
    <d v="2017-12-06T00:00:00"/>
    <s v="Vimbo Company"/>
    <s v="Distributor"/>
    <x v="0"/>
    <n v="8"/>
    <n v="1105.5"/>
    <n v="8844"/>
    <n v="807.01499999999999"/>
    <s v="GA"/>
    <s v="Georgia"/>
    <s v="South"/>
    <n v="1011609.684"/>
    <n v="6456.12"/>
    <n v="2387.88"/>
    <n v="27"/>
    <s v="December"/>
    <n v="12"/>
    <s v="2017-12"/>
    <x v="0"/>
  </r>
  <r>
    <s v="SO - 0007490"/>
    <d v="2017-12-06T00:00:00"/>
    <s v="Buzzshare Company"/>
    <s v="Wholesale"/>
    <x v="2"/>
    <n v="8"/>
    <n v="3999.9"/>
    <n v="31999.200000000001"/>
    <n v="2919.9270000000001"/>
    <s v="CA"/>
    <s v="California"/>
    <s v="West"/>
    <n v="4028698.409"/>
    <n v="23359.416000000001"/>
    <n v="8639.7839999999997"/>
    <n v="26.999999999999901"/>
    <s v="December"/>
    <n v="12"/>
    <s v="2017-12"/>
    <x v="0"/>
  </r>
  <r>
    <s v="SO - 0007498"/>
    <d v="2017-12-06T00:00:00"/>
    <s v="Johnson Ltd"/>
    <s v="Distributor"/>
    <x v="19"/>
    <n v="9"/>
    <n v="1045.2"/>
    <n v="9406.8000000000011"/>
    <n v="836.16"/>
    <s v="MD"/>
    <s v="Maryland"/>
    <s v="South"/>
    <n v="2885560.824"/>
    <n v="7525.44"/>
    <n v="1881.36"/>
    <n v="20"/>
    <s v="December"/>
    <n v="12"/>
    <s v="2017-12"/>
    <x v="0"/>
  </r>
  <r>
    <s v="SO - 0007874"/>
    <d v="2017-12-06T00:00:00"/>
    <s v="Jaxbean Group"/>
    <s v="Wholesale"/>
    <x v="26"/>
    <n v="8"/>
    <n v="1795.6"/>
    <n v="14364.8"/>
    <n v="718.24"/>
    <s v="MN"/>
    <s v="Minnesota"/>
    <s v="Midwest"/>
    <n v="1356976.996"/>
    <n v="5745.92"/>
    <n v="8618.8799999999992"/>
    <n v="60"/>
    <s v="December"/>
    <n v="12"/>
    <s v="2017-12"/>
    <x v="0"/>
  </r>
  <r>
    <s v="SO - 0001406"/>
    <d v="2017-12-06T00:00:00"/>
    <s v="Browsebug Company"/>
    <s v="Wholesale"/>
    <x v="12"/>
    <n v="11"/>
    <n v="1206"/>
    <n v="13266"/>
    <n v="916.56"/>
    <s v="CA"/>
    <s v="California"/>
    <s v="West"/>
    <n v="959899.21799999999"/>
    <n v="10082.16"/>
    <n v="3183.84"/>
    <n v="24"/>
    <s v="December"/>
    <n v="12"/>
    <s v="2017-12"/>
    <x v="0"/>
  </r>
  <r>
    <s v="SO - 0001794"/>
    <d v="2017-12-06T00:00:00"/>
    <s v="Terumo Corp"/>
    <s v="Wholesale"/>
    <x v="4"/>
    <n v="6"/>
    <n v="1855.9"/>
    <n v="11135.400000000001"/>
    <n v="1354.807"/>
    <s v="CA"/>
    <s v="California"/>
    <s v="West"/>
    <n v="2309499.0449999999"/>
    <n v="8128.8419999999996"/>
    <n v="3006.558"/>
    <n v="27"/>
    <s v="December"/>
    <n v="12"/>
    <s v="2017-12"/>
    <x v="0"/>
  </r>
  <r>
    <s v="SO - 0002691"/>
    <d v="2017-12-06T00:00:00"/>
    <s v="Linklinks Ltd"/>
    <s v="Distributor"/>
    <x v="28"/>
    <n v="7"/>
    <n v="1031.8"/>
    <n v="7222.5999999999995"/>
    <n v="588.12599999999998"/>
    <s v="MO"/>
    <s v="Missouri"/>
    <s v="Midwest"/>
    <n v="756557.97"/>
    <n v="4116.8819999999996"/>
    <n v="3105.7179999999998"/>
    <n v="43"/>
    <s v="December"/>
    <n v="12"/>
    <s v="2017-12"/>
    <x v="0"/>
  </r>
  <r>
    <s v="SO - 0005458"/>
    <d v="2017-12-06T00:00:00"/>
    <s v="Fivechat Company"/>
    <s v="Wholesale"/>
    <x v="16"/>
    <n v="9"/>
    <n v="3504.1"/>
    <n v="31536.899999999998"/>
    <n v="2943.444"/>
    <s v="RI"/>
    <s v="Rhode Island"/>
    <s v="Northeast"/>
    <n v="3016489.2089999998"/>
    <n v="26490.995999999999"/>
    <n v="5045.9039999999904"/>
    <n v="15.999999999999901"/>
    <s v="December"/>
    <n v="12"/>
    <s v="2017-12"/>
    <x v="0"/>
  </r>
  <r>
    <s v="SO - 0004021"/>
    <d v="2017-12-06T00:00:00"/>
    <s v="Trunyx Ltd"/>
    <s v="Distributor"/>
    <x v="11"/>
    <n v="5"/>
    <n v="1078.7"/>
    <n v="5393.5"/>
    <n v="614.85899999999901"/>
    <s v="MO"/>
    <s v="Missouri"/>
    <s v="Midwest"/>
    <n v="5685138.2699999996"/>
    <n v="3074.2949999999901"/>
    <n v="2319.2049999999999"/>
    <n v="43"/>
    <s v="December"/>
    <n v="12"/>
    <s v="2017-12"/>
    <x v="0"/>
  </r>
  <r>
    <s v="SO - 0005963"/>
    <d v="2017-12-06T00:00:00"/>
    <s v="Clinique Ltd"/>
    <s v="Distributor"/>
    <x v="22"/>
    <n v="10"/>
    <n v="174.2"/>
    <n v="1742"/>
    <n v="130.65"/>
    <s v="IL"/>
    <s v="Illinois"/>
    <s v="Midwest"/>
    <n v="710415.40500000003"/>
    <n v="1306.5"/>
    <n v="435.5"/>
    <n v="25"/>
    <s v="December"/>
    <n v="12"/>
    <s v="2017-12"/>
    <x v="0"/>
  </r>
  <r>
    <s v="SO - 0006077"/>
    <d v="2017-12-06T00:00:00"/>
    <s v="Buzzshare Company"/>
    <s v="Distributor"/>
    <x v="1"/>
    <n v="11"/>
    <n v="5038.3999999999996"/>
    <n v="55422.399999999994"/>
    <n v="3778.8"/>
    <s v="CA"/>
    <s v="California"/>
    <s v="West"/>
    <n v="5342315.4840000002"/>
    <n v="41566.800000000003"/>
    <n v="13855.6"/>
    <n v="25"/>
    <s v="December"/>
    <n v="12"/>
    <s v="2017-12"/>
    <x v="0"/>
  </r>
  <r>
    <s v="SO - 0006170"/>
    <d v="2017-12-06T00:00:00"/>
    <s v="Wordware Company"/>
    <s v="Wholesale"/>
    <x v="11"/>
    <n v="5"/>
    <n v="938"/>
    <n v="4690"/>
    <n v="684.74"/>
    <s v="IN"/>
    <s v="Indiana"/>
    <s v="Midwest"/>
    <n v="5685138.2699999996"/>
    <n v="3423.7"/>
    <n v="1266.3"/>
    <n v="27"/>
    <s v="December"/>
    <n v="12"/>
    <s v="2017-12"/>
    <x v="0"/>
  </r>
  <r>
    <s v="SO - 0007023"/>
    <d v="2017-12-06T00:00:00"/>
    <s v="Skippad Ltd"/>
    <s v="Distributor"/>
    <x v="6"/>
    <n v="12"/>
    <n v="1118.9000000000001"/>
    <n v="13426.800000000001"/>
    <n v="626.58399999999995"/>
    <s v="WA"/>
    <s v="Washington"/>
    <s v="West"/>
    <n v="3925424.5419999999"/>
    <n v="7519.0079999999998"/>
    <n v="5907.7920000000004"/>
    <n v="44"/>
    <s v="December"/>
    <n v="12"/>
    <s v="2017-12"/>
    <x v="0"/>
  </r>
  <r>
    <s v="SO - 0008125"/>
    <d v="2017-12-06T00:00:00"/>
    <s v="Alk-Abello Ltd"/>
    <s v="Distributor"/>
    <x v="2"/>
    <n v="10"/>
    <n v="3731.9"/>
    <n v="37319"/>
    <n v="2948.201"/>
    <s v="NY"/>
    <s v="New York"/>
    <s v="Northeast"/>
    <n v="4028698.409"/>
    <n v="29482.01"/>
    <n v="7836.9899999999898"/>
    <n v="20.999999999999901"/>
    <s v="December"/>
    <n v="12"/>
    <s v="2017-12"/>
    <x v="0"/>
  </r>
  <r>
    <s v="SO - 000394"/>
    <d v="2017-12-06T00:00:00"/>
    <s v="Unit Ltd"/>
    <s v="Distributor"/>
    <x v="22"/>
    <n v="6"/>
    <n v="1139"/>
    <n v="6834"/>
    <n v="933.979999999999"/>
    <s v="IA"/>
    <s v="Iowa"/>
    <s v="Midwest"/>
    <n v="710415.40500000003"/>
    <n v="5603.8799999999901"/>
    <n v="1230.1199999999999"/>
    <n v="18"/>
    <s v="December"/>
    <n v="12"/>
    <s v="2017-12"/>
    <x v="0"/>
  </r>
  <r>
    <s v="SO - 0001996"/>
    <d v="2017-12-06T00:00:00"/>
    <s v="Emd Group"/>
    <s v="Wholesale"/>
    <x v="2"/>
    <n v="12"/>
    <n v="1065.3"/>
    <n v="12783.599999999999"/>
    <n v="745.70999999999901"/>
    <s v="IN"/>
    <s v="Indiana"/>
    <s v="Midwest"/>
    <n v="4028698.409"/>
    <n v="8948.5199999999895"/>
    <n v="3835.08"/>
    <n v="30"/>
    <s v="December"/>
    <n v="12"/>
    <s v="2017-12"/>
    <x v="0"/>
  </r>
  <r>
    <s v="SO - 0002393"/>
    <d v="2017-12-06T00:00:00"/>
    <s v="Realbridge Corp"/>
    <s v="Distributor"/>
    <x v="20"/>
    <n v="7"/>
    <n v="2331.6"/>
    <n v="16321.199999999999"/>
    <n v="1841.9639999999999"/>
    <s v="MA"/>
    <s v="Massachusetts"/>
    <s v="Northeast"/>
    <n v="964940.23100000003"/>
    <n v="12893.748"/>
    <n v="3427.4519999999902"/>
    <n v="20.999999999999901"/>
    <s v="December"/>
    <n v="12"/>
    <s v="2017-12"/>
    <x v="0"/>
  </r>
  <r>
    <s v="SO - 0003437"/>
    <d v="2017-12-06T00:00:00"/>
    <s v="Blogspan Ltd"/>
    <s v="Wholesale"/>
    <x v="16"/>
    <n v="8"/>
    <n v="1051.9000000000001"/>
    <n v="8415.2000000000007"/>
    <n v="715.29200000000003"/>
    <s v="ND"/>
    <s v="North Dakota"/>
    <s v="Midwest"/>
    <n v="3016489.2089999998"/>
    <n v="5722.3360000000002"/>
    <n v="2692.86399999999"/>
    <n v="31.999999999999901"/>
    <s v="December"/>
    <n v="12"/>
    <s v="2017-12"/>
    <x v="0"/>
  </r>
  <r>
    <s v="SO - 0004209"/>
    <d v="2017-12-06T00:00:00"/>
    <s v="Nexus Group"/>
    <s v="Wholesale"/>
    <x v="13"/>
    <n v="10"/>
    <n v="3899.4"/>
    <n v="38994"/>
    <n v="2924.55"/>
    <s v="CA"/>
    <s v="California"/>
    <s v="West"/>
    <n v="3299478.3149999999"/>
    <n v="29245.5"/>
    <n v="9748.5"/>
    <n v="25"/>
    <s v="December"/>
    <n v="12"/>
    <s v="2017-12"/>
    <x v="0"/>
  </r>
  <r>
    <s v="SO - 0007556"/>
    <d v="2017-12-06T00:00:00"/>
    <s v="Sanum-Kehl Group"/>
    <s v="Distributor"/>
    <x v="23"/>
    <n v="5"/>
    <n v="5969.7"/>
    <n v="29848.5"/>
    <n v="4417.5779999999904"/>
    <s v="MS"/>
    <s v="Mississippi"/>
    <s v="South"/>
    <n v="1645841.6"/>
    <n v="22087.89"/>
    <n v="7760.61"/>
    <n v="26"/>
    <s v="December"/>
    <n v="12"/>
    <s v="2017-12"/>
    <x v="0"/>
  </r>
  <r>
    <s v="SO - 0007643"/>
    <d v="2017-12-06T00:00:00"/>
    <s v="Aveda Group"/>
    <s v="Wholesale"/>
    <x v="9"/>
    <n v="6"/>
    <n v="911.2"/>
    <n v="5467.2000000000007"/>
    <n v="446.488"/>
    <s v="TX"/>
    <s v="Texas"/>
    <s v="South"/>
    <n v="3720639.645"/>
    <n v="2678.9279999999999"/>
    <n v="2788.2719999999999"/>
    <n v="51"/>
    <s v="December"/>
    <n v="12"/>
    <s v="2017-12"/>
    <x v="0"/>
  </r>
  <r>
    <s v="SO - 0009316"/>
    <d v="2017-12-06T00:00:00"/>
    <s v="Meejo Corp"/>
    <s v="Wholesale"/>
    <x v="21"/>
    <n v="11"/>
    <n v="2867.6"/>
    <n v="31543.599999999999"/>
    <n v="1319.096"/>
    <s v="FL"/>
    <s v="Florida"/>
    <s v="South"/>
    <n v="1230458.4839999999"/>
    <n v="14510.056"/>
    <n v="17033.5439999999"/>
    <n v="53.999999999999901"/>
    <s v="December"/>
    <n v="12"/>
    <s v="2017-12"/>
    <x v="0"/>
  </r>
  <r>
    <s v="SO - 0010228"/>
    <d v="2017-12-06T00:00:00"/>
    <s v="Zoonoodle Ltd"/>
    <s v="Distributor"/>
    <x v="13"/>
    <n v="12"/>
    <n v="1159.0999999999999"/>
    <n v="13909.199999999999"/>
    <n v="707.05100000000004"/>
    <s v="CA"/>
    <s v="California"/>
    <s v="West"/>
    <n v="3299478.3149999999"/>
    <n v="8484.6119999999992"/>
    <n v="5424.5879999999997"/>
    <n v="38.999999999999901"/>
    <s v="December"/>
    <n v="12"/>
    <s v="2017-12"/>
    <x v="0"/>
  </r>
  <r>
    <s v="SO - 0010711"/>
    <d v="2017-12-06T00:00:00"/>
    <s v="Holston Company"/>
    <s v="Distributor"/>
    <x v="1"/>
    <n v="12"/>
    <n v="1038.5"/>
    <n v="12462"/>
    <n v="591.94499999999903"/>
    <s v="IL"/>
    <s v="Illinois"/>
    <s v="Midwest"/>
    <n v="5342315.4840000002"/>
    <n v="7103.3399999999901"/>
    <n v="5358.66"/>
    <n v="43"/>
    <s v="December"/>
    <n v="12"/>
    <s v="2017-12"/>
    <x v="0"/>
  </r>
  <r>
    <s v="SO - 0002484"/>
    <d v="2017-12-06T00:00:00"/>
    <s v="Skyble Corp"/>
    <s v="Distributor"/>
    <x v="10"/>
    <n v="5"/>
    <n v="1340"/>
    <n v="6700"/>
    <n v="924.599999999999"/>
    <s v="NY"/>
    <s v="New York"/>
    <s v="Northeast"/>
    <n v="1672229.416"/>
    <n v="4623"/>
    <n v="2077"/>
    <n v="31"/>
    <s v="December"/>
    <n v="12"/>
    <s v="2017-12"/>
    <x v="0"/>
  </r>
  <r>
    <s v="SO - 0006503"/>
    <d v="2017-12-06T00:00:00"/>
    <s v="Mydo Corp"/>
    <s v="Wholesale"/>
    <x v="9"/>
    <n v="9"/>
    <n v="716.9"/>
    <n v="6452.0999999999995"/>
    <n v="379.95699999999999"/>
    <s v="GA"/>
    <s v="Georgia"/>
    <s v="South"/>
    <n v="3720639.645"/>
    <n v="3419.6129999999998"/>
    <n v="3032.4869999999901"/>
    <n v="47"/>
    <s v="December"/>
    <n v="12"/>
    <s v="2017-12"/>
    <x v="0"/>
  </r>
  <r>
    <s v="SO - 0010038"/>
    <d v="2017-12-06T00:00:00"/>
    <s v="Nlounge Ltd"/>
    <s v="Wholesale"/>
    <x v="28"/>
    <n v="12"/>
    <n v="5480.6"/>
    <n v="65767.200000000012"/>
    <n v="4110.45"/>
    <s v="IL"/>
    <s v="Illinois"/>
    <s v="Midwest"/>
    <n v="756557.97"/>
    <n v="49325.4"/>
    <n v="16441.8"/>
    <n v="25"/>
    <s v="December"/>
    <n v="12"/>
    <s v="2017-12"/>
    <x v="0"/>
  </r>
  <r>
    <s v="SO - 0008549"/>
    <d v="2017-12-06T00:00:00"/>
    <s v="Devpoint Group"/>
    <s v="Distributor"/>
    <x v="13"/>
    <n v="11"/>
    <n v="1333.3"/>
    <n v="14666.3"/>
    <n v="879.97799999999995"/>
    <s v="NY"/>
    <s v="New York"/>
    <s v="Northeast"/>
    <n v="3299478.3149999999"/>
    <n v="9679.7579999999998"/>
    <n v="4986.5419999999904"/>
    <n v="33.999999999999901"/>
    <s v="December"/>
    <n v="12"/>
    <s v="2017-12"/>
    <x v="0"/>
  </r>
  <r>
    <s v="SO - 000620"/>
    <d v="2017-12-06T00:00:00"/>
    <s v="H Ltd"/>
    <s v="Wholesale"/>
    <x v="13"/>
    <n v="11"/>
    <n v="2405.3000000000002"/>
    <n v="26458.300000000003"/>
    <n v="1635.604"/>
    <s v="IL"/>
    <s v="Illinois"/>
    <s v="Midwest"/>
    <n v="3299478.3149999999"/>
    <n v="17991.644"/>
    <n v="8466.6559999999899"/>
    <n v="31.999999999999901"/>
    <s v="December"/>
    <n v="12"/>
    <s v="2017-12"/>
    <x v="0"/>
  </r>
  <r>
    <s v="SO - 0001383"/>
    <d v="2017-12-06T00:00:00"/>
    <s v="Devpoint Group"/>
    <s v="Distributor"/>
    <x v="24"/>
    <n v="6"/>
    <n v="3966.4"/>
    <n v="23798.400000000001"/>
    <n v="2736.8159999999998"/>
    <s v="NM"/>
    <s v="New Mexico"/>
    <s v="West"/>
    <n v="594471.56999999995"/>
    <n v="16420.896000000001"/>
    <n v="7377.5039999999999"/>
    <n v="31"/>
    <s v="December"/>
    <n v="12"/>
    <s v="2017-12"/>
    <x v="0"/>
  </r>
  <r>
    <s v="SO - 0002778"/>
    <d v="2017-12-06T00:00:00"/>
    <s v="Skidoo Company"/>
    <s v="Distributor"/>
    <x v="6"/>
    <n v="5"/>
    <n v="207.7"/>
    <n v="1038.5"/>
    <n v="168.23699999999999"/>
    <s v="IN"/>
    <s v="Indiana"/>
    <s v="Midwest"/>
    <n v="3925424.5419999999"/>
    <n v="841.18499999999995"/>
    <n v="197.314999999999"/>
    <n v="18.999999999999901"/>
    <s v="December"/>
    <n v="12"/>
    <s v="2017-12"/>
    <x v="0"/>
  </r>
  <r>
    <s v="SO - 0006233"/>
    <d v="2017-12-06T00:00:00"/>
    <s v="Centizu Company"/>
    <s v="Distributor"/>
    <x v="9"/>
    <n v="8"/>
    <n v="1011.7"/>
    <n v="8093.6"/>
    <n v="728.42399999999998"/>
    <s v="CA"/>
    <s v="California"/>
    <s v="West"/>
    <n v="3720639.645"/>
    <n v="5827.3919999999998"/>
    <n v="2266.2080000000001"/>
    <n v="28"/>
    <s v="December"/>
    <n v="12"/>
    <s v="2017-12"/>
    <x v="0"/>
  </r>
  <r>
    <s v="SO - 0006556"/>
    <d v="2017-12-06T00:00:00"/>
    <s v="Bb17 Company"/>
    <s v="Export"/>
    <x v="9"/>
    <n v="11"/>
    <n v="871"/>
    <n v="9581"/>
    <n v="418.08"/>
    <s v="DC"/>
    <s v="District of Columbia"/>
    <s v="South"/>
    <n v="3720639.645"/>
    <n v="4598.88"/>
    <n v="4982.12"/>
    <n v="52"/>
    <s v="December"/>
    <n v="12"/>
    <s v="2017-12"/>
    <x v="0"/>
  </r>
  <r>
    <s v="SO - 0010036"/>
    <d v="2017-12-06T00:00:00"/>
    <s v="Mydeo Ltd"/>
    <s v="Wholesale"/>
    <x v="15"/>
    <n v="5"/>
    <n v="1005"/>
    <n v="5025"/>
    <n v="592.94999999999902"/>
    <s v="CA"/>
    <s v="California"/>
    <s v="West"/>
    <n v="2062061.1440000001"/>
    <n v="2964.74999999999"/>
    <n v="2060.25"/>
    <n v="41"/>
    <s v="December"/>
    <n v="12"/>
    <s v="2017-12"/>
    <x v="0"/>
  </r>
  <r>
    <s v="SO - 000369"/>
    <d v="2017-12-07T00:00:00"/>
    <s v="H Ltd"/>
    <s v="Export"/>
    <x v="27"/>
    <n v="11"/>
    <n v="3758.7"/>
    <n v="41345.699999999997"/>
    <n v="1954.5239999999999"/>
    <s v="WA"/>
    <s v="Washington"/>
    <s v="West"/>
    <n v="2067108.1199999901"/>
    <n v="21499.763999999999"/>
    <n v="19845.936000000002"/>
    <n v="48"/>
    <s v="December"/>
    <n v="12"/>
    <s v="2017-12"/>
    <x v="0"/>
  </r>
  <r>
    <s v="SO - 000611"/>
    <d v="2017-12-07T00:00:00"/>
    <s v="Arbor Company"/>
    <s v="Wholesale"/>
    <x v="1"/>
    <n v="6"/>
    <n v="5634.7"/>
    <n v="33808.199999999997"/>
    <n v="4226.0249999999996"/>
    <s v="FL"/>
    <s v="Florida"/>
    <s v="South"/>
    <n v="5342315.4840000002"/>
    <n v="25356.1499999999"/>
    <n v="8452.0499999999993"/>
    <n v="25"/>
    <s v="December"/>
    <n v="12"/>
    <s v="2017-12"/>
    <x v="0"/>
  </r>
  <r>
    <s v="SO - 000652"/>
    <d v="2017-12-07T00:00:00"/>
    <s v="Buzzbean Group"/>
    <s v="Wholesale"/>
    <x v="16"/>
    <n v="9"/>
    <n v="241.2"/>
    <n v="2170.7999999999997"/>
    <n v="161.60400000000001"/>
    <s v="MN"/>
    <s v="Minnesota"/>
    <s v="Midwest"/>
    <n v="3016489.2089999998"/>
    <n v="1454.4359999999999"/>
    <n v="716.36400000000003"/>
    <n v="32.999999999999901"/>
    <s v="December"/>
    <n v="12"/>
    <s v="2017-12"/>
    <x v="0"/>
  </r>
  <r>
    <s v="SO - 000946"/>
    <d v="2017-12-07T00:00:00"/>
    <s v="Realbuzz Ltd"/>
    <s v="Distributor"/>
    <x v="1"/>
    <n v="7"/>
    <n v="1045.2"/>
    <n v="7316.4000000000005"/>
    <n v="752.54399999999998"/>
    <s v="FL"/>
    <s v="Florida"/>
    <s v="South"/>
    <n v="5342315.4840000002"/>
    <n v="5267.808"/>
    <n v="2048.5920000000001"/>
    <n v="28"/>
    <s v="December"/>
    <n v="12"/>
    <s v="2017-12"/>
    <x v="0"/>
  </r>
  <r>
    <s v="SO - 0001450"/>
    <d v="2017-12-07T00:00:00"/>
    <s v="American Corp"/>
    <s v="Wholesale"/>
    <x v="21"/>
    <n v="9"/>
    <n v="750.4"/>
    <n v="6753.5999999999995"/>
    <n v="405.21600000000001"/>
    <s v="TN"/>
    <s v="Tennessee"/>
    <s v="South"/>
    <n v="1230458.4839999999"/>
    <n v="3646.944"/>
    <n v="3106.6559999999899"/>
    <n v="46"/>
    <s v="December"/>
    <n v="12"/>
    <s v="2017-12"/>
    <x v="0"/>
  </r>
  <r>
    <s v="SO - 0001837"/>
    <d v="2017-12-07T00:00:00"/>
    <s v="Topiczoom Corp"/>
    <s v="Export"/>
    <x v="27"/>
    <n v="6"/>
    <n v="5460.5"/>
    <n v="32763"/>
    <n v="3003.2750000000001"/>
    <s v="FL"/>
    <s v="Florida"/>
    <s v="South"/>
    <n v="2067108.1199999901"/>
    <n v="18019.650000000001"/>
    <n v="14743.3499999999"/>
    <n v="44.999999999999901"/>
    <s v="December"/>
    <n v="12"/>
    <s v="2017-12"/>
    <x v="0"/>
  </r>
  <r>
    <s v="SO - 0002652"/>
    <d v="2017-12-07T00:00:00"/>
    <s v="Skyvu Group"/>
    <s v="Wholesale"/>
    <x v="12"/>
    <n v="6"/>
    <n v="6411.9"/>
    <n v="38471.399999999994"/>
    <n v="4167.7349999999997"/>
    <s v="OH"/>
    <s v="Ohio"/>
    <s v="Midwest"/>
    <n v="959899.21799999999"/>
    <n v="25006.41"/>
    <n v="13464.9899999999"/>
    <n v="34.999999999999901"/>
    <s v="December"/>
    <n v="12"/>
    <s v="2017-12"/>
    <x v="0"/>
  </r>
  <r>
    <s v="SO - 0003591"/>
    <d v="2017-12-07T00:00:00"/>
    <s v="Nars Group"/>
    <s v="Wholesale"/>
    <x v="1"/>
    <n v="6"/>
    <n v="1688.4"/>
    <n v="10130.400000000001"/>
    <n v="911.73599999999999"/>
    <s v="CA"/>
    <s v="California"/>
    <s v="West"/>
    <n v="5342315.4840000002"/>
    <n v="5470.4160000000002"/>
    <n v="4659.9840000000004"/>
    <n v="46"/>
    <s v="December"/>
    <n v="12"/>
    <s v="2017-12"/>
    <x v="0"/>
  </r>
  <r>
    <s v="SO - 0003930"/>
    <d v="2017-12-07T00:00:00"/>
    <s v="Neutrogena Ltd"/>
    <s v="Wholesale"/>
    <x v="4"/>
    <n v="7"/>
    <n v="1983.2"/>
    <n v="13882.4"/>
    <n v="1427.904"/>
    <s v="FL"/>
    <s v="Florida"/>
    <s v="South"/>
    <n v="2309499.0449999999"/>
    <n v="9995.3279999999995"/>
    <n v="3887.0720000000001"/>
    <n v="28"/>
    <s v="December"/>
    <n v="12"/>
    <s v="2017-12"/>
    <x v="0"/>
  </r>
  <r>
    <s v="SO - 0004122"/>
    <d v="2017-12-07T00:00:00"/>
    <s v="Blogspan Ltd"/>
    <s v="Distributor"/>
    <x v="21"/>
    <n v="7"/>
    <n v="1802.3"/>
    <n v="12616.1"/>
    <n v="1063.357"/>
    <s v="CA"/>
    <s v="California"/>
    <s v="West"/>
    <n v="1230458.4839999999"/>
    <n v="7443.4989999999998"/>
    <n v="5172.6009999999997"/>
    <n v="41"/>
    <s v="December"/>
    <n v="12"/>
    <s v="2017-12"/>
    <x v="0"/>
  </r>
  <r>
    <s v="SO - 0006684"/>
    <d v="2017-12-07T00:00:00"/>
    <s v="Accord Group"/>
    <s v="Distributor"/>
    <x v="17"/>
    <n v="6"/>
    <n v="1125.5999999999999"/>
    <n v="6753.5999999999995"/>
    <n v="720.38400000000001"/>
    <s v="IN"/>
    <s v="Indiana"/>
    <s v="Midwest"/>
    <n v="2642352.432"/>
    <n v="4322.3040000000001"/>
    <n v="2431.2959999999898"/>
    <n v="35.999999999999901"/>
    <s v="December"/>
    <n v="12"/>
    <s v="2017-12"/>
    <x v="0"/>
  </r>
  <r>
    <s v="SO - 0007089"/>
    <d v="2017-12-07T00:00:00"/>
    <s v="Wise Company"/>
    <s v="Export"/>
    <x v="13"/>
    <n v="11"/>
    <n v="2358.4"/>
    <n v="25942.400000000001"/>
    <n v="1698.048"/>
    <s v="IL"/>
    <s v="Illinois"/>
    <s v="Midwest"/>
    <n v="3299478.3149999999"/>
    <n v="18678.527999999998"/>
    <n v="7263.8720000000003"/>
    <n v="28"/>
    <s v="December"/>
    <n v="12"/>
    <s v="2017-12"/>
    <x v="0"/>
  </r>
  <r>
    <s v="SO - 0010461"/>
    <d v="2017-12-07T00:00:00"/>
    <s v="Nexus Group"/>
    <s v="Wholesale"/>
    <x v="1"/>
    <n v="9"/>
    <n v="817.4"/>
    <n v="7356.5999999999995"/>
    <n v="678.44199999999898"/>
    <s v="MI"/>
    <s v="Michigan"/>
    <s v="Midwest"/>
    <n v="5342315.4840000002"/>
    <n v="6105.9779999999901"/>
    <n v="1250.6220000000001"/>
    <n v="17"/>
    <s v="December"/>
    <n v="12"/>
    <s v="2017-12"/>
    <x v="0"/>
  </r>
  <r>
    <s v="SO - 000141"/>
    <d v="2017-12-07T00:00:00"/>
    <s v="Cogilith Group"/>
    <s v="Wholesale"/>
    <x v="2"/>
    <n v="9"/>
    <n v="2405.3000000000002"/>
    <n v="21647.7"/>
    <n v="1587.498"/>
    <s v="AZ"/>
    <s v="Arizona"/>
    <s v="West"/>
    <n v="4028698.409"/>
    <n v="14287.482"/>
    <n v="7360.2179999999898"/>
    <n v="33.999999999999901"/>
    <s v="December"/>
    <n v="12"/>
    <s v="2017-12"/>
    <x v="0"/>
  </r>
  <r>
    <s v="SO - 000179"/>
    <d v="2017-12-07T00:00:00"/>
    <s v="Rooxo Company"/>
    <s v="Distributor"/>
    <x v="1"/>
    <n v="8"/>
    <n v="261.3"/>
    <n v="2090.4"/>
    <n v="143.715"/>
    <s v="FL"/>
    <s v="Florida"/>
    <s v="South"/>
    <n v="5342315.4840000002"/>
    <n v="1149.72"/>
    <n v="940.67999999999904"/>
    <n v="44.999999999999901"/>
    <s v="December"/>
    <n v="12"/>
    <s v="2017-12"/>
    <x v="0"/>
  </r>
  <r>
    <s v="SO - 0009875"/>
    <d v="2017-12-07T00:00:00"/>
    <s v="Realcube Company"/>
    <s v="Wholesale"/>
    <x v="6"/>
    <n v="11"/>
    <n v="5165.7"/>
    <n v="56822.7"/>
    <n v="2996.1059999999902"/>
    <s v="CA"/>
    <s v="California"/>
    <s v="West"/>
    <n v="3925424.5419999999"/>
    <n v="32957.165999999997"/>
    <n v="23865.534"/>
    <n v="42"/>
    <s v="December"/>
    <n v="12"/>
    <s v="2017-12"/>
    <x v="0"/>
  </r>
  <r>
    <s v="SO - 0009716"/>
    <d v="2017-12-07T00:00:00"/>
    <s v="Camido Company"/>
    <s v="Export"/>
    <x v="11"/>
    <n v="12"/>
    <n v="1822.4"/>
    <n v="21868.800000000003"/>
    <n v="1093.44"/>
    <s v="FL"/>
    <s v="Florida"/>
    <s v="South"/>
    <n v="5685138.2699999996"/>
    <n v="13121.28"/>
    <n v="8747.52"/>
    <n v="40"/>
    <s v="December"/>
    <n v="12"/>
    <s v="2017-12"/>
    <x v="0"/>
  </r>
  <r>
    <s v="SO - 0009464"/>
    <d v="2017-12-07T00:00:00"/>
    <s v="Rochester Group"/>
    <s v="Wholesale"/>
    <x v="9"/>
    <n v="8"/>
    <n v="3162.4"/>
    <n v="25299.200000000001"/>
    <n v="1612.8240000000001"/>
    <s v="NY"/>
    <s v="New York"/>
    <s v="Northeast"/>
    <n v="3720639.645"/>
    <n v="12902.592000000001"/>
    <n v="12396.608"/>
    <n v="49"/>
    <s v="December"/>
    <n v="12"/>
    <s v="2017-12"/>
    <x v="0"/>
  </r>
  <r>
    <s v="SO - 0010552"/>
    <d v="2017-12-07T00:00:00"/>
    <s v="Quaxo Ltd"/>
    <s v="Wholesale"/>
    <x v="0"/>
    <n v="6"/>
    <n v="1011.7"/>
    <n v="6070.2000000000007"/>
    <n v="829.59399999999903"/>
    <s v="MN"/>
    <s v="Minnesota"/>
    <s v="Midwest"/>
    <n v="1011609.684"/>
    <n v="4977.5639999999903"/>
    <n v="1092.636"/>
    <n v="18"/>
    <s v="December"/>
    <n v="12"/>
    <s v="2017-12"/>
    <x v="0"/>
  </r>
  <r>
    <s v="SO - 0002598"/>
    <d v="2017-12-07T00:00:00"/>
    <s v="Avavee Group"/>
    <s v="Export"/>
    <x v="16"/>
    <n v="8"/>
    <n v="4006.6"/>
    <n v="32052.799999999999"/>
    <n v="1762.904"/>
    <s v="WA"/>
    <s v="Washington"/>
    <s v="West"/>
    <n v="3016489.2089999998"/>
    <n v="14103.232"/>
    <n v="17949.567999999999"/>
    <n v="55.999999999999901"/>
    <s v="December"/>
    <n v="12"/>
    <s v="2017-12"/>
    <x v="0"/>
  </r>
  <r>
    <s v="SO - 0003066"/>
    <d v="2017-12-07T00:00:00"/>
    <s v="Cantrell Company"/>
    <s v="Wholesale"/>
    <x v="22"/>
    <n v="12"/>
    <n v="180.9"/>
    <n v="2170.8000000000002"/>
    <n v="117.58499999999999"/>
    <s v="PA"/>
    <s v="Pennsylvania"/>
    <s v="Northeast"/>
    <n v="710415.40500000003"/>
    <n v="1411.02"/>
    <n v="759.78"/>
    <n v="35"/>
    <s v="December"/>
    <n v="12"/>
    <s v="2017-12"/>
    <x v="0"/>
  </r>
  <r>
    <s v="SO - 0003745"/>
    <d v="2017-12-07T00:00:00"/>
    <s v="Dynazzy Company"/>
    <s v="Wholesale"/>
    <x v="2"/>
    <n v="10"/>
    <n v="971.5"/>
    <n v="9715"/>
    <n v="417.745"/>
    <s v="MA"/>
    <s v="Massachusetts"/>
    <s v="Northeast"/>
    <n v="4028698.409"/>
    <n v="4177.45"/>
    <n v="5537.55"/>
    <n v="57"/>
    <s v="December"/>
    <n v="12"/>
    <s v="2017-12"/>
    <x v="0"/>
  </r>
  <r>
    <s v="SO - 0004198"/>
    <d v="2017-12-07T00:00:00"/>
    <s v="Wise Company"/>
    <s v="Distributor"/>
    <x v="11"/>
    <n v="6"/>
    <n v="1065.3"/>
    <n v="6391.7999999999993"/>
    <n v="585.91499999999996"/>
    <s v="MI"/>
    <s v="Michigan"/>
    <s v="Midwest"/>
    <n v="5685138.2699999996"/>
    <n v="3515.49"/>
    <n v="2876.3099999999899"/>
    <n v="44.999999999999901"/>
    <s v="December"/>
    <n v="12"/>
    <s v="2017-12"/>
    <x v="0"/>
  </r>
  <r>
    <s v="SO - 0005486"/>
    <d v="2017-12-07T00:00:00"/>
    <s v="Seindni Corp"/>
    <s v="Wholesale"/>
    <x v="10"/>
    <n v="6"/>
    <n v="2606.3000000000002"/>
    <n v="15637.800000000001"/>
    <n v="1485.5909999999999"/>
    <s v="CA"/>
    <s v="California"/>
    <s v="West"/>
    <n v="1672229.416"/>
    <n v="8913.5459999999894"/>
    <n v="6724.2539999999999"/>
    <n v="43"/>
    <s v="December"/>
    <n v="12"/>
    <s v="2017-12"/>
    <x v="0"/>
  </r>
  <r>
    <s v="SO - 0006617"/>
    <d v="2017-12-07T00:00:00"/>
    <s v="Skinder Group"/>
    <s v="Distributor"/>
    <x v="19"/>
    <n v="12"/>
    <n v="4013.3"/>
    <n v="48159.600000000006"/>
    <n v="2568.5120000000002"/>
    <s v="TX"/>
    <s v="Texas"/>
    <s v="South"/>
    <n v="2885560.824"/>
    <n v="30822.144"/>
    <n v="17337.455999999998"/>
    <n v="36"/>
    <s v="December"/>
    <n v="12"/>
    <s v="2017-12"/>
    <x v="0"/>
  </r>
  <r>
    <s v="SO - 0001005"/>
    <d v="2017-12-07T00:00:00"/>
    <s v="Browsebug Company"/>
    <s v="Wholesale"/>
    <x v="10"/>
    <n v="12"/>
    <n v="3832.4"/>
    <n v="45988.800000000003"/>
    <n v="2682.68"/>
    <s v="FL"/>
    <s v="Florida"/>
    <s v="South"/>
    <n v="1672229.416"/>
    <n v="32192.159999999902"/>
    <n v="13796.64"/>
    <n v="30"/>
    <s v="December"/>
    <n v="12"/>
    <s v="2017-12"/>
    <x v="0"/>
  </r>
  <r>
    <s v="SO - 0004075"/>
    <d v="2017-12-07T00:00:00"/>
    <s v="Vitz Company"/>
    <s v="Wholesale"/>
    <x v="25"/>
    <n v="12"/>
    <n v="3899.4"/>
    <n v="46792.800000000003"/>
    <n v="2612.598"/>
    <s v="MI"/>
    <s v="Michigan"/>
    <s v="Midwest"/>
    <n v="889737.55500000005"/>
    <n v="31351.175999999999"/>
    <n v="15441.6239999999"/>
    <n v="32.999999999999901"/>
    <s v="December"/>
    <n v="12"/>
    <s v="2017-12"/>
    <x v="0"/>
  </r>
  <r>
    <s v="SO - 0006580"/>
    <d v="2017-12-07T00:00:00"/>
    <s v="Eire Corp"/>
    <s v="Distributor"/>
    <x v="14"/>
    <n v="8"/>
    <n v="2881"/>
    <n v="23048"/>
    <n v="2189.56"/>
    <s v="MI"/>
    <s v="Michigan"/>
    <s v="Midwest"/>
    <n v="2119616.824"/>
    <n v="17516.48"/>
    <n v="5531.52"/>
    <n v="24"/>
    <s v="December"/>
    <n v="12"/>
    <s v="2017-12"/>
    <x v="0"/>
  </r>
  <r>
    <s v="SO - 0009376"/>
    <d v="2017-12-07T00:00:00"/>
    <s v="Zoonder Group"/>
    <s v="Wholesale"/>
    <x v="1"/>
    <n v="9"/>
    <n v="3912.8"/>
    <n v="35215.200000000004"/>
    <n v="2738.96"/>
    <s v="NY"/>
    <s v="New York"/>
    <s v="Northeast"/>
    <n v="5342315.4840000002"/>
    <n v="24650.639999999999"/>
    <n v="10564.56"/>
    <n v="30"/>
    <s v="December"/>
    <n v="12"/>
    <s v="2017-12"/>
    <x v="0"/>
  </r>
  <r>
    <s v="SO - 000591"/>
    <d v="2017-12-07T00:00:00"/>
    <s v="Holston Company"/>
    <s v="Wholesale"/>
    <x v="20"/>
    <n v="6"/>
    <n v="3912.8"/>
    <n v="23476.800000000003"/>
    <n v="2034.6559999999999"/>
    <s v="NJ"/>
    <s v="New Jersey"/>
    <s v="Northeast"/>
    <n v="964940.23100000003"/>
    <n v="12207.936"/>
    <n v="11268.864"/>
    <n v="48"/>
    <s v="December"/>
    <n v="12"/>
    <s v="2017-12"/>
    <x v="0"/>
  </r>
  <r>
    <s v="SO - 0003353"/>
    <d v="2017-12-07T00:00:00"/>
    <s v="Skyvu Group"/>
    <s v="Wholesale"/>
    <x v="16"/>
    <n v="8"/>
    <n v="2217.6999999999998"/>
    <n v="17741.599999999999"/>
    <n v="1131.027"/>
    <s v="NJ"/>
    <s v="New Jersey"/>
    <s v="Northeast"/>
    <n v="3016489.2089999998"/>
    <n v="9048.2160000000003"/>
    <n v="8693.384"/>
    <n v="48.999999999999901"/>
    <s v="December"/>
    <n v="12"/>
    <s v="2017-12"/>
    <x v="0"/>
  </r>
  <r>
    <s v="SO - 0009858"/>
    <d v="2017-12-07T00:00:00"/>
    <s v="Zava Group"/>
    <s v="Export"/>
    <x v="19"/>
    <n v="8"/>
    <n v="1132.3"/>
    <n v="9058.4"/>
    <n v="917.16300000000001"/>
    <s v="NY"/>
    <s v="New York"/>
    <s v="Northeast"/>
    <n v="2885560.824"/>
    <n v="7337.3040000000001"/>
    <n v="1721.09599999999"/>
    <n v="18.999999999999901"/>
    <s v="December"/>
    <n v="12"/>
    <s v="2017-12"/>
    <x v="0"/>
  </r>
  <r>
    <s v="SO - 0010756"/>
    <d v="2017-12-07T00:00:00"/>
    <s v="Topco Company"/>
    <s v="Wholesale"/>
    <x v="14"/>
    <n v="7"/>
    <n v="3463.9"/>
    <n v="24247.3"/>
    <n v="2909.6759999999999"/>
    <s v="CT"/>
    <s v="Connecticut"/>
    <s v="Northeast"/>
    <n v="2119616.824"/>
    <n v="20367.732"/>
    <n v="3879.5679999999902"/>
    <n v="15.999999999999901"/>
    <s v="December"/>
    <n v="12"/>
    <s v="2017-12"/>
    <x v="0"/>
  </r>
  <r>
    <s v="SO - 0010439"/>
    <d v="2017-12-07T00:00:00"/>
    <s v="Twimbo Company"/>
    <s v="Distributor"/>
    <x v="17"/>
    <n v="5"/>
    <n v="1038.5"/>
    <n v="5192.5"/>
    <n v="446.55500000000001"/>
    <s v="MA"/>
    <s v="Massachusetts"/>
    <s v="Northeast"/>
    <n v="2642352.432"/>
    <n v="2232.7750000000001"/>
    <n v="2959.7249999999999"/>
    <n v="56.999999999999901"/>
    <s v="December"/>
    <n v="12"/>
    <s v="2017-12"/>
    <x v="0"/>
  </r>
  <r>
    <s v="SO - 000229"/>
    <d v="2017-12-07T00:00:00"/>
    <s v="Thoughtmix Ltd"/>
    <s v="Export"/>
    <x v="14"/>
    <n v="11"/>
    <n v="844.2"/>
    <n v="9286.2000000000007"/>
    <n v="565.61400000000003"/>
    <s v="IN"/>
    <s v="Indiana"/>
    <s v="Midwest"/>
    <n v="2119616.824"/>
    <n v="6221.7539999999999"/>
    <n v="3064.4459999999999"/>
    <n v="32.999999999999901"/>
    <s v="December"/>
    <n v="12"/>
    <s v="2017-12"/>
    <x v="0"/>
  </r>
  <r>
    <s v="SO - 0002428"/>
    <d v="2017-12-07T00:00:00"/>
    <s v="Alembic Ltd"/>
    <s v="Wholesale"/>
    <x v="13"/>
    <n v="7"/>
    <n v="938"/>
    <n v="6566"/>
    <n v="515.9"/>
    <s v="MA"/>
    <s v="Massachusetts"/>
    <s v="Northeast"/>
    <n v="3299478.3149999999"/>
    <n v="3611.3"/>
    <n v="2954.6999999999898"/>
    <n v="44.999999999999901"/>
    <s v="December"/>
    <n v="12"/>
    <s v="2017-12"/>
    <x v="0"/>
  </r>
  <r>
    <s v="SO - 0002665"/>
    <d v="2017-12-07T00:00:00"/>
    <s v="True Ltd"/>
    <s v="Distributor"/>
    <x v="7"/>
    <n v="5"/>
    <n v="2954.7"/>
    <n v="14773.5"/>
    <n v="1300.068"/>
    <s v="FL"/>
    <s v="Florida"/>
    <s v="South"/>
    <n v="3050087.5649999999"/>
    <n v="6500.34"/>
    <n v="8273.16"/>
    <n v="55.999999999999901"/>
    <s v="December"/>
    <n v="12"/>
    <s v="2017-12"/>
    <x v="0"/>
  </r>
  <r>
    <s v="SO - 0003688"/>
    <d v="2017-12-07T00:00:00"/>
    <s v="True Ltd"/>
    <s v="Distributor"/>
    <x v="10"/>
    <n v="11"/>
    <n v="1842.5"/>
    <n v="20267.5"/>
    <n v="773.85"/>
    <s v="IL"/>
    <s v="Illinois"/>
    <s v="Midwest"/>
    <n v="1672229.416"/>
    <n v="8512.35"/>
    <n v="11755.15"/>
    <n v="57.999999999999901"/>
    <s v="December"/>
    <n v="12"/>
    <s v="2017-12"/>
    <x v="0"/>
  </r>
  <r>
    <s v="SO - 0005996"/>
    <d v="2017-12-07T00:00:00"/>
    <s v="Bath Group"/>
    <s v="Distributor"/>
    <x v="1"/>
    <n v="12"/>
    <n v="2479"/>
    <n v="29748"/>
    <n v="1512.19"/>
    <s v="FL"/>
    <s v="Florida"/>
    <s v="South"/>
    <n v="5342315.4840000002"/>
    <n v="18146.28"/>
    <n v="11601.72"/>
    <n v="39"/>
    <s v="December"/>
    <n v="12"/>
    <s v="2017-12"/>
    <x v="0"/>
  </r>
  <r>
    <s v="SO - 0006612"/>
    <d v="2017-12-07T00:00:00"/>
    <s v="Centizu Company"/>
    <s v="Wholesale"/>
    <x v="4"/>
    <n v="5"/>
    <n v="3946.3"/>
    <n v="19731.5"/>
    <n v="1933.6869999999999"/>
    <s v="WA"/>
    <s v="Washington"/>
    <s v="West"/>
    <n v="2309499.0449999999"/>
    <n v="9668.4349999999995"/>
    <n v="10063.0649999999"/>
    <n v="50.999999999999901"/>
    <s v="December"/>
    <n v="12"/>
    <s v="2017-12"/>
    <x v="0"/>
  </r>
  <r>
    <s v="SO - 0008303"/>
    <d v="2017-12-07T00:00:00"/>
    <s v="Camido Company"/>
    <s v="Wholesale"/>
    <x v="21"/>
    <n v="12"/>
    <n v="1762.1"/>
    <n v="21145.199999999997"/>
    <n v="1180.607"/>
    <s v="KS"/>
    <s v="Kansas"/>
    <s v="Midwest"/>
    <n v="1230458.4839999999"/>
    <n v="14167.284"/>
    <n v="6977.9159999999902"/>
    <n v="32.999999999999901"/>
    <s v="December"/>
    <n v="12"/>
    <s v="2017-12"/>
    <x v="0"/>
  </r>
  <r>
    <s v="SO - 0010184"/>
    <d v="2017-12-07T00:00:00"/>
    <s v="Skiptube Ltd"/>
    <s v="Wholesale"/>
    <x v="1"/>
    <n v="9"/>
    <n v="254.6"/>
    <n v="2291.4"/>
    <n v="152.76"/>
    <s v="ME"/>
    <s v="Maine"/>
    <s v="Northeast"/>
    <n v="5342315.4840000002"/>
    <n v="1374.84"/>
    <n v="916.56"/>
    <n v="40"/>
    <s v="December"/>
    <n v="12"/>
    <s v="2017-12"/>
    <x v="0"/>
  </r>
  <r>
    <s v="SO - 0009988"/>
    <d v="2017-12-07T00:00:00"/>
    <s v="Snaptags Ltd"/>
    <s v="Wholesale"/>
    <x v="22"/>
    <n v="12"/>
    <n v="2405.3000000000002"/>
    <n v="28863.600000000002"/>
    <n v="1395.0740000000001"/>
    <s v="IL"/>
    <s v="Illinois"/>
    <s v="Midwest"/>
    <n v="710415.40500000003"/>
    <n v="16740.887999999999"/>
    <n v="12122.712"/>
    <n v="42"/>
    <s v="December"/>
    <n v="12"/>
    <s v="2017-12"/>
    <x v="0"/>
  </r>
  <r>
    <s v="SO - 0001925"/>
    <d v="2017-12-08T00:00:00"/>
    <s v="Buzzbean Group"/>
    <s v="Wholesale"/>
    <x v="7"/>
    <n v="11"/>
    <n v="757.1"/>
    <n v="8328.1"/>
    <n v="446.688999999999"/>
    <s v="AZ"/>
    <s v="Arizona"/>
    <s v="West"/>
    <n v="3050087.5649999999"/>
    <n v="4913.5789999999997"/>
    <n v="3414.5210000000002"/>
    <n v="41"/>
    <s v="December"/>
    <n v="12"/>
    <s v="2017-12"/>
    <x v="1"/>
  </r>
  <r>
    <s v="SO - 0007923"/>
    <d v="2017-12-08T00:00:00"/>
    <s v="Fatz Group"/>
    <s v="Wholesale"/>
    <x v="16"/>
    <n v="8"/>
    <n v="1078.7"/>
    <n v="8629.6"/>
    <n v="679.58100000000002"/>
    <s v="IA"/>
    <s v="Iowa"/>
    <s v="Midwest"/>
    <n v="3016489.2089999998"/>
    <n v="5436.6480000000001"/>
    <n v="3192.9520000000002"/>
    <n v="37"/>
    <s v="December"/>
    <n v="12"/>
    <s v="2017-12"/>
    <x v="1"/>
  </r>
  <r>
    <s v="SO - 0009536"/>
    <d v="2017-12-08T00:00:00"/>
    <s v="Browsetype Corp"/>
    <s v="Export"/>
    <x v="17"/>
    <n v="8"/>
    <n v="1849.2"/>
    <n v="14793.6"/>
    <n v="1442.376"/>
    <s v="CA"/>
    <s v="California"/>
    <s v="West"/>
    <n v="2642352.432"/>
    <n v="11539.008"/>
    <n v="3254.5920000000001"/>
    <n v="22"/>
    <s v="December"/>
    <n v="12"/>
    <s v="2017-12"/>
    <x v="1"/>
  </r>
  <r>
    <s v="SO - 0009419"/>
    <d v="2017-12-08T00:00:00"/>
    <s v="Fatz Group"/>
    <s v="Export"/>
    <x v="3"/>
    <n v="6"/>
    <n v="3953"/>
    <n v="23718"/>
    <n v="1620.72999999999"/>
    <s v="NC"/>
    <s v="North Carolina"/>
    <s v="South"/>
    <n v="1085037.3289999999"/>
    <n v="9724.3799999999992"/>
    <n v="13993.62"/>
    <n v="59"/>
    <s v="December"/>
    <n v="12"/>
    <s v="2017-12"/>
    <x v="1"/>
  </r>
  <r>
    <s v="SO - 0010591"/>
    <d v="2017-12-08T00:00:00"/>
    <s v="Zava Group"/>
    <s v="Distributor"/>
    <x v="13"/>
    <n v="8"/>
    <n v="1045.2"/>
    <n v="8361.6"/>
    <n v="637.572"/>
    <s v="CA"/>
    <s v="California"/>
    <s v="West"/>
    <n v="3299478.3149999999"/>
    <n v="5100.576"/>
    <n v="3261.0239999999999"/>
    <n v="39"/>
    <s v="December"/>
    <n v="12"/>
    <s v="2017-12"/>
    <x v="1"/>
  </r>
  <r>
    <s v="SO - 0001040"/>
    <d v="2017-12-08T00:00:00"/>
    <s v="Liberty Group"/>
    <s v="Export"/>
    <x v="19"/>
    <n v="5"/>
    <n v="5728.5"/>
    <n v="28642.5"/>
    <n v="3322.5299999999902"/>
    <s v="CA"/>
    <s v="California"/>
    <s v="West"/>
    <n v="2885560.824"/>
    <n v="16612.6499999999"/>
    <n v="12029.85"/>
    <n v="42"/>
    <s v="December"/>
    <n v="12"/>
    <s v="2017-12"/>
    <x v="1"/>
  </r>
  <r>
    <s v="SO - 0002991"/>
    <d v="2017-12-08T00:00:00"/>
    <s v="Cogidoo Company"/>
    <s v="Wholesale"/>
    <x v="9"/>
    <n v="5"/>
    <n v="1078.7"/>
    <n v="5393.5"/>
    <n v="647.22"/>
    <s v="IA"/>
    <s v="Iowa"/>
    <s v="Midwest"/>
    <n v="3720639.645"/>
    <n v="3236.1"/>
    <n v="2157.3999999999901"/>
    <n v="39.999999999999901"/>
    <s v="December"/>
    <n v="12"/>
    <s v="2017-12"/>
    <x v="1"/>
  </r>
  <r>
    <s v="SO - 0005197"/>
    <d v="2017-12-08T00:00:00"/>
    <s v="Vinte Group"/>
    <s v="Export"/>
    <x v="12"/>
    <n v="10"/>
    <n v="174.2"/>
    <n v="1742"/>
    <n v="102.77800000000001"/>
    <s v="CA"/>
    <s v="California"/>
    <s v="West"/>
    <n v="959899.21799999999"/>
    <n v="1027.78"/>
    <n v="714.22"/>
    <n v="41"/>
    <s v="December"/>
    <n v="12"/>
    <s v="2017-12"/>
    <x v="1"/>
  </r>
  <r>
    <s v="SO - 0005633"/>
    <d v="2017-12-08T00:00:00"/>
    <s v="Good Ltd"/>
    <s v="Export"/>
    <x v="10"/>
    <n v="5"/>
    <n v="3443.8"/>
    <n v="17219"/>
    <n v="2307.346"/>
    <s v="MN"/>
    <s v="Minnesota"/>
    <s v="Midwest"/>
    <n v="1672229.416"/>
    <n v="11536.73"/>
    <n v="5682.2699999999904"/>
    <n v="32.999999999999901"/>
    <s v="December"/>
    <n v="12"/>
    <s v="2017-12"/>
    <x v="1"/>
  </r>
  <r>
    <s v="SO - 0007657"/>
    <d v="2017-12-08T00:00:00"/>
    <s v="Organon Corp"/>
    <s v="Export"/>
    <x v="7"/>
    <n v="7"/>
    <n v="1916.2"/>
    <n v="13413.4"/>
    <n v="1341.34"/>
    <s v="NJ"/>
    <s v="New Jersey"/>
    <s v="Northeast"/>
    <n v="3050087.5649999999"/>
    <n v="9389.3799999999992"/>
    <n v="4024.02"/>
    <n v="30"/>
    <s v="December"/>
    <n v="12"/>
    <s v="2017-12"/>
    <x v="1"/>
  </r>
  <r>
    <s v="SO - 0001599"/>
    <d v="2017-12-08T00:00:00"/>
    <s v="Feednation Corp"/>
    <s v="Export"/>
    <x v="23"/>
    <n v="7"/>
    <n v="1065.3"/>
    <n v="7457.0999999999995"/>
    <n v="862.89300000000003"/>
    <s v="IL"/>
    <s v="Illinois"/>
    <s v="Midwest"/>
    <n v="1645841.6"/>
    <n v="6040.2510000000002"/>
    <n v="1416.8489999999899"/>
    <n v="18.999999999999901"/>
    <s v="December"/>
    <n v="12"/>
    <s v="2017-12"/>
    <x v="1"/>
  </r>
  <r>
    <s v="SO - 0004545"/>
    <d v="2017-12-08T00:00:00"/>
    <s v="Linklinks Ltd"/>
    <s v="Wholesale"/>
    <x v="27"/>
    <n v="12"/>
    <n v="891.1"/>
    <n v="10693.2"/>
    <n v="695.05799999999999"/>
    <s v="IL"/>
    <s v="Illinois"/>
    <s v="Midwest"/>
    <n v="2067108.1199999901"/>
    <n v="8340.6959999999999"/>
    <n v="2352.5039999999999"/>
    <n v="22"/>
    <s v="December"/>
    <n v="12"/>
    <s v="2017-12"/>
    <x v="1"/>
  </r>
  <r>
    <s v="SO - 0008032"/>
    <d v="2017-12-08T00:00:00"/>
    <s v="Browsebug Company"/>
    <s v="Distributor"/>
    <x v="19"/>
    <n v="8"/>
    <n v="2311.5"/>
    <n v="18492"/>
    <n v="1964.7749999999901"/>
    <s v="FL"/>
    <s v="Florida"/>
    <s v="South"/>
    <n v="2885560.824"/>
    <n v="15718.199999999901"/>
    <n v="2773.8"/>
    <n v="15"/>
    <s v="December"/>
    <n v="12"/>
    <s v="2017-12"/>
    <x v="1"/>
  </r>
  <r>
    <s v="SO - 0008164"/>
    <d v="2017-12-08T00:00:00"/>
    <s v="Linklinks Ltd"/>
    <s v="Export"/>
    <x v="21"/>
    <n v="5"/>
    <n v="3953"/>
    <n v="19765"/>
    <n v="2688.04"/>
    <s v="NJ"/>
    <s v="New Jersey"/>
    <s v="Northeast"/>
    <n v="1230458.4839999999"/>
    <n v="13440.2"/>
    <n v="6324.7999999999902"/>
    <n v="31.999999999999901"/>
    <s v="December"/>
    <n v="12"/>
    <s v="2017-12"/>
    <x v="1"/>
  </r>
  <r>
    <s v="SO - 0009627"/>
    <d v="2017-12-08T00:00:00"/>
    <s v="Vimbo Company"/>
    <s v="Export"/>
    <x v="8"/>
    <n v="9"/>
    <n v="1031.8"/>
    <n v="9286.1999999999989"/>
    <n v="753.21399999999903"/>
    <s v="CA"/>
    <s v="California"/>
    <s v="West"/>
    <n v="663601.902"/>
    <n v="6778.9259999999904"/>
    <n v="2507.2739999999899"/>
    <n v="26.999999999999901"/>
    <s v="December"/>
    <n v="12"/>
    <s v="2017-12"/>
    <x v="1"/>
  </r>
  <r>
    <s v="SO - 0001762"/>
    <d v="2017-12-08T00:00:00"/>
    <s v="Emd Group"/>
    <s v="Distributor"/>
    <x v="6"/>
    <n v="7"/>
    <n v="1319.9"/>
    <n v="9239.3000000000011"/>
    <n v="963.52700000000004"/>
    <s v="CA"/>
    <s v="California"/>
    <s v="West"/>
    <n v="3925424.5419999999"/>
    <n v="6744.6890000000003"/>
    <n v="2494.6109999999999"/>
    <n v="27"/>
    <s v="December"/>
    <n v="12"/>
    <s v="2017-12"/>
    <x v="1"/>
  </r>
  <r>
    <s v="SO - 0004255"/>
    <d v="2017-12-08T00:00:00"/>
    <s v="Rochester Group"/>
    <s v="Distributor"/>
    <x v="2"/>
    <n v="8"/>
    <n v="5038.3999999999996"/>
    <n v="40307.199999999997"/>
    <n v="3627.6480000000001"/>
    <s v="TX"/>
    <s v="Texas"/>
    <s v="South"/>
    <n v="4028698.409"/>
    <n v="29021.184000000001"/>
    <n v="11286.016"/>
    <n v="28"/>
    <s v="December"/>
    <n v="12"/>
    <s v="2017-12"/>
    <x v="1"/>
  </r>
  <r>
    <s v="SO - 0004657"/>
    <d v="2017-12-08T00:00:00"/>
    <s v="Twinte Group"/>
    <s v="Export"/>
    <x v="11"/>
    <n v="7"/>
    <n v="1782.2"/>
    <n v="12475.4"/>
    <n v="962.38800000000003"/>
    <s v="CA"/>
    <s v="California"/>
    <s v="West"/>
    <n v="5685138.2699999996"/>
    <n v="6736.7160000000003"/>
    <n v="5738.6839999999902"/>
    <n v="46"/>
    <s v="December"/>
    <n v="12"/>
    <s v="2017-12"/>
    <x v="1"/>
  </r>
  <r>
    <s v="SO - 0006305"/>
    <d v="2017-12-08T00:00:00"/>
    <s v="Topiczoom Corp"/>
    <s v="Wholesale"/>
    <x v="13"/>
    <n v="8"/>
    <n v="2934.6"/>
    <n v="23476.799999999999"/>
    <n v="1643.376"/>
    <s v="IL"/>
    <s v="Illinois"/>
    <s v="Midwest"/>
    <n v="3299478.3149999999"/>
    <n v="13147.008"/>
    <n v="10329.791999999899"/>
    <n v="43.999999999999901"/>
    <s v="December"/>
    <n v="12"/>
    <s v="2017-12"/>
    <x v="1"/>
  </r>
  <r>
    <s v="SO - 0007675"/>
    <d v="2017-12-08T00:00:00"/>
    <s v="Bb17 Company"/>
    <s v="Wholesale"/>
    <x v="10"/>
    <n v="10"/>
    <n v="1132.3"/>
    <n v="11323"/>
    <n v="600.11900000000003"/>
    <s v="NY"/>
    <s v="New York"/>
    <s v="Northeast"/>
    <n v="1672229.416"/>
    <n v="6001.19"/>
    <n v="5321.8099999999904"/>
    <n v="47"/>
    <s v="December"/>
    <n v="12"/>
    <s v="2017-12"/>
    <x v="1"/>
  </r>
  <r>
    <s v="SO - 000481"/>
    <d v="2017-12-08T00:00:00"/>
    <s v="Buzzshare Company"/>
    <s v="Wholesale"/>
    <x v="4"/>
    <n v="7"/>
    <n v="958.1"/>
    <n v="6706.7"/>
    <n v="536.53599999999994"/>
    <s v="NY"/>
    <s v="New York"/>
    <s v="Northeast"/>
    <n v="2309499.0449999999"/>
    <n v="3755.752"/>
    <n v="2950.9479999999899"/>
    <n v="43.999999999999901"/>
    <s v="December"/>
    <n v="12"/>
    <s v="2017-12"/>
    <x v="1"/>
  </r>
  <r>
    <s v="SO - 000733"/>
    <d v="2017-12-08T00:00:00"/>
    <s v="Voonyx Group"/>
    <s v="Export"/>
    <x v="19"/>
    <n v="7"/>
    <n v="1072"/>
    <n v="7504"/>
    <n v="836.16"/>
    <s v="PA"/>
    <s v="Pennsylvania"/>
    <s v="Northeast"/>
    <n v="2885560.824"/>
    <n v="5853.12"/>
    <n v="1650.8799999999901"/>
    <n v="21.999999999999901"/>
    <s v="December"/>
    <n v="12"/>
    <s v="2017-12"/>
    <x v="1"/>
  </r>
  <r>
    <s v="SO - 0001788"/>
    <d v="2017-12-08T00:00:00"/>
    <s v="Snaptags Ltd"/>
    <s v="Distributor"/>
    <x v="2"/>
    <n v="8"/>
    <n v="1869.3"/>
    <n v="14954.4"/>
    <n v="766.41299999999899"/>
    <s v="CA"/>
    <s v="California"/>
    <s v="West"/>
    <n v="4028698.409"/>
    <n v="6131.3039999999901"/>
    <n v="8823.0959999999995"/>
    <n v="59"/>
    <s v="December"/>
    <n v="12"/>
    <s v="2017-12"/>
    <x v="1"/>
  </r>
  <r>
    <s v="SO - 0002551"/>
    <d v="2017-12-08T00:00:00"/>
    <s v="Gigabox Group"/>
    <s v="Export"/>
    <x v="11"/>
    <n v="11"/>
    <n v="3859.2"/>
    <n v="42451.199999999997"/>
    <n v="1929.6"/>
    <s v="IL"/>
    <s v="Illinois"/>
    <s v="Midwest"/>
    <n v="5685138.2699999996"/>
    <n v="21225.599999999999"/>
    <n v="21225.599999999999"/>
    <n v="50"/>
    <s v="December"/>
    <n v="12"/>
    <s v="2017-12"/>
    <x v="1"/>
  </r>
  <r>
    <s v="SO - 0004324"/>
    <d v="2017-12-08T00:00:00"/>
    <s v="Zooxo Ltd"/>
    <s v="Wholesale"/>
    <x v="24"/>
    <n v="11"/>
    <n v="1105.5"/>
    <n v="12160.5"/>
    <n v="442.2"/>
    <s v="TX"/>
    <s v="Texas"/>
    <s v="South"/>
    <n v="594471.56999999995"/>
    <n v="4864.2"/>
    <n v="7296.2999999999902"/>
    <n v="60"/>
    <s v="December"/>
    <n v="12"/>
    <s v="2017-12"/>
    <x v="1"/>
  </r>
  <r>
    <s v="SO - 0006358"/>
    <d v="2017-12-08T00:00:00"/>
    <s v="Twinte Group"/>
    <s v="Wholesale"/>
    <x v="12"/>
    <n v="6"/>
    <n v="1996.6"/>
    <n v="11979.599999999999"/>
    <n v="1098.1300000000001"/>
    <s v="PA"/>
    <s v="Pennsylvania"/>
    <s v="Northeast"/>
    <n v="959899.21799999999"/>
    <n v="6588.78"/>
    <n v="5390.82"/>
    <n v="44.999999999999901"/>
    <s v="December"/>
    <n v="12"/>
    <s v="2017-12"/>
    <x v="1"/>
  </r>
  <r>
    <s v="SO - 0006861"/>
    <d v="2017-12-08T00:00:00"/>
    <s v="Bb17 Company"/>
    <s v="Wholesale"/>
    <x v="25"/>
    <n v="5"/>
    <n v="3678.3"/>
    <n v="18391.5"/>
    <n v="2427.6779999999999"/>
    <s v="IL"/>
    <s v="Illinois"/>
    <s v="Midwest"/>
    <n v="889737.55500000005"/>
    <n v="12138.39"/>
    <n v="6253.1099999999897"/>
    <n v="33.999999999999901"/>
    <s v="December"/>
    <n v="12"/>
    <s v="2017-12"/>
    <x v="1"/>
  </r>
  <r>
    <s v="SO - 0007811"/>
    <d v="2017-12-08T00:00:00"/>
    <s v="Viva Ltd"/>
    <s v="Wholesale"/>
    <x v="16"/>
    <n v="10"/>
    <n v="2418.6999999999998"/>
    <n v="24187"/>
    <n v="1330.2850000000001"/>
    <s v="IL"/>
    <s v="Illinois"/>
    <s v="Midwest"/>
    <n v="3016489.2089999998"/>
    <n v="13302.85"/>
    <n v="10884.15"/>
    <n v="45"/>
    <s v="December"/>
    <n v="12"/>
    <s v="2017-12"/>
    <x v="1"/>
  </r>
  <r>
    <s v="SO - 0010409"/>
    <d v="2017-12-08T00:00:00"/>
    <s v="Fred'S Company"/>
    <s v="Wholesale"/>
    <x v="2"/>
    <n v="9"/>
    <n v="2318.1999999999998"/>
    <n v="20863.8"/>
    <n v="1089.5540000000001"/>
    <s v="FL"/>
    <s v="Florida"/>
    <s v="South"/>
    <n v="4028698.409"/>
    <n v="9805.9860000000008"/>
    <n v="11057.814"/>
    <n v="53"/>
    <s v="December"/>
    <n v="12"/>
    <s v="2017-12"/>
    <x v="1"/>
  </r>
  <r>
    <s v="SO - 0009955"/>
    <d v="2017-12-08T00:00:00"/>
    <s v="Arbor Company"/>
    <s v="Wholesale"/>
    <x v="17"/>
    <n v="11"/>
    <n v="2720.2"/>
    <n v="29922.199999999997"/>
    <n v="2176.16"/>
    <s v="CT"/>
    <s v="Connecticut"/>
    <s v="Northeast"/>
    <n v="2642352.432"/>
    <n v="23937.759999999998"/>
    <n v="5984.44"/>
    <n v="20"/>
    <s v="December"/>
    <n v="12"/>
    <s v="2017-12"/>
    <x v="1"/>
  </r>
  <r>
    <s v="SO - 0008671"/>
    <d v="2017-12-08T00:00:00"/>
    <s v="Sanofi-Ave Group"/>
    <s v="Wholesale"/>
    <x v="21"/>
    <n v="5"/>
    <n v="3953"/>
    <n v="19765"/>
    <n v="2095.09"/>
    <s v="OK"/>
    <s v="Oklahoma"/>
    <s v="South"/>
    <n v="1230458.4839999999"/>
    <n v="10475.450000000001"/>
    <n v="9289.5499999999993"/>
    <n v="47"/>
    <s v="December"/>
    <n v="12"/>
    <s v="2017-12"/>
    <x v="1"/>
  </r>
  <r>
    <s v="SO - 0008107"/>
    <d v="2017-12-08T00:00:00"/>
    <s v="Mita Corp"/>
    <s v="Distributor"/>
    <x v="26"/>
    <n v="6"/>
    <n v="2579.5"/>
    <n v="15477"/>
    <n v="1031.8"/>
    <s v="MA"/>
    <s v="Massachusetts"/>
    <s v="Northeast"/>
    <n v="1356976.996"/>
    <n v="6190.7999999999902"/>
    <n v="9286.2000000000007"/>
    <n v="60"/>
    <s v="December"/>
    <n v="12"/>
    <s v="2017-12"/>
    <x v="1"/>
  </r>
  <r>
    <s v="SO - 0006164"/>
    <d v="2017-12-08T00:00:00"/>
    <s v="Safeway Ltd"/>
    <s v="Distributor"/>
    <x v="26"/>
    <n v="10"/>
    <n v="3979.8"/>
    <n v="39798"/>
    <n v="3303.2339999999999"/>
    <s v="LA"/>
    <s v="Louisiana"/>
    <s v="South"/>
    <n v="1356976.996"/>
    <n v="33032.339999999997"/>
    <n v="6765.66"/>
    <n v="17"/>
    <s v="December"/>
    <n v="12"/>
    <s v="2017-12"/>
    <x v="1"/>
  </r>
  <r>
    <s v="SO - 0009161"/>
    <d v="2017-12-08T00:00:00"/>
    <s v="Unit Ltd"/>
    <s v="Wholesale"/>
    <x v="27"/>
    <n v="7"/>
    <n v="1078.7"/>
    <n v="7550.9000000000005"/>
    <n v="539.35"/>
    <s v="MN"/>
    <s v="Minnesota"/>
    <s v="Midwest"/>
    <n v="2067108.1199999901"/>
    <n v="3775.45"/>
    <n v="3775.45"/>
    <n v="50"/>
    <s v="December"/>
    <n v="12"/>
    <s v="2017-12"/>
    <x v="1"/>
  </r>
  <r>
    <s v="SO - 0002748"/>
    <d v="2017-12-09T00:00:00"/>
    <s v="Nars Group"/>
    <s v="Wholesale"/>
    <x v="9"/>
    <n v="6"/>
    <n v="174.2"/>
    <n v="1045.1999999999998"/>
    <n v="146.328"/>
    <s v="CA"/>
    <s v="California"/>
    <s v="West"/>
    <n v="3720639.645"/>
    <n v="877.96799999999996"/>
    <n v="167.231999999999"/>
    <n v="15.999999999999901"/>
    <s v="December"/>
    <n v="12"/>
    <s v="2017-12"/>
    <x v="1"/>
  </r>
  <r>
    <s v="SO - 0004426"/>
    <d v="2017-12-09T00:00:00"/>
    <s v="Zoonoodle Ltd"/>
    <s v="Wholesale"/>
    <x v="11"/>
    <n v="10"/>
    <n v="234.5"/>
    <n v="2345"/>
    <n v="159.46"/>
    <s v="NJ"/>
    <s v="New Jersey"/>
    <s v="Northeast"/>
    <n v="5685138.2699999996"/>
    <n v="1594.6"/>
    <n v="750.39999999999895"/>
    <n v="31.999999999999901"/>
    <s v="December"/>
    <n v="12"/>
    <s v="2017-12"/>
    <x v="1"/>
  </r>
  <r>
    <s v="SO - 0004624"/>
    <d v="2017-12-09T00:00:00"/>
    <s v="Nexus Group"/>
    <s v="Wholesale"/>
    <x v="14"/>
    <n v="8"/>
    <n v="1721.9"/>
    <n v="13775.2"/>
    <n v="688.76"/>
    <s v="CT"/>
    <s v="Connecticut"/>
    <s v="Northeast"/>
    <n v="2119616.824"/>
    <n v="5510.08"/>
    <n v="8265.1199999999899"/>
    <n v="59.999999999999901"/>
    <s v="December"/>
    <n v="12"/>
    <s v="2017-12"/>
    <x v="1"/>
  </r>
  <r>
    <s v="SO - 0007210"/>
    <d v="2017-12-09T00:00:00"/>
    <s v="Bta Corp"/>
    <s v="Wholesale"/>
    <x v="3"/>
    <n v="6"/>
    <n v="2666.6"/>
    <n v="15999.599999999999"/>
    <n v="1546.6279999999999"/>
    <s v="CA"/>
    <s v="California"/>
    <s v="West"/>
    <n v="1085037.3289999999"/>
    <n v="9279.768"/>
    <n v="6719.8319999999903"/>
    <n v="41.999999999999901"/>
    <s v="December"/>
    <n v="12"/>
    <s v="2017-12"/>
    <x v="1"/>
  </r>
  <r>
    <s v="SO - 0008072"/>
    <d v="2017-12-09T00:00:00"/>
    <s v="Devpoint Group"/>
    <s v="Wholesale"/>
    <x v="24"/>
    <n v="8"/>
    <n v="1721.9"/>
    <n v="13775.2"/>
    <n v="1033.1400000000001"/>
    <s v="CT"/>
    <s v="Connecticut"/>
    <s v="Northeast"/>
    <n v="594471.56999999995"/>
    <n v="8265.1200000000008"/>
    <n v="5510.08"/>
    <n v="40"/>
    <s v="December"/>
    <n v="12"/>
    <s v="2017-12"/>
    <x v="1"/>
  </r>
  <r>
    <s v="SO - 0008580"/>
    <d v="2017-12-09T00:00:00"/>
    <s v="Cardinal Group"/>
    <s v="Wholesale"/>
    <x v="15"/>
    <n v="10"/>
    <n v="1132.3"/>
    <n v="11323"/>
    <n v="905.84"/>
    <s v="WA"/>
    <s v="Washington"/>
    <s v="West"/>
    <n v="2062061.1440000001"/>
    <n v="9058.4"/>
    <n v="2264.6"/>
    <n v="20"/>
    <s v="December"/>
    <n v="12"/>
    <s v="2017-12"/>
    <x v="1"/>
  </r>
  <r>
    <s v="SO - 000403"/>
    <d v="2017-12-09T00:00:00"/>
    <s v="Twimbo Company"/>
    <s v="Distributor"/>
    <x v="1"/>
    <n v="12"/>
    <n v="1085.4000000000001"/>
    <n v="13024.800000000001"/>
    <n v="792.34199999999998"/>
    <s v="FL"/>
    <s v="Florida"/>
    <s v="South"/>
    <n v="5342315.4840000002"/>
    <n v="9508.1039999999994"/>
    <n v="3516.6959999999999"/>
    <n v="26.999999999999901"/>
    <s v="December"/>
    <n v="12"/>
    <s v="2017-12"/>
    <x v="1"/>
  </r>
  <r>
    <s v="SO - 0004100"/>
    <d v="2017-12-09T00:00:00"/>
    <s v="Accord Group"/>
    <s v="Wholesale"/>
    <x v="27"/>
    <n v="6"/>
    <n v="1018.4"/>
    <n v="6110.4"/>
    <n v="478.647999999999"/>
    <s v="MS"/>
    <s v="Mississippi"/>
    <s v="South"/>
    <n v="2067108.1199999901"/>
    <n v="2871.8879999999999"/>
    <n v="3238.5119999999902"/>
    <n v="53"/>
    <s v="December"/>
    <n v="12"/>
    <s v="2017-12"/>
    <x v="1"/>
  </r>
  <r>
    <s v="SO - 0005511"/>
    <d v="2017-12-09T00:00:00"/>
    <s v="Cardinal Group"/>
    <s v="Wholesale"/>
    <x v="4"/>
    <n v="12"/>
    <n v="2331.6"/>
    <n v="27979.199999999997"/>
    <n v="1445.5919999999901"/>
    <s v="GA"/>
    <s v="Georgia"/>
    <s v="South"/>
    <n v="2309499.0449999999"/>
    <n v="17347.103999999999"/>
    <n v="10632.0959999999"/>
    <n v="37.999999999999901"/>
    <s v="December"/>
    <n v="12"/>
    <s v="2017-12"/>
    <x v="1"/>
  </r>
  <r>
    <s v="SO - 0005623"/>
    <d v="2017-12-09T00:00:00"/>
    <s v="Blogtags Ltd"/>
    <s v="Wholesale"/>
    <x v="28"/>
    <n v="12"/>
    <n v="201"/>
    <n v="2412"/>
    <n v="166.82999999999899"/>
    <s v="IA"/>
    <s v="Iowa"/>
    <s v="Midwest"/>
    <n v="756557.97"/>
    <n v="2001.95999999999"/>
    <n v="410.04"/>
    <n v="17"/>
    <s v="December"/>
    <n v="12"/>
    <s v="2017-12"/>
    <x v="1"/>
  </r>
  <r>
    <s v="SO - 0007720"/>
    <d v="2017-12-09T00:00:00"/>
    <s v="Quimm Company"/>
    <s v="Distributor"/>
    <x v="16"/>
    <n v="11"/>
    <n v="214.4"/>
    <n v="2358.4"/>
    <n v="115.776"/>
    <s v="FL"/>
    <s v="Florida"/>
    <s v="South"/>
    <n v="3016489.2089999998"/>
    <n v="1273.5360000000001"/>
    <n v="1084.864"/>
    <n v="46"/>
    <s v="December"/>
    <n v="12"/>
    <s v="2017-12"/>
    <x v="1"/>
  </r>
  <r>
    <s v="SO - 0010300"/>
    <d v="2017-12-09T00:00:00"/>
    <s v="Natures Group"/>
    <s v="Wholesale"/>
    <x v="28"/>
    <n v="10"/>
    <n v="3651.5"/>
    <n v="36515"/>
    <n v="2446.5050000000001"/>
    <s v="CA"/>
    <s v="California"/>
    <s v="West"/>
    <n v="756557.97"/>
    <n v="24465.05"/>
    <n v="12049.949999999901"/>
    <n v="32.999999999999901"/>
    <s v="December"/>
    <n v="12"/>
    <s v="2017-12"/>
    <x v="1"/>
  </r>
  <r>
    <s v="SO - 000978"/>
    <d v="2017-12-09T00:00:00"/>
    <s v="Organon Corp"/>
    <s v="Wholesale"/>
    <x v="28"/>
    <n v="8"/>
    <n v="180.9"/>
    <n v="1447.2"/>
    <n v="135.67500000000001"/>
    <s v="CA"/>
    <s v="California"/>
    <s v="West"/>
    <n v="756557.97"/>
    <n v="1085.4000000000001"/>
    <n v="361.79999999999899"/>
    <n v="24.999999999999901"/>
    <s v="December"/>
    <n v="12"/>
    <s v="2017-12"/>
    <x v="1"/>
  </r>
  <r>
    <s v="SO - 0001872"/>
    <d v="2017-12-09T00:00:00"/>
    <s v="Voonyx Group"/>
    <s v="Export"/>
    <x v="1"/>
    <n v="5"/>
    <n v="2237.8000000000002"/>
    <n v="11189"/>
    <n v="1029.3879999999999"/>
    <s v="IL"/>
    <s v="Illinois"/>
    <s v="Midwest"/>
    <n v="5342315.4840000002"/>
    <n v="5146.9399999999996"/>
    <n v="6042.0599999999904"/>
    <n v="53.999999999999901"/>
    <s v="December"/>
    <n v="12"/>
    <s v="2017-12"/>
    <x v="1"/>
  </r>
  <r>
    <s v="SO - 0003662"/>
    <d v="2017-12-09T00:00:00"/>
    <s v="Topco Company"/>
    <s v="Distributor"/>
    <x v="7"/>
    <n v="8"/>
    <n v="1742"/>
    <n v="13936"/>
    <n v="1027.78"/>
    <s v="MN"/>
    <s v="Minnesota"/>
    <s v="Midwest"/>
    <n v="3050087.5649999999"/>
    <n v="8222.24"/>
    <n v="5713.76"/>
    <n v="41"/>
    <s v="December"/>
    <n v="12"/>
    <s v="2017-12"/>
    <x v="1"/>
  </r>
  <r>
    <s v="SO - 0003970"/>
    <d v="2017-12-09T00:00:00"/>
    <s v="Viva Ltd"/>
    <s v="Wholesale"/>
    <x v="1"/>
    <n v="7"/>
    <n v="1005"/>
    <n v="7035"/>
    <n v="613.04999999999995"/>
    <s v="CO"/>
    <s v="Colorado"/>
    <s v="West"/>
    <n v="5342315.4840000002"/>
    <n v="4291.3499999999904"/>
    <n v="2743.65"/>
    <n v="39"/>
    <s v="December"/>
    <n v="12"/>
    <s v="2017-12"/>
    <x v="1"/>
  </r>
  <r>
    <s v="SO - 0005237"/>
    <d v="2017-12-09T00:00:00"/>
    <s v="Brightdog Corp"/>
    <s v="Wholesale"/>
    <x v="17"/>
    <n v="7"/>
    <n v="261.3"/>
    <n v="1829.1000000000001"/>
    <n v="107.133"/>
    <s v="NJ"/>
    <s v="New Jersey"/>
    <s v="Northeast"/>
    <n v="2642352.432"/>
    <n v="749.93099999999902"/>
    <n v="1079.1690000000001"/>
    <n v="59"/>
    <s v="December"/>
    <n v="12"/>
    <s v="2017-12"/>
    <x v="1"/>
  </r>
  <r>
    <s v="SO - 0005392"/>
    <d v="2017-12-09T00:00:00"/>
    <s v="Jaxbean Group"/>
    <s v="Wholesale"/>
    <x v="11"/>
    <n v="5"/>
    <n v="1085.4000000000001"/>
    <n v="5427"/>
    <n v="835.75800000000004"/>
    <s v="MI"/>
    <s v="Michigan"/>
    <s v="Midwest"/>
    <n v="5685138.2699999996"/>
    <n v="4178.79"/>
    <n v="1248.21"/>
    <n v="23"/>
    <s v="December"/>
    <n v="12"/>
    <s v="2017-12"/>
    <x v="1"/>
  </r>
  <r>
    <s v="SO - 0009554"/>
    <d v="2017-12-09T00:00:00"/>
    <s v="Sanofi-Ave Group"/>
    <s v="Distributor"/>
    <x v="10"/>
    <n v="11"/>
    <n v="1065.3"/>
    <n v="11718.3"/>
    <n v="511.34399999999903"/>
    <s v="MI"/>
    <s v="Michigan"/>
    <s v="Midwest"/>
    <n v="1672229.416"/>
    <n v="5624.7839999999997"/>
    <n v="6093.5159999999996"/>
    <n v="52"/>
    <s v="December"/>
    <n v="12"/>
    <s v="2017-12"/>
    <x v="1"/>
  </r>
  <r>
    <s v="SO - 000867"/>
    <d v="2017-12-09T00:00:00"/>
    <s v="Yodoo Ltd"/>
    <s v="Distributor"/>
    <x v="17"/>
    <n v="12"/>
    <n v="1098.8"/>
    <n v="13185.599999999999"/>
    <n v="670.26799999999901"/>
    <s v="CA"/>
    <s v="California"/>
    <s v="West"/>
    <n v="2642352.432"/>
    <n v="8043.2159999999903"/>
    <n v="5142.384"/>
    <n v="39"/>
    <s v="December"/>
    <n v="12"/>
    <s v="2017-12"/>
    <x v="1"/>
  </r>
  <r>
    <s v="SO - 0005924"/>
    <d v="2017-12-09T00:00:00"/>
    <s v="Unit Ltd"/>
    <s v="Wholesale"/>
    <x v="23"/>
    <n v="5"/>
    <n v="5179.1000000000004"/>
    <n v="25895.5"/>
    <n v="2434.1770000000001"/>
    <s v="CA"/>
    <s v="California"/>
    <s v="West"/>
    <n v="1645841.6"/>
    <n v="12170.885"/>
    <n v="13724.615"/>
    <n v="53"/>
    <s v="December"/>
    <n v="12"/>
    <s v="2017-12"/>
    <x v="1"/>
  </r>
  <r>
    <s v="SO - 0007353"/>
    <d v="2017-12-09T00:00:00"/>
    <s v="Emd Group"/>
    <s v="Export"/>
    <x v="2"/>
    <n v="11"/>
    <n v="5092"/>
    <n v="56012"/>
    <n v="4226.3599999999997"/>
    <s v="CA"/>
    <s v="California"/>
    <s v="West"/>
    <n v="4028698.409"/>
    <n v="46489.96"/>
    <n v="9522.0400000000009"/>
    <n v="17"/>
    <s v="December"/>
    <n v="12"/>
    <s v="2017-12"/>
    <x v="1"/>
  </r>
  <r>
    <s v="SO - 0007509"/>
    <d v="2017-12-09T00:00:00"/>
    <s v="Mydeo Ltd"/>
    <s v="Distributor"/>
    <x v="1"/>
    <n v="6"/>
    <n v="3557.7"/>
    <n v="21346.199999999997"/>
    <n v="1814.4269999999999"/>
    <s v="CT"/>
    <s v="Connecticut"/>
    <s v="Northeast"/>
    <n v="5342315.4840000002"/>
    <n v="10886.562"/>
    <n v="10459.637999999901"/>
    <n v="48.999999999999901"/>
    <s v="December"/>
    <n v="12"/>
    <s v="2017-12"/>
    <x v="1"/>
  </r>
  <r>
    <s v="SO - 0010044"/>
    <d v="2017-12-09T00:00:00"/>
    <s v="Talane Group"/>
    <s v="Wholesale"/>
    <x v="15"/>
    <n v="12"/>
    <n v="1005"/>
    <n v="12060"/>
    <n v="824.099999999999"/>
    <s v="IL"/>
    <s v="Illinois"/>
    <s v="Midwest"/>
    <n v="2062061.1440000001"/>
    <n v="9889.1999999999898"/>
    <n v="2170.8000000000002"/>
    <n v="18"/>
    <s v="December"/>
    <n v="12"/>
    <s v="2017-12"/>
    <x v="1"/>
  </r>
  <r>
    <s v="SO - 0010518"/>
    <d v="2017-12-09T00:00:00"/>
    <s v="Yombu Corp"/>
    <s v="Wholesale"/>
    <x v="12"/>
    <n v="6"/>
    <n v="837.5"/>
    <n v="5025"/>
    <n v="619.75"/>
    <s v="MI"/>
    <s v="Michigan"/>
    <s v="Midwest"/>
    <n v="959899.21799999999"/>
    <n v="3718.5"/>
    <n v="1306.5"/>
    <n v="26"/>
    <s v="December"/>
    <n v="12"/>
    <s v="2017-12"/>
    <x v="1"/>
  </r>
  <r>
    <s v="SO - 0001301"/>
    <d v="2017-12-09T00:00:00"/>
    <s v="Realpoint Corp"/>
    <s v="Export"/>
    <x v="6"/>
    <n v="6"/>
    <n v="234.5"/>
    <n v="1407"/>
    <n v="194.63499999999999"/>
    <s v="FL"/>
    <s v="Florida"/>
    <s v="South"/>
    <n v="3925424.5419999999"/>
    <n v="1167.81"/>
    <n v="239.19"/>
    <n v="17"/>
    <s v="December"/>
    <n v="12"/>
    <s v="2017-12"/>
    <x v="1"/>
  </r>
  <r>
    <s v="SO - 0001420"/>
    <d v="2017-12-09T00:00:00"/>
    <s v="Linkbuzz Ltd"/>
    <s v="Wholesale"/>
    <x v="0"/>
    <n v="11"/>
    <n v="1098.8"/>
    <n v="12086.8"/>
    <n v="813.11199999999997"/>
    <s v="RI"/>
    <s v="Rhode Island"/>
    <s v="Northeast"/>
    <n v="1011609.684"/>
    <n v="8944.232"/>
    <n v="3142.5679999999902"/>
    <n v="25.999999999999901"/>
    <s v="December"/>
    <n v="12"/>
    <s v="2017-12"/>
    <x v="1"/>
  </r>
  <r>
    <s v="SO - 0004398"/>
    <d v="2017-12-09T00:00:00"/>
    <s v="Quimm Company"/>
    <s v="Distributor"/>
    <x v="18"/>
    <n v="10"/>
    <n v="3959.7"/>
    <n v="39597"/>
    <n v="1940.2529999999999"/>
    <s v="TX"/>
    <s v="Texas"/>
    <s v="South"/>
    <n v="1135815.7579999999"/>
    <n v="19402.53"/>
    <n v="20194.469999999899"/>
    <n v="50.999999999999901"/>
    <s v="December"/>
    <n v="12"/>
    <s v="2017-12"/>
    <x v="1"/>
  </r>
  <r>
    <s v="SO - 0010340"/>
    <d v="2017-12-09T00:00:00"/>
    <s v="Holston Company"/>
    <s v="Wholesale"/>
    <x v="24"/>
    <n v="12"/>
    <n v="1159.0999999999999"/>
    <n v="13909.199999999999"/>
    <n v="579.54999999999995"/>
    <s v="KS"/>
    <s v="Kansas"/>
    <s v="Midwest"/>
    <n v="594471.56999999995"/>
    <n v="6954.6"/>
    <n v="6954.6"/>
    <n v="50"/>
    <s v="December"/>
    <n v="12"/>
    <s v="2017-12"/>
    <x v="1"/>
  </r>
  <r>
    <s v="SO - 0003121"/>
    <d v="2017-12-09T00:00:00"/>
    <s v="Mita Corp"/>
    <s v="Export"/>
    <x v="26"/>
    <n v="6"/>
    <n v="1172.5"/>
    <n v="7035"/>
    <n v="656.6"/>
    <s v="IL"/>
    <s v="Illinois"/>
    <s v="Midwest"/>
    <n v="1356976.996"/>
    <n v="3939.6"/>
    <n v="3095.3999999999901"/>
    <n v="43.999999999999901"/>
    <s v="December"/>
    <n v="12"/>
    <s v="2017-12"/>
    <x v="1"/>
  </r>
  <r>
    <s v="SO - 0003630"/>
    <d v="2017-12-09T00:00:00"/>
    <s v="Aveda Group"/>
    <s v="Distributor"/>
    <x v="9"/>
    <n v="11"/>
    <n v="194.3"/>
    <n v="2137.3000000000002"/>
    <n v="163.21199999999999"/>
    <s v="AL"/>
    <s v="Alabama"/>
    <s v="South"/>
    <n v="3720639.645"/>
    <n v="1795.3320000000001"/>
    <n v="341.96800000000002"/>
    <n v="16"/>
    <s v="December"/>
    <n v="12"/>
    <s v="2017-12"/>
    <x v="1"/>
  </r>
  <r>
    <s v="SO - 0005621"/>
    <d v="2017-12-09T00:00:00"/>
    <s v="Pixoboo Corp"/>
    <s v="Distributor"/>
    <x v="2"/>
    <n v="11"/>
    <n v="6023.3"/>
    <n v="66256.3"/>
    <n v="3915.145"/>
    <s v="CT"/>
    <s v="Connecticut"/>
    <s v="Northeast"/>
    <n v="4028698.409"/>
    <n v="43066.595000000001"/>
    <n v="23189.705000000002"/>
    <n v="35"/>
    <s v="December"/>
    <n v="12"/>
    <s v="2017-12"/>
    <x v="1"/>
  </r>
  <r>
    <s v="SO - 0006841"/>
    <d v="2017-12-09T00:00:00"/>
    <s v="Flipstorm Group"/>
    <s v="Export"/>
    <x v="16"/>
    <n v="5"/>
    <n v="3819"/>
    <n v="19095"/>
    <n v="2864.25"/>
    <s v="CA"/>
    <s v="California"/>
    <s v="West"/>
    <n v="3016489.2089999998"/>
    <n v="14321.25"/>
    <n v="4773.75"/>
    <n v="25"/>
    <s v="December"/>
    <n v="12"/>
    <s v="2017-12"/>
    <x v="1"/>
  </r>
  <r>
    <s v="SO - 0009712"/>
    <d v="2017-12-09T00:00:00"/>
    <s v="Linkbuzz Ltd"/>
    <s v="Wholesale"/>
    <x v="1"/>
    <n v="10"/>
    <n v="1072"/>
    <n v="10720"/>
    <n v="761.12"/>
    <s v="MO"/>
    <s v="Missouri"/>
    <s v="Midwest"/>
    <n v="5342315.4840000002"/>
    <n v="7611.2"/>
    <n v="3108.8"/>
    <n v="29"/>
    <s v="December"/>
    <n v="12"/>
    <s v="2017-12"/>
    <x v="1"/>
  </r>
  <r>
    <s v="SO - 0009834"/>
    <d v="2017-12-09T00:00:00"/>
    <s v="Dazzlesphe Corp"/>
    <s v="Distributor"/>
    <x v="7"/>
    <n v="9"/>
    <n v="1031.8"/>
    <n v="9286.1999999999989"/>
    <n v="794.48599999999999"/>
    <s v="WA"/>
    <s v="Washington"/>
    <s v="West"/>
    <n v="3050087.5649999999"/>
    <n v="7150.3739999999998"/>
    <n v="2135.82599999999"/>
    <n v="22.999999999999901"/>
    <s v="December"/>
    <n v="12"/>
    <s v="2017-12"/>
    <x v="1"/>
  </r>
  <r>
    <s v="SO - 0003229"/>
    <d v="2017-12-10T00:00:00"/>
    <s v="Terumo Corp"/>
    <s v="Wholesale"/>
    <x v="23"/>
    <n v="7"/>
    <n v="3973.1"/>
    <n v="27811.7"/>
    <n v="1708.433"/>
    <s v="FL"/>
    <s v="Florida"/>
    <s v="South"/>
    <n v="1645841.6"/>
    <n v="11959.030999999901"/>
    <n v="15852.669"/>
    <n v="57"/>
    <s v="December"/>
    <n v="12"/>
    <s v="2017-12"/>
    <x v="1"/>
  </r>
  <r>
    <s v="SO - 0004153"/>
    <d v="2017-12-10T00:00:00"/>
    <s v="Jaxbean Group"/>
    <s v="Wholesale"/>
    <x v="3"/>
    <n v="5"/>
    <n v="268"/>
    <n v="1340"/>
    <n v="179.56"/>
    <s v="CO"/>
    <s v="Colorado"/>
    <s v="West"/>
    <n v="1085037.3289999999"/>
    <n v="897.8"/>
    <n v="442.2"/>
    <n v="33"/>
    <s v="December"/>
    <n v="12"/>
    <s v="2017-12"/>
    <x v="1"/>
  </r>
  <r>
    <s v="SO - 0006611"/>
    <d v="2017-12-10T00:00:00"/>
    <s v="American Corp"/>
    <s v="Export"/>
    <x v="1"/>
    <n v="7"/>
    <n v="201"/>
    <n v="1407"/>
    <n v="98.49"/>
    <s v="TX"/>
    <s v="Texas"/>
    <s v="South"/>
    <n v="5342315.4840000002"/>
    <n v="689.43"/>
    <n v="717.57"/>
    <n v="51"/>
    <s v="December"/>
    <n v="12"/>
    <s v="2017-12"/>
    <x v="1"/>
  </r>
  <r>
    <s v="SO - 0006961"/>
    <d v="2017-12-10T00:00:00"/>
    <s v="Woonsocket Corp"/>
    <s v="Wholesale"/>
    <x v="19"/>
    <n v="12"/>
    <n v="3624.7"/>
    <n v="43496.399999999994"/>
    <n v="2646.0309999999999"/>
    <s v="CA"/>
    <s v="California"/>
    <s v="West"/>
    <n v="2885560.824"/>
    <n v="31752.371999999999"/>
    <n v="11744.028"/>
    <n v="27"/>
    <s v="December"/>
    <n v="12"/>
    <s v="2017-12"/>
    <x v="1"/>
  </r>
  <r>
    <s v="SO - 0007119"/>
    <d v="2017-12-10T00:00:00"/>
    <s v="Tambee Company"/>
    <s v="Wholesale"/>
    <x v="17"/>
    <n v="8"/>
    <n v="254.6"/>
    <n v="2036.8"/>
    <n v="142.57599999999999"/>
    <s v="MD"/>
    <s v="Maryland"/>
    <s v="South"/>
    <n v="2642352.432"/>
    <n v="1140.6079999999999"/>
    <n v="896.19199999999898"/>
    <n v="43.999999999999901"/>
    <s v="December"/>
    <n v="12"/>
    <s v="2017-12"/>
    <x v="1"/>
  </r>
  <r>
    <s v="SO - 0007217"/>
    <d v="2017-12-10T00:00:00"/>
    <s v="Vimbo Company"/>
    <s v="Distributor"/>
    <x v="22"/>
    <n v="11"/>
    <n v="1011.7"/>
    <n v="11128.7"/>
    <n v="789.12599999999998"/>
    <s v="MI"/>
    <s v="Michigan"/>
    <s v="Midwest"/>
    <n v="710415.40500000003"/>
    <n v="8680.3860000000004"/>
    <n v="2448.3139999999999"/>
    <n v="22"/>
    <s v="December"/>
    <n v="12"/>
    <s v="2017-12"/>
    <x v="1"/>
  </r>
  <r>
    <s v="SO - 0009730"/>
    <d v="2017-12-10T00:00:00"/>
    <s v="H Ltd"/>
    <s v="Wholesale"/>
    <x v="1"/>
    <n v="6"/>
    <n v="2445.5"/>
    <n v="14673"/>
    <n v="1980.855"/>
    <s v="MI"/>
    <s v="Michigan"/>
    <s v="Midwest"/>
    <n v="5342315.4840000002"/>
    <n v="11885.13"/>
    <n v="2787.8699999999899"/>
    <n v="18.999999999999901"/>
    <s v="December"/>
    <n v="12"/>
    <s v="2017-12"/>
    <x v="1"/>
  </r>
  <r>
    <s v="SO - 0010606"/>
    <d v="2017-12-10T00:00:00"/>
    <s v="American Corp"/>
    <s v="Wholesale"/>
    <x v="18"/>
    <n v="5"/>
    <n v="1762.1"/>
    <n v="8810.5"/>
    <n v="1444.922"/>
    <s v="NJ"/>
    <s v="New Jersey"/>
    <s v="Northeast"/>
    <n v="1135815.7579999999"/>
    <n v="7224.61"/>
    <n v="1585.8899999999901"/>
    <n v="17.999999999999901"/>
    <s v="December"/>
    <n v="12"/>
    <s v="2017-12"/>
    <x v="1"/>
  </r>
  <r>
    <s v="SO - 000333"/>
    <d v="2017-12-10T00:00:00"/>
    <s v="Flipbug Ltd"/>
    <s v="Wholesale"/>
    <x v="20"/>
    <n v="8"/>
    <n v="1185.9000000000001"/>
    <n v="9487.2000000000007"/>
    <n v="948.72"/>
    <s v="TN"/>
    <s v="Tennessee"/>
    <s v="South"/>
    <n v="964940.23100000003"/>
    <n v="7589.76"/>
    <n v="1897.4399999999901"/>
    <n v="19.999999999999901"/>
    <s v="December"/>
    <n v="12"/>
    <s v="2017-12"/>
    <x v="1"/>
  </r>
  <r>
    <s v="SO - 0005058"/>
    <d v="2017-12-10T00:00:00"/>
    <s v="Walgreen Corp"/>
    <s v="Wholesale"/>
    <x v="6"/>
    <n v="8"/>
    <n v="1031.8"/>
    <n v="8254.4"/>
    <n v="825.44"/>
    <s v="CA"/>
    <s v="California"/>
    <s v="West"/>
    <n v="3925424.5419999999"/>
    <n v="6603.52"/>
    <n v="1650.8799999999901"/>
    <n v="19.999999999999901"/>
    <s v="December"/>
    <n v="12"/>
    <s v="2017-12"/>
    <x v="1"/>
  </r>
  <r>
    <s v="SO - 0007820"/>
    <d v="2017-12-10T00:00:00"/>
    <s v="Linkbuzz Ltd"/>
    <s v="Wholesale"/>
    <x v="27"/>
    <n v="7"/>
    <n v="837.5"/>
    <n v="5862.5"/>
    <n v="544.375"/>
    <s v="IL"/>
    <s v="Illinois"/>
    <s v="Midwest"/>
    <n v="2067108.1199999901"/>
    <n v="3810.625"/>
    <n v="2051.875"/>
    <n v="35"/>
    <s v="December"/>
    <n v="12"/>
    <s v="2017-12"/>
    <x v="1"/>
  </r>
  <r>
    <s v="SO - 0009057"/>
    <d v="2017-12-10T00:00:00"/>
    <s v="Nars Group"/>
    <s v="Wholesale"/>
    <x v="6"/>
    <n v="10"/>
    <n v="971.5"/>
    <n v="9715"/>
    <n v="437.17500000000001"/>
    <s v="PA"/>
    <s v="Pennsylvania"/>
    <s v="Northeast"/>
    <n v="3925424.5419999999"/>
    <n v="4371.75"/>
    <n v="5343.25"/>
    <n v="55"/>
    <s v="December"/>
    <n v="12"/>
    <s v="2017-12"/>
    <x v="1"/>
  </r>
  <r>
    <s v="SO - 0009289"/>
    <d v="2017-12-10T00:00:00"/>
    <s v="Fred'S Company"/>
    <s v="Wholesale"/>
    <x v="11"/>
    <n v="7"/>
    <n v="1246.2"/>
    <n v="8723.4"/>
    <n v="573.25199999999995"/>
    <s v="CT"/>
    <s v="Connecticut"/>
    <s v="Northeast"/>
    <n v="5685138.2699999996"/>
    <n v="4012.7640000000001"/>
    <n v="4710.6359999999904"/>
    <n v="53.999999999999901"/>
    <s v="December"/>
    <n v="12"/>
    <s v="2017-12"/>
    <x v="1"/>
  </r>
  <r>
    <s v="SO - 0003795"/>
    <d v="2017-12-10T00:00:00"/>
    <s v="Roomm Company"/>
    <s v="Distributor"/>
    <x v="15"/>
    <n v="12"/>
    <n v="1299.8"/>
    <n v="15597.599999999999"/>
    <n v="961.85199999999998"/>
    <s v="NH"/>
    <s v="New Hampshire"/>
    <s v="Northeast"/>
    <n v="2062061.1440000001"/>
    <n v="11542.224"/>
    <n v="4055.3759999999902"/>
    <n v="25.999999999999901"/>
    <s v="December"/>
    <n v="12"/>
    <s v="2017-12"/>
    <x v="1"/>
  </r>
  <r>
    <s v="SO - 0007612"/>
    <d v="2017-12-10T00:00:00"/>
    <s v="Us Ltd"/>
    <s v="Distributor"/>
    <x v="1"/>
    <n v="6"/>
    <n v="1165.8"/>
    <n v="6994.7999999999993"/>
    <n v="617.87400000000002"/>
    <s v="IL"/>
    <s v="Illinois"/>
    <s v="Midwest"/>
    <n v="5342315.4840000002"/>
    <n v="3707.2440000000001"/>
    <n v="3287.55599999999"/>
    <n v="46.999999999999901"/>
    <s v="December"/>
    <n v="12"/>
    <s v="2017-12"/>
    <x v="1"/>
  </r>
  <r>
    <s v="SO - 0010708"/>
    <d v="2017-12-10T00:00:00"/>
    <s v="Golden Corp"/>
    <s v="Wholesale"/>
    <x v="0"/>
    <n v="8"/>
    <n v="5152.3"/>
    <n v="41218.400000000001"/>
    <n v="2576.15"/>
    <s v="PA"/>
    <s v="Pennsylvania"/>
    <s v="Northeast"/>
    <n v="1011609.684"/>
    <n v="20609.2"/>
    <n v="20609.2"/>
    <n v="50"/>
    <s v="December"/>
    <n v="12"/>
    <s v="2017-12"/>
    <x v="1"/>
  </r>
  <r>
    <s v="SO - 0001852"/>
    <d v="2017-12-10T00:00:00"/>
    <s v="Accudial Company"/>
    <s v="Distributor"/>
    <x v="19"/>
    <n v="6"/>
    <n v="1902.8"/>
    <n v="11416.8"/>
    <n v="1255.848"/>
    <s v="IL"/>
    <s v="Illinois"/>
    <s v="Midwest"/>
    <n v="2885560.824"/>
    <n v="7535.0879999999997"/>
    <n v="3881.71199999999"/>
    <n v="34"/>
    <s v="December"/>
    <n v="12"/>
    <s v="2017-12"/>
    <x v="1"/>
  </r>
  <r>
    <s v="SO - 0001980"/>
    <d v="2017-12-10T00:00:00"/>
    <s v="Cogidoo Company"/>
    <s v="Wholesale"/>
    <x v="14"/>
    <n v="8"/>
    <n v="871"/>
    <n v="6968"/>
    <n v="574.86"/>
    <s v="PA"/>
    <s v="Pennsylvania"/>
    <s v="Northeast"/>
    <n v="2119616.824"/>
    <n v="4598.88"/>
    <n v="2369.12"/>
    <n v="34"/>
    <s v="December"/>
    <n v="12"/>
    <s v="2017-12"/>
    <x v="1"/>
  </r>
  <r>
    <s v="SO - 0006552"/>
    <d v="2017-12-10T00:00:00"/>
    <s v="Jabbercube Corp"/>
    <s v="Wholesale"/>
    <x v="2"/>
    <n v="9"/>
    <n v="6123.8"/>
    <n v="55114.200000000004"/>
    <n v="3306.8519999999999"/>
    <s v="CA"/>
    <s v="California"/>
    <s v="West"/>
    <n v="4028698.409"/>
    <n v="29761.668000000001"/>
    <n v="25352.531999999999"/>
    <n v="46"/>
    <s v="December"/>
    <n v="12"/>
    <s v="2017-12"/>
    <x v="1"/>
  </r>
  <r>
    <s v="SO - 0007049"/>
    <d v="2017-12-10T00:00:00"/>
    <s v="The Ltd"/>
    <s v="Export"/>
    <x v="8"/>
    <n v="7"/>
    <n v="180.9"/>
    <n v="1266.3"/>
    <n v="141.102"/>
    <s v="NV"/>
    <s v="Nevada"/>
    <s v="West"/>
    <n v="663601.902"/>
    <n v="987.71400000000006"/>
    <n v="278.58599999999899"/>
    <n v="21.999999999999901"/>
    <s v="December"/>
    <n v="12"/>
    <s v="2017-12"/>
    <x v="1"/>
  </r>
  <r>
    <s v="SO - 0009288"/>
    <d v="2017-12-10T00:00:00"/>
    <s v="Arbor Company"/>
    <s v="Wholesale"/>
    <x v="13"/>
    <n v="9"/>
    <n v="951.4"/>
    <n v="8562.6"/>
    <n v="428.13"/>
    <s v="TX"/>
    <s v="Texas"/>
    <s v="South"/>
    <n v="3299478.3149999999"/>
    <n v="3853.17"/>
    <n v="4709.43"/>
    <n v="55"/>
    <s v="December"/>
    <n v="12"/>
    <s v="2017-12"/>
    <x v="1"/>
  </r>
  <r>
    <s v="SO - 0009924"/>
    <d v="2017-12-10T00:00:00"/>
    <s v="Aibox Company"/>
    <s v="Wholesale"/>
    <x v="26"/>
    <n v="10"/>
    <n v="2532.6"/>
    <n v="25326"/>
    <n v="1696.8420000000001"/>
    <s v="CA"/>
    <s v="California"/>
    <s v="West"/>
    <n v="1356976.996"/>
    <n v="16968.419999999998"/>
    <n v="8357.5799999999908"/>
    <n v="32.999999999999901"/>
    <s v="December"/>
    <n v="12"/>
    <s v="2017-12"/>
    <x v="1"/>
  </r>
  <r>
    <s v="SO - 0001258"/>
    <d v="2017-12-10T00:00:00"/>
    <s v="Accudial Company"/>
    <s v="Distributor"/>
    <x v="19"/>
    <n v="6"/>
    <n v="1072"/>
    <n v="6432"/>
    <n v="621.76"/>
    <s v="WA"/>
    <s v="Washington"/>
    <s v="West"/>
    <n v="2885560.824"/>
    <n v="3730.56"/>
    <n v="2701.44"/>
    <n v="42"/>
    <s v="December"/>
    <n v="12"/>
    <s v="2017-12"/>
    <x v="1"/>
  </r>
  <r>
    <s v="SO - 0001935"/>
    <d v="2017-12-10T00:00:00"/>
    <s v="Fred'S Company"/>
    <s v="Distributor"/>
    <x v="4"/>
    <n v="9"/>
    <n v="2887.7"/>
    <n v="25989.3"/>
    <n v="1212.8340000000001"/>
    <s v="WA"/>
    <s v="Washington"/>
    <s v="West"/>
    <n v="2309499.0449999999"/>
    <n v="10915.505999999999"/>
    <n v="15073.794"/>
    <n v="57.999999999999901"/>
    <s v="December"/>
    <n v="12"/>
    <s v="2017-12"/>
    <x v="1"/>
  </r>
  <r>
    <s v="SO - 0002457"/>
    <d v="2017-12-10T00:00:00"/>
    <s v="Divanoodle Ltd"/>
    <s v="Distributor"/>
    <x v="24"/>
    <n v="5"/>
    <n v="5514.1"/>
    <n v="27570.5"/>
    <n v="4025.2930000000001"/>
    <s v="TX"/>
    <s v="Texas"/>
    <s v="South"/>
    <n v="594471.56999999995"/>
    <n v="20126.465"/>
    <n v="7444.0349999999999"/>
    <n v="27"/>
    <s v="December"/>
    <n v="12"/>
    <s v="2017-12"/>
    <x v="1"/>
  </r>
  <r>
    <s v="SO - 0002627"/>
    <d v="2017-12-10T00:00:00"/>
    <s v="Buzzshare Company"/>
    <s v="Wholesale"/>
    <x v="15"/>
    <n v="11"/>
    <n v="3912.8"/>
    <n v="43040.800000000003"/>
    <n v="3091.1120000000001"/>
    <s v="KS"/>
    <s v="Kansas"/>
    <s v="Midwest"/>
    <n v="2062061.1440000001"/>
    <n v="34002.232000000004"/>
    <n v="9038.5679999999993"/>
    <n v="20.999999999999901"/>
    <s v="December"/>
    <n v="12"/>
    <s v="2017-12"/>
    <x v="1"/>
  </r>
  <r>
    <s v="SO - 0003863"/>
    <d v="2017-12-10T00:00:00"/>
    <s v="Vitz Company"/>
    <s v="Wholesale"/>
    <x v="15"/>
    <n v="5"/>
    <n v="241.2"/>
    <n v="1206"/>
    <n v="96.48"/>
    <s v="MT"/>
    <s v="Montana"/>
    <s v="West"/>
    <n v="2062061.1440000001"/>
    <n v="482.4"/>
    <n v="723.599999999999"/>
    <n v="60"/>
    <s v="December"/>
    <n v="12"/>
    <s v="2017-12"/>
    <x v="1"/>
  </r>
  <r>
    <s v="SO - 0005822"/>
    <d v="2017-12-10T00:00:00"/>
    <s v="Aldi Ltd"/>
    <s v="Wholesale"/>
    <x v="2"/>
    <n v="9"/>
    <n v="1045.2"/>
    <n v="9406.8000000000011"/>
    <n v="888.42"/>
    <s v="IL"/>
    <s v="Illinois"/>
    <s v="Midwest"/>
    <n v="4028698.409"/>
    <n v="7995.78"/>
    <n v="1411.02"/>
    <n v="15"/>
    <s v="December"/>
    <n v="12"/>
    <s v="2017-12"/>
    <x v="1"/>
  </r>
  <r>
    <s v="SO - 0006736"/>
    <d v="2017-12-10T00:00:00"/>
    <s v="Janyx Group"/>
    <s v="Distributor"/>
    <x v="14"/>
    <n v="9"/>
    <n v="3852.5"/>
    <n v="34672.5"/>
    <n v="2311.5"/>
    <s v="CA"/>
    <s v="California"/>
    <s v="West"/>
    <n v="2119616.824"/>
    <n v="20803.5"/>
    <n v="13869"/>
    <n v="40"/>
    <s v="December"/>
    <n v="12"/>
    <s v="2017-12"/>
    <x v="1"/>
  </r>
  <r>
    <s v="SO - 0009800"/>
    <d v="2017-12-10T00:00:00"/>
    <s v="Janyx Group"/>
    <s v="Wholesale"/>
    <x v="9"/>
    <n v="8"/>
    <n v="3886"/>
    <n v="31088"/>
    <n v="2215.02"/>
    <s v="MO"/>
    <s v="Missouri"/>
    <s v="Midwest"/>
    <n v="3720639.645"/>
    <n v="17720.16"/>
    <n v="13367.84"/>
    <n v="43"/>
    <s v="December"/>
    <n v="12"/>
    <s v="2017-12"/>
    <x v="1"/>
  </r>
  <r>
    <s v="SO - 0010344"/>
    <d v="2017-12-10T00:00:00"/>
    <s v="Bta Corp"/>
    <s v="Wholesale"/>
    <x v="3"/>
    <n v="6"/>
    <n v="2666.6"/>
    <n v="15999.599999999999"/>
    <n v="1546.6279999999999"/>
    <s v="MI"/>
    <s v="Michigan"/>
    <s v="Midwest"/>
    <n v="1085037.3289999999"/>
    <n v="9279.768"/>
    <n v="6719.8319999999903"/>
    <n v="41.999999999999901"/>
    <s v="December"/>
    <n v="12"/>
    <s v="2017-12"/>
    <x v="1"/>
  </r>
  <r>
    <s v="SO - 0002199"/>
    <d v="2017-12-10T00:00:00"/>
    <s v="Zooveo Company"/>
    <s v="Export"/>
    <x v="2"/>
    <n v="10"/>
    <n v="1152.4000000000001"/>
    <n v="11524"/>
    <n v="507.05599999999998"/>
    <s v="TN"/>
    <s v="Tennessee"/>
    <s v="South"/>
    <n v="4028698.409"/>
    <n v="5070.5600000000004"/>
    <n v="6453.44"/>
    <n v="55.999999999999901"/>
    <s v="December"/>
    <n v="12"/>
    <s v="2017-12"/>
    <x v="1"/>
  </r>
  <r>
    <s v="SO - 0005323"/>
    <d v="2017-12-10T00:00:00"/>
    <s v="Cantrell Company"/>
    <s v="Distributor"/>
    <x v="1"/>
    <n v="8"/>
    <n v="1922.9"/>
    <n v="15383.2"/>
    <n v="999.90800000000002"/>
    <s v="GA"/>
    <s v="Georgia"/>
    <s v="South"/>
    <n v="5342315.4840000002"/>
    <n v="7999.2640000000001"/>
    <n v="7383.9359999999997"/>
    <n v="48"/>
    <s v="December"/>
    <n v="12"/>
    <s v="2017-12"/>
    <x v="1"/>
  </r>
  <r>
    <s v="SO - 0005476"/>
    <d v="2017-12-10T00:00:00"/>
    <s v="Dazzlesphe Corp"/>
    <s v="Wholesale"/>
    <x v="11"/>
    <n v="11"/>
    <n v="1072"/>
    <n v="11792"/>
    <n v="493.12"/>
    <s v="CA"/>
    <s v="California"/>
    <s v="West"/>
    <n v="5685138.2699999996"/>
    <n v="5424.32"/>
    <n v="6367.68"/>
    <n v="54"/>
    <s v="December"/>
    <n v="12"/>
    <s v="2017-12"/>
    <x v="1"/>
  </r>
  <r>
    <s v="SO - 0005713"/>
    <d v="2017-12-10T00:00:00"/>
    <s v="Nlounge Ltd"/>
    <s v="Wholesale"/>
    <x v="29"/>
    <n v="12"/>
    <n v="2391.9"/>
    <n v="28702.800000000003"/>
    <n v="1387.3019999999999"/>
    <s v="IN"/>
    <s v="Indiana"/>
    <s v="Midwest"/>
    <n v="864331.62399999995"/>
    <n v="16647.624"/>
    <n v="12055.175999999999"/>
    <n v="42"/>
    <s v="December"/>
    <n v="12"/>
    <s v="2017-12"/>
    <x v="1"/>
  </r>
  <r>
    <s v="SO - 0006097"/>
    <d v="2017-12-10T00:00:00"/>
    <s v="Zoomdog Corp"/>
    <s v="Wholesale"/>
    <x v="1"/>
    <n v="8"/>
    <n v="2010"/>
    <n v="16080"/>
    <n v="1386.8999999999901"/>
    <s v="CA"/>
    <s v="California"/>
    <s v="West"/>
    <n v="5342315.4840000002"/>
    <n v="11095.199999999901"/>
    <n v="4984.8"/>
    <n v="31"/>
    <s v="December"/>
    <n v="12"/>
    <s v="2017-12"/>
    <x v="1"/>
  </r>
  <r>
    <s v="SO - 0006649"/>
    <d v="2017-12-10T00:00:00"/>
    <s v="Cogilith Group"/>
    <s v="Distributor"/>
    <x v="1"/>
    <n v="7"/>
    <n v="1018.4"/>
    <n v="7128.8"/>
    <n v="672.14400000000001"/>
    <s v="IA"/>
    <s v="Iowa"/>
    <s v="Midwest"/>
    <n v="5342315.4840000002"/>
    <n v="4705.0079999999998"/>
    <n v="2423.7919999999999"/>
    <n v="34"/>
    <s v="December"/>
    <n v="12"/>
    <s v="2017-12"/>
    <x v="1"/>
  </r>
  <r>
    <s v="SO - 0007449"/>
    <d v="2017-12-10T00:00:00"/>
    <s v="Kare Corp"/>
    <s v="Distributor"/>
    <x v="0"/>
    <n v="7"/>
    <n v="1909.5"/>
    <n v="13366.5"/>
    <n v="801.99"/>
    <s v="IL"/>
    <s v="Illinois"/>
    <s v="Midwest"/>
    <n v="1011609.684"/>
    <n v="5613.93"/>
    <n v="7752.57"/>
    <n v="57.999999999999901"/>
    <s v="December"/>
    <n v="12"/>
    <s v="2017-12"/>
    <x v="1"/>
  </r>
  <r>
    <s v="SO - 0007691"/>
    <d v="2017-12-10T00:00:00"/>
    <s v="Ncs Group"/>
    <s v="Wholesale"/>
    <x v="25"/>
    <n v="7"/>
    <n v="2633.1"/>
    <n v="18431.7"/>
    <n v="1764.1769999999999"/>
    <s v="FL"/>
    <s v="Florida"/>
    <s v="South"/>
    <n v="889737.55500000005"/>
    <n v="12349.239"/>
    <n v="6082.4609999999902"/>
    <n v="32.999999999999901"/>
    <s v="December"/>
    <n v="12"/>
    <s v="2017-12"/>
    <x v="1"/>
  </r>
  <r>
    <s v="SO - 0008902"/>
    <d v="2017-12-10T00:00:00"/>
    <s v="Jaxbean Group"/>
    <s v="Export"/>
    <x v="1"/>
    <n v="11"/>
    <n v="1145.7"/>
    <n v="12602.7"/>
    <n v="492.65100000000001"/>
    <s v="WA"/>
    <s v="Washington"/>
    <s v="West"/>
    <n v="5342315.4840000002"/>
    <n v="5419.1610000000001"/>
    <n v="7183.5389999999998"/>
    <n v="57"/>
    <s v="December"/>
    <n v="12"/>
    <s v="2017-12"/>
    <x v="1"/>
  </r>
  <r>
    <s v="SO - 0002200"/>
    <d v="2017-12-11T00:00:00"/>
    <s v="Cogilith Group"/>
    <s v="Distributor"/>
    <x v="9"/>
    <n v="9"/>
    <n v="3819"/>
    <n v="34371"/>
    <n v="1565.79"/>
    <s v="AR"/>
    <s v="Arkansas"/>
    <s v="South"/>
    <n v="3720639.645"/>
    <n v="14092.11"/>
    <n v="20278.89"/>
    <n v="59"/>
    <s v="December"/>
    <n v="12"/>
    <s v="2017-12"/>
    <x v="1"/>
  </r>
  <r>
    <s v="SO - 0002568"/>
    <d v="2017-12-11T00:00:00"/>
    <s v="Pfizer Corp"/>
    <s v="Export"/>
    <x v="28"/>
    <n v="6"/>
    <n v="2291.4"/>
    <n v="13748.400000000001"/>
    <n v="1191.528"/>
    <s v="MS"/>
    <s v="Mississippi"/>
    <s v="South"/>
    <n v="756557.97"/>
    <n v="7149.1679999999997"/>
    <n v="6599.232"/>
    <n v="48"/>
    <s v="December"/>
    <n v="12"/>
    <s v="2017-12"/>
    <x v="1"/>
  </r>
  <r>
    <s v="SO - 0002791"/>
    <d v="2017-12-11T00:00:00"/>
    <s v="Zoovu Corp"/>
    <s v="Distributor"/>
    <x v="17"/>
    <n v="10"/>
    <n v="1092.0999999999999"/>
    <n v="10921"/>
    <n v="851.83799999999997"/>
    <s v="MI"/>
    <s v="Michigan"/>
    <s v="Midwest"/>
    <n v="2642352.432"/>
    <n v="8518.3799999999992"/>
    <n v="2402.62"/>
    <n v="22"/>
    <s v="December"/>
    <n v="12"/>
    <s v="2017-12"/>
    <x v="1"/>
  </r>
  <r>
    <s v="SO - 0003090"/>
    <d v="2017-12-11T00:00:00"/>
    <s v="Ascend Ltd"/>
    <s v="Distributor"/>
    <x v="4"/>
    <n v="8"/>
    <n v="1085.4000000000001"/>
    <n v="8683.2000000000007"/>
    <n v="716.36400000000003"/>
    <s v="LA"/>
    <s v="Louisiana"/>
    <s v="South"/>
    <n v="2309499.0449999999"/>
    <n v="5730.9120000000003"/>
    <n v="2952.28799999999"/>
    <n v="33.999999999999901"/>
    <s v="December"/>
    <n v="12"/>
    <s v="2017-12"/>
    <x v="1"/>
  </r>
  <r>
    <s v="SO - 0010603"/>
    <d v="2017-12-11T00:00:00"/>
    <s v="Mita Corp"/>
    <s v="Export"/>
    <x v="7"/>
    <n v="11"/>
    <n v="2425.4"/>
    <n v="26679.4"/>
    <n v="1600.7639999999999"/>
    <s v="AZ"/>
    <s v="Arizona"/>
    <s v="West"/>
    <n v="3050087.5649999999"/>
    <n v="17608.403999999999"/>
    <n v="9070.9959999999992"/>
    <n v="34"/>
    <s v="December"/>
    <n v="12"/>
    <s v="2017-12"/>
    <x v="1"/>
  </r>
  <r>
    <s v="SO - 0010430"/>
    <d v="2017-12-11T00:00:00"/>
    <s v="Accord Group"/>
    <s v="Export"/>
    <x v="6"/>
    <n v="12"/>
    <n v="6251.1"/>
    <n v="75013.200000000012"/>
    <n v="2938.0169999999998"/>
    <s v="NJ"/>
    <s v="New Jersey"/>
    <s v="Northeast"/>
    <n v="3925424.5419999999"/>
    <n v="35256.203999999998"/>
    <n v="39756.995999999999"/>
    <n v="53"/>
    <s v="December"/>
    <n v="12"/>
    <s v="2017-12"/>
    <x v="1"/>
  </r>
  <r>
    <s v="SO - 0001362"/>
    <d v="2017-12-11T00:00:00"/>
    <s v="Rochester Group"/>
    <s v="Wholesale"/>
    <x v="1"/>
    <n v="12"/>
    <n v="1132.3"/>
    <n v="13587.599999999999"/>
    <n v="520.85799999999995"/>
    <s v="FL"/>
    <s v="Florida"/>
    <s v="South"/>
    <n v="5342315.4840000002"/>
    <n v="6250.2959999999903"/>
    <n v="7337.3039999999901"/>
    <n v="54"/>
    <s v="December"/>
    <n v="12"/>
    <s v="2017-12"/>
    <x v="1"/>
  </r>
  <r>
    <s v="SO - 0002012"/>
    <d v="2017-12-11T00:00:00"/>
    <s v="Colgate-Pa Group"/>
    <s v="Distributor"/>
    <x v="4"/>
    <n v="11"/>
    <n v="5319.8"/>
    <n v="58517.8"/>
    <n v="3298.2759999999998"/>
    <s v="WA"/>
    <s v="Washington"/>
    <s v="West"/>
    <n v="2309499.0449999999"/>
    <n v="36281.036"/>
    <n v="22236.763999999999"/>
    <n v="38"/>
    <s v="December"/>
    <n v="12"/>
    <s v="2017-12"/>
    <x v="1"/>
  </r>
  <r>
    <s v="SO - 0002268"/>
    <d v="2017-12-11T00:00:00"/>
    <s v="Buzzbean Group"/>
    <s v="Wholesale"/>
    <x v="2"/>
    <n v="8"/>
    <n v="3946.3"/>
    <n v="31570.400000000001"/>
    <n v="1894.2239999999999"/>
    <s v="FL"/>
    <s v="Florida"/>
    <s v="South"/>
    <n v="4028698.409"/>
    <n v="15153.791999999999"/>
    <n v="16416.608"/>
    <n v="52"/>
    <s v="December"/>
    <n v="12"/>
    <s v="2017-12"/>
    <x v="1"/>
  </r>
  <r>
    <s v="SO - 0004484"/>
    <d v="2017-12-11T00:00:00"/>
    <s v="Good Ltd"/>
    <s v="Distributor"/>
    <x v="3"/>
    <n v="11"/>
    <n v="2572.8000000000002"/>
    <n v="28300.800000000003"/>
    <n v="1517.952"/>
    <s v="GA"/>
    <s v="Georgia"/>
    <s v="South"/>
    <n v="1085037.3289999999"/>
    <n v="16697.472000000002"/>
    <n v="11603.328"/>
    <n v="41"/>
    <s v="December"/>
    <n v="12"/>
    <s v="2017-12"/>
    <x v="1"/>
  </r>
  <r>
    <s v="SO - 0006995"/>
    <d v="2017-12-11T00:00:00"/>
    <s v="State Ltd"/>
    <s v="Wholesale"/>
    <x v="13"/>
    <n v="9"/>
    <n v="1105.5"/>
    <n v="9949.5"/>
    <n v="895.45500000000004"/>
    <s v="FL"/>
    <s v="Florida"/>
    <s v="South"/>
    <n v="3299478.3149999999"/>
    <n v="8059.0950000000003"/>
    <n v="1890.40499999999"/>
    <n v="18.999999999999901"/>
    <s v="December"/>
    <n v="12"/>
    <s v="2017-12"/>
    <x v="1"/>
  </r>
  <r>
    <s v="SO - 0010462"/>
    <d v="2017-12-11T00:00:00"/>
    <s v="Jabbercube Corp"/>
    <s v="Wholesale"/>
    <x v="14"/>
    <n v="6"/>
    <n v="3912.8"/>
    <n v="23476.800000000003"/>
    <n v="2425.9360000000001"/>
    <s v="GA"/>
    <s v="Georgia"/>
    <s v="South"/>
    <n v="2119616.824"/>
    <n v="14555.616"/>
    <n v="8921.1839999999993"/>
    <n v="38"/>
    <s v="December"/>
    <n v="12"/>
    <s v="2017-12"/>
    <x v="1"/>
  </r>
  <r>
    <s v="SO - 0008693"/>
    <d v="2017-12-11T00:00:00"/>
    <s v="Livepath Corp"/>
    <s v="Wholesale"/>
    <x v="29"/>
    <n v="9"/>
    <n v="6050.1"/>
    <n v="54450.9"/>
    <n v="3025.05"/>
    <s v="CO"/>
    <s v="Colorado"/>
    <s v="West"/>
    <n v="864331.62399999995"/>
    <n v="27225.45"/>
    <n v="27225.45"/>
    <n v="50"/>
    <s v="December"/>
    <n v="12"/>
    <s v="2017-12"/>
    <x v="1"/>
  </r>
  <r>
    <s v="SO - 000911"/>
    <d v="2017-12-11T00:00:00"/>
    <s v="Aimbo Corp"/>
    <s v="Wholesale"/>
    <x v="9"/>
    <n v="11"/>
    <n v="824.1"/>
    <n v="9065.1"/>
    <n v="684.00300000000004"/>
    <s v="MI"/>
    <s v="Michigan"/>
    <s v="Midwest"/>
    <n v="3720639.645"/>
    <n v="7524.0330000000004"/>
    <n v="1541.067"/>
    <n v="17"/>
    <s v="December"/>
    <n v="12"/>
    <s v="2017-12"/>
    <x v="1"/>
  </r>
  <r>
    <s v="SO - 0001632"/>
    <d v="2017-12-11T00:00:00"/>
    <s v="Chatterbri Ltd"/>
    <s v="Export"/>
    <x v="13"/>
    <n v="8"/>
    <n v="3993.2"/>
    <n v="31945.599999999999"/>
    <n v="1597.28"/>
    <s v="NJ"/>
    <s v="New Jersey"/>
    <s v="Northeast"/>
    <n v="3299478.3149999999"/>
    <n v="12778.24"/>
    <n v="19167.36"/>
    <n v="60"/>
    <s v="December"/>
    <n v="12"/>
    <s v="2017-12"/>
    <x v="1"/>
  </r>
  <r>
    <s v="SO - 0003522"/>
    <d v="2017-12-11T00:00:00"/>
    <s v="Flipstorm Group"/>
    <s v="Distributor"/>
    <x v="1"/>
    <n v="12"/>
    <n v="3604.6"/>
    <n v="43255.199999999997"/>
    <n v="2270.8980000000001"/>
    <s v="CT"/>
    <s v="Connecticut"/>
    <s v="Northeast"/>
    <n v="5342315.4840000002"/>
    <n v="27250.776000000002"/>
    <n v="16004.423999999901"/>
    <n v="36.999999999999901"/>
    <s v="December"/>
    <n v="12"/>
    <s v="2017-12"/>
    <x v="1"/>
  </r>
  <r>
    <s v="SO - 0004152"/>
    <d v="2017-12-11T00:00:00"/>
    <s v="Gabvine Ltd"/>
    <s v="Wholesale"/>
    <x v="21"/>
    <n v="7"/>
    <n v="241.2"/>
    <n v="1688.3999999999999"/>
    <n v="159.19200000000001"/>
    <s v="MD"/>
    <s v="Maryland"/>
    <s v="South"/>
    <n v="1230458.4839999999"/>
    <n v="1114.3440000000001"/>
    <n v="574.05600000000004"/>
    <n v="34"/>
    <s v="December"/>
    <n v="12"/>
    <s v="2017-12"/>
    <x v="1"/>
  </r>
  <r>
    <s v="SO - 0004282"/>
    <d v="2017-12-11T00:00:00"/>
    <s v="Lazzy Group"/>
    <s v="Wholesale"/>
    <x v="24"/>
    <n v="11"/>
    <n v="2284.6999999999998"/>
    <n v="25131.699999999997"/>
    <n v="1941.9949999999999"/>
    <s v="MD"/>
    <s v="Maryland"/>
    <s v="South"/>
    <n v="594471.56999999995"/>
    <n v="21361.945"/>
    <n v="3769.7550000000001"/>
    <n v="15"/>
    <s v="December"/>
    <n v="12"/>
    <s v="2017-12"/>
    <x v="1"/>
  </r>
  <r>
    <s v="SO - 0004664"/>
    <d v="2017-12-11T00:00:00"/>
    <s v="Mydeo Ltd"/>
    <s v="Wholesale"/>
    <x v="15"/>
    <n v="10"/>
    <n v="1105.5"/>
    <n v="11055"/>
    <n v="519.58499999999901"/>
    <s v="WI"/>
    <s v="Wisconsin"/>
    <s v="Midwest"/>
    <n v="2062061.1440000001"/>
    <n v="5195.8499999999904"/>
    <n v="5859.15"/>
    <n v="53"/>
    <s v="December"/>
    <n v="12"/>
    <s v="2017-12"/>
    <x v="1"/>
  </r>
  <r>
    <s v="SO - 0005138"/>
    <d v="2017-12-11T00:00:00"/>
    <s v="Eidel Corp"/>
    <s v="Wholesale"/>
    <x v="15"/>
    <n v="7"/>
    <n v="5540.9"/>
    <n v="38786.299999999996"/>
    <n v="2437.9960000000001"/>
    <s v="UT"/>
    <s v="Utah"/>
    <s v="West"/>
    <n v="2062061.1440000001"/>
    <n v="17065.972000000002"/>
    <n v="21720.328000000001"/>
    <n v="55.999999999999901"/>
    <s v="December"/>
    <n v="12"/>
    <s v="2017-12"/>
    <x v="1"/>
  </r>
  <r>
    <s v="SO - 0006370"/>
    <d v="2017-12-11T00:00:00"/>
    <s v="Topco Company"/>
    <s v="Distributor"/>
    <x v="9"/>
    <n v="7"/>
    <n v="1695.1"/>
    <n v="11865.699999999999"/>
    <n v="1101.8150000000001"/>
    <s v="CT"/>
    <s v="Connecticut"/>
    <s v="Northeast"/>
    <n v="3720639.645"/>
    <n v="7712.7049999999999"/>
    <n v="4152.9949999999999"/>
    <n v="35"/>
    <s v="December"/>
    <n v="12"/>
    <s v="2017-12"/>
    <x v="1"/>
  </r>
  <r>
    <s v="SO - 0007543"/>
    <d v="2017-12-11T00:00:00"/>
    <s v="Jaxbean Group"/>
    <s v="Wholesale"/>
    <x v="16"/>
    <n v="5"/>
    <n v="1118.9000000000001"/>
    <n v="5594.5"/>
    <n v="850.36400000000003"/>
    <s v="OR"/>
    <s v="Oregon"/>
    <s v="West"/>
    <n v="3016489.2089999998"/>
    <n v="4251.82"/>
    <n v="1342.68"/>
    <n v="24"/>
    <s v="December"/>
    <n v="12"/>
    <s v="2017-12"/>
    <x v="1"/>
  </r>
  <r>
    <s v="SO - 0009440"/>
    <d v="2017-12-11T00:00:00"/>
    <s v="Oba Company"/>
    <s v="Wholesale"/>
    <x v="16"/>
    <n v="11"/>
    <n v="207.7"/>
    <n v="2284.6999999999998"/>
    <n v="89.311000000000007"/>
    <s v="NY"/>
    <s v="New York"/>
    <s v="Northeast"/>
    <n v="3016489.2089999998"/>
    <n v="982.42100000000005"/>
    <n v="1302.279"/>
    <n v="57"/>
    <s v="December"/>
    <n v="12"/>
    <s v="2017-12"/>
    <x v="1"/>
  </r>
  <r>
    <s v="SO - 0009922"/>
    <d v="2017-12-11T00:00:00"/>
    <s v="Pacific Ltd"/>
    <s v="Wholesale"/>
    <x v="1"/>
    <n v="11"/>
    <n v="2438.8000000000002"/>
    <n v="26826.800000000003"/>
    <n v="1195.0119999999999"/>
    <s v="IL"/>
    <s v="Illinois"/>
    <s v="Midwest"/>
    <n v="5342315.4840000002"/>
    <n v="13145.132"/>
    <n v="13681.668"/>
    <n v="51"/>
    <s v="December"/>
    <n v="12"/>
    <s v="2017-12"/>
    <x v="1"/>
  </r>
  <r>
    <s v="SO - 000607"/>
    <d v="2017-12-11T00:00:00"/>
    <s v="Neutrogena Ltd"/>
    <s v="Wholesale"/>
    <x v="7"/>
    <n v="8"/>
    <n v="3705.1"/>
    <n v="29640.799999999999"/>
    <n v="2111.9069999999901"/>
    <s v="MN"/>
    <s v="Minnesota"/>
    <s v="Midwest"/>
    <n v="3050087.5649999999"/>
    <n v="16895.255999999899"/>
    <n v="12745.544"/>
    <n v="43"/>
    <s v="December"/>
    <n v="12"/>
    <s v="2017-12"/>
    <x v="1"/>
  </r>
  <r>
    <s v="SO - 0001750"/>
    <d v="2017-12-11T00:00:00"/>
    <s v="Thoughtmix Ltd"/>
    <s v="Wholesale"/>
    <x v="7"/>
    <n v="7"/>
    <n v="194.3"/>
    <n v="1360.1000000000001"/>
    <n v="102.979"/>
    <s v="IN"/>
    <s v="Indiana"/>
    <s v="Midwest"/>
    <n v="3050087.5649999999"/>
    <n v="720.85299999999995"/>
    <n v="639.24699999999996"/>
    <n v="47"/>
    <s v="December"/>
    <n v="12"/>
    <s v="2017-12"/>
    <x v="1"/>
  </r>
  <r>
    <s v="SO - 0007582"/>
    <d v="2017-12-11T00:00:00"/>
    <s v="Cogidoo Company"/>
    <s v="Wholesale"/>
    <x v="2"/>
    <n v="9"/>
    <n v="3932.9"/>
    <n v="35396.1"/>
    <n v="2831.6880000000001"/>
    <s v="IN"/>
    <s v="Indiana"/>
    <s v="Midwest"/>
    <n v="4028698.409"/>
    <n v="25485.191999999999"/>
    <n v="9910.9079999999904"/>
    <n v="27.999999999999901"/>
    <s v="December"/>
    <n v="12"/>
    <s v="2017-12"/>
    <x v="1"/>
  </r>
  <r>
    <s v="SO - 000669"/>
    <d v="2017-12-11T00:00:00"/>
    <s v="Yodoo Ltd"/>
    <s v="Export"/>
    <x v="7"/>
    <n v="10"/>
    <n v="1708.5"/>
    <n v="17085"/>
    <n v="1213.0349999999901"/>
    <s v="CA"/>
    <s v="California"/>
    <s v="West"/>
    <n v="3050087.5649999999"/>
    <n v="12130.3499999999"/>
    <n v="4954.6499999999996"/>
    <n v="29"/>
    <s v="December"/>
    <n v="12"/>
    <s v="2017-12"/>
    <x v="1"/>
  </r>
  <r>
    <s v="SO - 0001802"/>
    <d v="2017-12-11T00:00:00"/>
    <s v="General Company"/>
    <s v="Distributor"/>
    <x v="4"/>
    <n v="9"/>
    <n v="1159.0999999999999"/>
    <n v="10431.9"/>
    <n v="533.18600000000004"/>
    <s v="WA"/>
    <s v="Washington"/>
    <s v="West"/>
    <n v="2309499.0449999999"/>
    <n v="4798.674"/>
    <n v="5633.2259999999997"/>
    <n v="54"/>
    <s v="December"/>
    <n v="12"/>
    <s v="2017-12"/>
    <x v="1"/>
  </r>
  <r>
    <s v="SO - 0006751"/>
    <d v="2017-12-11T00:00:00"/>
    <s v="Arbor Company"/>
    <s v="Distributor"/>
    <x v="7"/>
    <n v="6"/>
    <n v="1246.2"/>
    <n v="7477.2000000000007"/>
    <n v="710.33399999999995"/>
    <s v="CA"/>
    <s v="California"/>
    <s v="West"/>
    <n v="3050087.5649999999"/>
    <n v="4262.0039999999999"/>
    <n v="3215.1959999999999"/>
    <n v="43"/>
    <s v="December"/>
    <n v="12"/>
    <s v="2017-12"/>
    <x v="1"/>
  </r>
  <r>
    <s v="SO - 0007473"/>
    <d v="2017-12-11T00:00:00"/>
    <s v="Bluezoom Group"/>
    <s v="Distributor"/>
    <x v="16"/>
    <n v="7"/>
    <n v="2599.6"/>
    <n v="18197.2"/>
    <n v="1819.71999999999"/>
    <s v="MI"/>
    <s v="Michigan"/>
    <s v="Midwest"/>
    <n v="3016489.2089999998"/>
    <n v="12738.039999999901"/>
    <n v="5459.16"/>
    <n v="30"/>
    <s v="December"/>
    <n v="12"/>
    <s v="2017-12"/>
    <x v="1"/>
  </r>
  <r>
    <s v="SO - 0010714"/>
    <d v="2017-12-11T00:00:00"/>
    <s v="Wise Company"/>
    <s v="Wholesale"/>
    <x v="10"/>
    <n v="5"/>
    <n v="3450.5"/>
    <n v="17252.5"/>
    <n v="2346.34"/>
    <s v="NJ"/>
    <s v="New Jersey"/>
    <s v="Northeast"/>
    <n v="1672229.416"/>
    <n v="11731.7"/>
    <n v="5520.7999999999902"/>
    <n v="31.999999999999901"/>
    <s v="December"/>
    <n v="12"/>
    <s v="2017-12"/>
    <x v="1"/>
  </r>
  <r>
    <s v="SO - 0009264"/>
    <d v="2017-12-11T00:00:00"/>
    <s v="State Ltd"/>
    <s v="Distributor"/>
    <x v="14"/>
    <n v="9"/>
    <n v="3745.3"/>
    <n v="33707.700000000004"/>
    <n v="2808.9749999999999"/>
    <s v="CA"/>
    <s v="California"/>
    <s v="West"/>
    <n v="2119616.824"/>
    <n v="25280.775000000001"/>
    <n v="8426.9249999999993"/>
    <n v="25"/>
    <s v="December"/>
    <n v="12"/>
    <s v="2017-12"/>
    <x v="1"/>
  </r>
  <r>
    <s v="SO - 0010189"/>
    <d v="2017-12-11T00:00:00"/>
    <s v="Kare Corp"/>
    <s v="Wholesale"/>
    <x v="9"/>
    <n v="6"/>
    <n v="3691.7"/>
    <n v="22150.199999999997"/>
    <n v="2178.1030000000001"/>
    <s v="MT"/>
    <s v="Montana"/>
    <s v="West"/>
    <n v="3720639.645"/>
    <n v="13068.618"/>
    <n v="9081.5820000000003"/>
    <n v="41"/>
    <s v="December"/>
    <n v="12"/>
    <s v="2017-12"/>
    <x v="1"/>
  </r>
  <r>
    <s v="SO - 000616"/>
    <d v="2017-12-11T00:00:00"/>
    <s v="Jayo Company"/>
    <s v="Distributor"/>
    <x v="1"/>
    <n v="7"/>
    <n v="5849.1"/>
    <n v="40943.700000000004"/>
    <n v="3041.5320000000002"/>
    <s v="NY"/>
    <s v="New York"/>
    <s v="Northeast"/>
    <n v="5342315.4840000002"/>
    <n v="21290.723999999998"/>
    <n v="19652.975999999999"/>
    <n v="48"/>
    <s v="December"/>
    <n v="12"/>
    <s v="2017-12"/>
    <x v="1"/>
  </r>
  <r>
    <s v="SO - 0002371"/>
    <d v="2017-12-11T00:00:00"/>
    <s v="Viva Ltd"/>
    <s v="Wholesale"/>
    <x v="21"/>
    <n v="7"/>
    <n v="1098.8"/>
    <n v="7691.5999999999995"/>
    <n v="879.04"/>
    <s v="OH"/>
    <s v="Ohio"/>
    <s v="Midwest"/>
    <n v="1230458.4839999999"/>
    <n v="6153.28"/>
    <n v="1538.3199999999899"/>
    <n v="20"/>
    <s v="December"/>
    <n v="12"/>
    <s v="2017-12"/>
    <x v="1"/>
  </r>
  <r>
    <s v="SO - 0002402"/>
    <d v="2017-12-11T00:00:00"/>
    <s v="Clinique Ltd"/>
    <s v="Wholesale"/>
    <x v="15"/>
    <n v="6"/>
    <n v="5976.4"/>
    <n v="35858.399999999994"/>
    <n v="3585.84"/>
    <s v="IL"/>
    <s v="Illinois"/>
    <s v="Midwest"/>
    <n v="2062061.1440000001"/>
    <n v="21515.040000000001"/>
    <n v="14343.36"/>
    <n v="40"/>
    <s v="December"/>
    <n v="12"/>
    <s v="2017-12"/>
    <x v="1"/>
  </r>
  <r>
    <s v="SO - 0004133"/>
    <d v="2017-12-11T00:00:00"/>
    <s v="Sanum-Kehl Group"/>
    <s v="Distributor"/>
    <x v="13"/>
    <n v="5"/>
    <n v="1728.6"/>
    <n v="8643"/>
    <n v="1123.5899999999999"/>
    <s v="CA"/>
    <s v="California"/>
    <s v="West"/>
    <n v="3299478.3149999999"/>
    <n v="5617.95"/>
    <n v="3025.0499999999902"/>
    <n v="34.999999999999901"/>
    <s v="December"/>
    <n v="12"/>
    <s v="2017-12"/>
    <x v="1"/>
  </r>
  <r>
    <s v="SO - 0005743"/>
    <d v="2017-12-11T00:00:00"/>
    <s v="Kare Corp"/>
    <s v="Distributor"/>
    <x v="9"/>
    <n v="8"/>
    <n v="1232.8"/>
    <n v="9862.4"/>
    <n v="493.12"/>
    <s v="IN"/>
    <s v="Indiana"/>
    <s v="Midwest"/>
    <n v="3720639.645"/>
    <n v="3944.96"/>
    <n v="5917.44"/>
    <n v="60"/>
    <s v="December"/>
    <n v="12"/>
    <s v="2017-12"/>
    <x v="1"/>
  </r>
  <r>
    <s v="SO - 0008540"/>
    <d v="2017-12-11T00:00:00"/>
    <s v="Realbridge Corp"/>
    <s v="Distributor"/>
    <x v="19"/>
    <n v="10"/>
    <n v="2278"/>
    <n v="22780"/>
    <n v="1526.26"/>
    <s v="MD"/>
    <s v="Maryland"/>
    <s v="South"/>
    <n v="2885560.824"/>
    <n v="15262.6"/>
    <n v="7517.4"/>
    <n v="32.999999999999901"/>
    <s v="December"/>
    <n v="12"/>
    <s v="2017-12"/>
    <x v="1"/>
  </r>
  <r>
    <s v="SO - 0009106"/>
    <d v="2017-12-11T00:00:00"/>
    <s v="Podcat Corp"/>
    <s v="Wholesale"/>
    <x v="19"/>
    <n v="6"/>
    <n v="3035.1"/>
    <n v="18210.599999999999"/>
    <n v="1699.6559999999999"/>
    <s v="CA"/>
    <s v="California"/>
    <s v="West"/>
    <n v="2885560.824"/>
    <n v="10197.936"/>
    <n v="8012.6639999999898"/>
    <n v="43.999999999999901"/>
    <s v="December"/>
    <n v="12"/>
    <s v="2017-12"/>
    <x v="1"/>
  </r>
  <r>
    <s v="SO - 0009891"/>
    <d v="2017-12-11T00:00:00"/>
    <s v="Mita Corp"/>
    <s v="Distributor"/>
    <x v="2"/>
    <n v="6"/>
    <n v="3819"/>
    <n v="22914"/>
    <n v="2864.25"/>
    <s v="IL"/>
    <s v="Illinois"/>
    <s v="Midwest"/>
    <n v="4028698.409"/>
    <n v="17185.5"/>
    <n v="5728.5"/>
    <n v="25"/>
    <s v="December"/>
    <n v="12"/>
    <s v="2017-12"/>
    <x v="1"/>
  </r>
  <r>
    <s v="SO - 000154"/>
    <d v="2017-12-12T00:00:00"/>
    <s v="Cogidoo Company"/>
    <s v="Export"/>
    <x v="13"/>
    <n v="7"/>
    <n v="3825.7"/>
    <n v="26779.899999999998"/>
    <n v="2257.163"/>
    <s v="CA"/>
    <s v="California"/>
    <s v="West"/>
    <n v="3299478.3149999999"/>
    <n v="15800.141"/>
    <n v="10979.759"/>
    <n v="41"/>
    <s v="December"/>
    <n v="12"/>
    <s v="2017-12"/>
    <x v="1"/>
  </r>
  <r>
    <s v="SO - 0002248"/>
    <d v="2017-12-12T00:00:00"/>
    <s v="Avamba Company"/>
    <s v="Wholesale"/>
    <x v="1"/>
    <n v="6"/>
    <n v="167.5"/>
    <n v="1005"/>
    <n v="108.875"/>
    <s v="CA"/>
    <s v="California"/>
    <s v="West"/>
    <n v="5342315.4840000002"/>
    <n v="653.25"/>
    <n v="351.75"/>
    <n v="35"/>
    <s v="December"/>
    <n v="12"/>
    <s v="2017-12"/>
    <x v="1"/>
  </r>
  <r>
    <s v="SO - 0002599"/>
    <d v="2017-12-12T00:00:00"/>
    <s v="Valeant Corp"/>
    <s v="Wholesale"/>
    <x v="1"/>
    <n v="5"/>
    <n v="1045.2"/>
    <n v="5226"/>
    <n v="637.572"/>
    <s v="FL"/>
    <s v="Florida"/>
    <s v="South"/>
    <n v="5342315.4840000002"/>
    <n v="3187.86"/>
    <n v="2038.1399999999901"/>
    <n v="38.999999999999901"/>
    <s v="December"/>
    <n v="12"/>
    <s v="2017-12"/>
    <x v="1"/>
  </r>
  <r>
    <s v="SO - 0004278"/>
    <d v="2017-12-12T00:00:00"/>
    <s v="Alk-Abello Ltd"/>
    <s v="Distributor"/>
    <x v="1"/>
    <n v="8"/>
    <n v="904.5"/>
    <n v="7236"/>
    <n v="723.6"/>
    <s v="WI"/>
    <s v="Wisconsin"/>
    <s v="Midwest"/>
    <n v="5342315.4840000002"/>
    <n v="5788.8"/>
    <n v="1447.19999999999"/>
    <n v="20"/>
    <s v="December"/>
    <n v="12"/>
    <s v="2017-12"/>
    <x v="1"/>
  </r>
  <r>
    <s v="SO - 0010003"/>
    <d v="2017-12-12T00:00:00"/>
    <s v="Bta Corp"/>
    <s v="Distributor"/>
    <x v="27"/>
    <n v="6"/>
    <n v="5299.7"/>
    <n v="31798.199999999997"/>
    <n v="2172.877"/>
    <s v="MI"/>
    <s v="Michigan"/>
    <s v="Midwest"/>
    <n v="2067108.1199999901"/>
    <n v="13037.261999999901"/>
    <n v="18760.937999999998"/>
    <n v="59"/>
    <s v="December"/>
    <n v="12"/>
    <s v="2017-12"/>
    <x v="1"/>
  </r>
  <r>
    <s v="SO - 0009937"/>
    <d v="2017-12-12T00:00:00"/>
    <s v="Organon Corp"/>
    <s v="Wholesale"/>
    <x v="4"/>
    <n v="7"/>
    <n v="1943"/>
    <n v="13601"/>
    <n v="835.49"/>
    <s v="CT"/>
    <s v="Connecticut"/>
    <s v="Northeast"/>
    <n v="2309499.0449999999"/>
    <n v="5848.43"/>
    <n v="7752.57"/>
    <n v="56.999999999999901"/>
    <s v="December"/>
    <n v="12"/>
    <s v="2017-12"/>
    <x v="1"/>
  </r>
  <r>
    <s v="SO - 000801"/>
    <d v="2017-12-12T00:00:00"/>
    <s v="Yodoo Ltd"/>
    <s v="Wholesale"/>
    <x v="11"/>
    <n v="5"/>
    <n v="1065.3"/>
    <n v="5326.5"/>
    <n v="671.13900000000001"/>
    <s v="IL"/>
    <s v="Illinois"/>
    <s v="Midwest"/>
    <n v="5685138.2699999996"/>
    <n v="3355.6950000000002"/>
    <n v="1970.8049999999901"/>
    <n v="37"/>
    <s v="December"/>
    <n v="12"/>
    <s v="2017-12"/>
    <x v="1"/>
  </r>
  <r>
    <s v="SO - 0003584"/>
    <d v="2017-12-12T00:00:00"/>
    <s v="Z.H.T. Group"/>
    <s v="Wholesale"/>
    <x v="1"/>
    <n v="12"/>
    <n v="2385.1999999999998"/>
    <n v="28622.399999999998"/>
    <n v="1454.972"/>
    <s v="IL"/>
    <s v="Illinois"/>
    <s v="Midwest"/>
    <n v="5342315.4840000002"/>
    <n v="17459.664000000001"/>
    <n v="11162.735999999901"/>
    <n v="38.999999999999901"/>
    <s v="December"/>
    <n v="12"/>
    <s v="2017-12"/>
    <x v="1"/>
  </r>
  <r>
    <s v="SO - 0003889"/>
    <d v="2017-12-12T00:00:00"/>
    <s v="Dazzlesphe Corp"/>
    <s v="Wholesale"/>
    <x v="13"/>
    <n v="5"/>
    <n v="1882.7"/>
    <n v="9413.5"/>
    <n v="903.69600000000003"/>
    <s v="CA"/>
    <s v="California"/>
    <s v="West"/>
    <n v="3299478.3149999999"/>
    <n v="4518.4799999999996"/>
    <n v="4895.0199999999904"/>
    <n v="51.999999999999901"/>
    <s v="December"/>
    <n v="12"/>
    <s v="2017-12"/>
    <x v="1"/>
  </r>
  <r>
    <s v="SO - 0005697"/>
    <d v="2017-12-12T00:00:00"/>
    <s v="Linklinks Ltd"/>
    <s v="Distributor"/>
    <x v="11"/>
    <n v="10"/>
    <n v="1983.2"/>
    <n v="19832"/>
    <n v="1189.92"/>
    <s v="IL"/>
    <s v="Illinois"/>
    <s v="Midwest"/>
    <n v="5685138.2699999996"/>
    <n v="11899.2"/>
    <n v="7932.7999999999902"/>
    <n v="40"/>
    <s v="December"/>
    <n v="12"/>
    <s v="2017-12"/>
    <x v="1"/>
  </r>
  <r>
    <s v="SO - 0008075"/>
    <d v="2017-12-12T00:00:00"/>
    <s v="Zoomdog Corp"/>
    <s v="Wholesale"/>
    <x v="8"/>
    <n v="7"/>
    <n v="790.6"/>
    <n v="5534.2"/>
    <n v="490.17200000000003"/>
    <s v="IL"/>
    <s v="Illinois"/>
    <s v="Midwest"/>
    <n v="663601.902"/>
    <n v="3431.2040000000002"/>
    <n v="2102.9959999999901"/>
    <n v="37.999999999999901"/>
    <s v="December"/>
    <n v="12"/>
    <s v="2017-12"/>
    <x v="1"/>
  </r>
  <r>
    <s v="SO - 0010256"/>
    <d v="2017-12-12T00:00:00"/>
    <s v="Jaxbean Group"/>
    <s v="Wholesale"/>
    <x v="11"/>
    <n v="11"/>
    <n v="1011.7"/>
    <n v="11128.7"/>
    <n v="849.82799999999997"/>
    <s v="VA"/>
    <s v="Virginia"/>
    <s v="South"/>
    <n v="5685138.2699999996"/>
    <n v="9348.1080000000002"/>
    <n v="1780.5920000000001"/>
    <n v="16"/>
    <s v="December"/>
    <n v="12"/>
    <s v="2017-12"/>
    <x v="1"/>
  </r>
  <r>
    <s v="SO - 0008097"/>
    <d v="2017-12-12T00:00:00"/>
    <s v="Skidoo Company"/>
    <s v="Export"/>
    <x v="7"/>
    <n v="9"/>
    <n v="5071.8999999999996"/>
    <n v="45647.1"/>
    <n v="3246.0160000000001"/>
    <s v="CT"/>
    <s v="Connecticut"/>
    <s v="Northeast"/>
    <n v="3050087.5649999999"/>
    <n v="29214.144"/>
    <n v="16432.955999999998"/>
    <n v="36"/>
    <s v="December"/>
    <n v="12"/>
    <s v="2017-12"/>
    <x v="1"/>
  </r>
  <r>
    <s v="SO - 0002778"/>
    <d v="2017-12-12T00:00:00"/>
    <s v="Skidoo Company"/>
    <s v="Distributor"/>
    <x v="6"/>
    <n v="5"/>
    <n v="207.7"/>
    <n v="1038.5"/>
    <n v="168.23699999999999"/>
    <s v="CA"/>
    <s v="California"/>
    <s v="West"/>
    <n v="3925424.5419999999"/>
    <n v="841.18499999999995"/>
    <n v="197.314999999999"/>
    <n v="18.999999999999901"/>
    <s v="December"/>
    <n v="12"/>
    <s v="2017-12"/>
    <x v="1"/>
  </r>
  <r>
    <s v="SO - 0002995"/>
    <d v="2017-12-12T00:00:00"/>
    <s v="Shuffledri Group"/>
    <s v="Distributor"/>
    <x v="9"/>
    <n v="10"/>
    <n v="1936.3"/>
    <n v="19363"/>
    <n v="929.42399999999998"/>
    <s v="IN"/>
    <s v="Indiana"/>
    <s v="Midwest"/>
    <n v="3720639.645"/>
    <n v="9294.24"/>
    <n v="10068.76"/>
    <n v="52"/>
    <s v="December"/>
    <n v="12"/>
    <s v="2017-12"/>
    <x v="1"/>
  </r>
  <r>
    <s v="SO - 0003068"/>
    <d v="2017-12-12T00:00:00"/>
    <s v="Ncs Group"/>
    <s v="Wholesale"/>
    <x v="1"/>
    <n v="6"/>
    <n v="227.8"/>
    <n v="1366.8000000000002"/>
    <n v="152.626"/>
    <s v="FL"/>
    <s v="Florida"/>
    <s v="South"/>
    <n v="5342315.4840000002"/>
    <n v="915.75599999999997"/>
    <n v="451.04399999999998"/>
    <n v="33"/>
    <s v="December"/>
    <n v="12"/>
    <s v="2017-12"/>
    <x v="1"/>
  </r>
  <r>
    <s v="SO - 0003411"/>
    <d v="2017-12-12T00:00:00"/>
    <s v="Feednation Corp"/>
    <s v="Distributor"/>
    <x v="12"/>
    <n v="11"/>
    <n v="2887.7"/>
    <n v="31764.699999999997"/>
    <n v="1443.85"/>
    <s v="IN"/>
    <s v="Indiana"/>
    <s v="Midwest"/>
    <n v="959899.21799999999"/>
    <n v="15882.35"/>
    <n v="15882.35"/>
    <n v="50"/>
    <s v="December"/>
    <n v="12"/>
    <s v="2017-12"/>
    <x v="1"/>
  </r>
  <r>
    <s v="SO - 0003487"/>
    <d v="2017-12-12T00:00:00"/>
    <s v="Zoonder Group"/>
    <s v="Export"/>
    <x v="13"/>
    <n v="5"/>
    <n v="3993.2"/>
    <n v="19966"/>
    <n v="3234.4920000000002"/>
    <s v="IL"/>
    <s v="Illinois"/>
    <s v="Midwest"/>
    <n v="3299478.3149999999"/>
    <n v="16172.46"/>
    <n v="3793.53999999999"/>
    <n v="18.999999999999901"/>
    <s v="December"/>
    <n v="12"/>
    <s v="2017-12"/>
    <x v="1"/>
  </r>
  <r>
    <s v="SO - 0003650"/>
    <d v="2017-12-12T00:00:00"/>
    <s v="Safeway Ltd"/>
    <s v="Distributor"/>
    <x v="27"/>
    <n v="9"/>
    <n v="3832.4"/>
    <n v="34491.599999999999"/>
    <n v="2376.0880000000002"/>
    <s v="CT"/>
    <s v="Connecticut"/>
    <s v="Northeast"/>
    <n v="2067108.1199999901"/>
    <n v="21384.792000000001"/>
    <n v="13106.807999999901"/>
    <n v="37.999999999999901"/>
    <s v="December"/>
    <n v="12"/>
    <s v="2017-12"/>
    <x v="1"/>
  </r>
  <r>
    <s v="SO - 0004970"/>
    <d v="2017-12-12T00:00:00"/>
    <s v="Janyx Group"/>
    <s v="Wholesale"/>
    <x v="9"/>
    <n v="9"/>
    <n v="268"/>
    <n v="2412"/>
    <n v="123.28"/>
    <s v="CA"/>
    <s v="California"/>
    <s v="West"/>
    <n v="3720639.645"/>
    <n v="1109.52"/>
    <n v="1302.48"/>
    <n v="54"/>
    <s v="December"/>
    <n v="12"/>
    <s v="2017-12"/>
    <x v="1"/>
  </r>
  <r>
    <s v="SO - 0005190"/>
    <d v="2017-12-12T00:00:00"/>
    <s v="Viva Ltd"/>
    <s v="Wholesale"/>
    <x v="19"/>
    <n v="7"/>
    <n v="3169.1"/>
    <n v="22183.7"/>
    <n v="2313.4429999999902"/>
    <s v="MO"/>
    <s v="Missouri"/>
    <s v="Midwest"/>
    <n v="2885560.824"/>
    <n v="16194.100999999901"/>
    <n v="5989.5990000000002"/>
    <n v="27"/>
    <s v="December"/>
    <n v="12"/>
    <s v="2017-12"/>
    <x v="1"/>
  </r>
  <r>
    <s v="SO - 0006100"/>
    <d v="2017-12-12T00:00:00"/>
    <s v="Tambee Company"/>
    <s v="Wholesale"/>
    <x v="19"/>
    <n v="8"/>
    <n v="1112.2"/>
    <n v="8897.6"/>
    <n v="556.1"/>
    <s v="GA"/>
    <s v="Georgia"/>
    <s v="South"/>
    <n v="2885560.824"/>
    <n v="4448.8"/>
    <n v="4448.8"/>
    <n v="50"/>
    <s v="December"/>
    <n v="12"/>
    <s v="2017-12"/>
    <x v="1"/>
  </r>
  <r>
    <s v="SO - 0007788"/>
    <d v="2017-12-12T00:00:00"/>
    <s v="Realpoint Corp"/>
    <s v="Distributor"/>
    <x v="15"/>
    <n v="6"/>
    <n v="1922.9"/>
    <n v="11537.400000000001"/>
    <n v="999.90800000000002"/>
    <s v="MA"/>
    <s v="Massachusetts"/>
    <s v="Northeast"/>
    <n v="2062061.1440000001"/>
    <n v="5999.4480000000003"/>
    <n v="5537.9520000000002"/>
    <n v="48"/>
    <s v="December"/>
    <n v="12"/>
    <s v="2017-12"/>
    <x v="1"/>
  </r>
  <r>
    <s v="SO - 0009286"/>
    <d v="2017-12-12T00:00:00"/>
    <s v="Buzzbean Group"/>
    <s v="Wholesale"/>
    <x v="10"/>
    <n v="5"/>
    <n v="2371.8000000000002"/>
    <n v="11859"/>
    <n v="1043.5920000000001"/>
    <s v="TX"/>
    <s v="Texas"/>
    <s v="South"/>
    <n v="1672229.416"/>
    <n v="5217.96"/>
    <n v="6641.03999999999"/>
    <n v="55.999999999999901"/>
    <s v="December"/>
    <n v="12"/>
    <s v="2017-12"/>
    <x v="1"/>
  </r>
  <r>
    <s v="SO - 0003184"/>
    <d v="2017-12-12T00:00:00"/>
    <s v="Zava Group"/>
    <s v="Export"/>
    <x v="21"/>
    <n v="7"/>
    <n v="1943"/>
    <n v="13601"/>
    <n v="1398.96"/>
    <s v="IL"/>
    <s v="Illinois"/>
    <s v="Midwest"/>
    <n v="1230458.4839999999"/>
    <n v="9792.7199999999993"/>
    <n v="3808.2799999999902"/>
    <n v="27.999999999999901"/>
    <s v="December"/>
    <n v="12"/>
    <s v="2017-12"/>
    <x v="1"/>
  </r>
  <r>
    <s v="SO - 0003892"/>
    <d v="2017-12-12T00:00:00"/>
    <s v="Skyble Corp"/>
    <s v="Distributor"/>
    <x v="16"/>
    <n v="7"/>
    <n v="1916.2"/>
    <n v="13413.4"/>
    <n v="804.80399999999997"/>
    <s v="MI"/>
    <s v="Michigan"/>
    <s v="Midwest"/>
    <n v="3016489.2089999998"/>
    <n v="5633.6279999999997"/>
    <n v="7779.7719999999999"/>
    <n v="57.999999999999901"/>
    <s v="December"/>
    <n v="12"/>
    <s v="2017-12"/>
    <x v="1"/>
  </r>
  <r>
    <s v="SO - 0007537"/>
    <d v="2017-12-12T00:00:00"/>
    <s v="Buzzbean Group"/>
    <s v="Wholesale"/>
    <x v="2"/>
    <n v="7"/>
    <n v="1989.9"/>
    <n v="13929.300000000001"/>
    <n v="1114.3440000000001"/>
    <s v="IA"/>
    <s v="Iowa"/>
    <s v="Midwest"/>
    <n v="4028698.409"/>
    <n v="7800.4080000000004"/>
    <n v="6128.8919999999998"/>
    <n v="44"/>
    <s v="December"/>
    <n v="12"/>
    <s v="2017-12"/>
    <x v="1"/>
  </r>
  <r>
    <s v="SO - 0010417"/>
    <d v="2017-12-12T00:00:00"/>
    <s v="Skippad Ltd"/>
    <s v="Wholesale"/>
    <x v="1"/>
    <n v="6"/>
    <n v="3892.7"/>
    <n v="23356.199999999997"/>
    <n v="2880.598"/>
    <s v="CA"/>
    <s v="California"/>
    <s v="West"/>
    <n v="5342315.4840000002"/>
    <n v="17283.588"/>
    <n v="6072.6120000000001"/>
    <n v="26"/>
    <s v="December"/>
    <n v="12"/>
    <s v="2017-12"/>
    <x v="1"/>
  </r>
  <r>
    <s v="SO - 0010270"/>
    <d v="2017-12-12T00:00:00"/>
    <s v="H Ltd"/>
    <s v="Wholesale"/>
    <x v="8"/>
    <n v="10"/>
    <n v="703.5"/>
    <n v="7035"/>
    <n v="464.31"/>
    <s v="CA"/>
    <s v="California"/>
    <s v="West"/>
    <n v="663601.902"/>
    <n v="4643.1000000000004"/>
    <n v="2391.8999999999901"/>
    <n v="34"/>
    <s v="December"/>
    <n v="12"/>
    <s v="2017-12"/>
    <x v="1"/>
  </r>
  <r>
    <s v="SO - 0009354"/>
    <d v="2017-12-12T00:00:00"/>
    <s v="Eire Corp"/>
    <s v="Wholesale"/>
    <x v="21"/>
    <n v="11"/>
    <n v="944.7"/>
    <n v="10391.700000000001"/>
    <n v="765.20699999999999"/>
    <s v="CA"/>
    <s v="California"/>
    <s v="West"/>
    <n v="1230458.4839999999"/>
    <n v="8417.277"/>
    <n v="1974.42299999999"/>
    <n v="18.999999999999901"/>
    <s v="December"/>
    <n v="12"/>
    <s v="2017-12"/>
    <x v="1"/>
  </r>
  <r>
    <s v="SO - 0008247"/>
    <d v="2017-12-12T00:00:00"/>
    <s v="Zoomzone Corp"/>
    <s v="Wholesale"/>
    <x v="1"/>
    <n v="6"/>
    <n v="2432.1"/>
    <n v="14592.599999999999"/>
    <n v="1361.9760000000001"/>
    <s v="CA"/>
    <s v="California"/>
    <s v="West"/>
    <n v="5342315.4840000002"/>
    <n v="8171.8559999999998"/>
    <n v="6420.7439999999897"/>
    <n v="43.999999999999901"/>
    <s v="December"/>
    <n v="12"/>
    <s v="2017-12"/>
    <x v="1"/>
  </r>
  <r>
    <s v="SO - 0002881"/>
    <d v="2017-12-12T00:00:00"/>
    <s v="Jabbercube Corp"/>
    <s v="Distributor"/>
    <x v="15"/>
    <n v="9"/>
    <n v="1159.0999999999999"/>
    <n v="10431.9"/>
    <n v="811.37"/>
    <s v="NY"/>
    <s v="New York"/>
    <s v="Northeast"/>
    <n v="2062061.1440000001"/>
    <n v="7302.33"/>
    <n v="3129.57"/>
    <n v="30"/>
    <s v="December"/>
    <n v="12"/>
    <s v="2017-12"/>
    <x v="1"/>
  </r>
  <r>
    <s v="SO - 0004441"/>
    <d v="2017-12-12T00:00:00"/>
    <s v="Roomm Company"/>
    <s v="Wholesale"/>
    <x v="14"/>
    <n v="6"/>
    <n v="1078.7"/>
    <n v="6472.2000000000007"/>
    <n v="506.98899999999998"/>
    <s v="CT"/>
    <s v="Connecticut"/>
    <s v="Northeast"/>
    <n v="2119616.824"/>
    <n v="3041.9339999999902"/>
    <n v="3430.2660000000001"/>
    <n v="53"/>
    <s v="December"/>
    <n v="12"/>
    <s v="2017-12"/>
    <x v="1"/>
  </r>
  <r>
    <s v="SO - 0007331"/>
    <d v="2017-12-12T00:00:00"/>
    <s v="Fivechat Company"/>
    <s v="Export"/>
    <x v="24"/>
    <n v="10"/>
    <n v="1031.8"/>
    <n v="10318"/>
    <n v="546.85400000000004"/>
    <s v="CA"/>
    <s v="California"/>
    <s v="West"/>
    <n v="594471.56999999995"/>
    <n v="5468.54"/>
    <n v="4849.45999999999"/>
    <n v="46.999999999999901"/>
    <s v="December"/>
    <n v="12"/>
    <s v="2017-12"/>
    <x v="1"/>
  </r>
  <r>
    <s v="SO - 0008029"/>
    <d v="2017-12-12T00:00:00"/>
    <s v="Mydo Corp"/>
    <s v="Wholesale"/>
    <x v="17"/>
    <n v="11"/>
    <n v="3390.2"/>
    <n v="37292.199999999997"/>
    <n v="1729.002"/>
    <s v="CA"/>
    <s v="California"/>
    <s v="West"/>
    <n v="2642352.432"/>
    <n v="19019.022000000001"/>
    <n v="18273.178"/>
    <n v="49"/>
    <s v="December"/>
    <n v="12"/>
    <s v="2017-12"/>
    <x v="1"/>
  </r>
  <r>
    <s v="SO - 0009730"/>
    <d v="2017-12-12T00:00:00"/>
    <s v="H Ltd"/>
    <s v="Wholesale"/>
    <x v="1"/>
    <n v="6"/>
    <n v="2445.5"/>
    <n v="14673"/>
    <n v="1980.855"/>
    <s v="NJ"/>
    <s v="New Jersey"/>
    <s v="Northeast"/>
    <n v="5342315.4840000002"/>
    <n v="11885.13"/>
    <n v="2787.8699999999899"/>
    <n v="18.999999999999901"/>
    <s v="December"/>
    <n v="12"/>
    <s v="2017-12"/>
    <x v="1"/>
  </r>
  <r>
    <s v="SO - 0010079"/>
    <d v="2017-12-12T00:00:00"/>
    <s v="Natures Group"/>
    <s v="Distributor"/>
    <x v="22"/>
    <n v="6"/>
    <n v="3993.2"/>
    <n v="23959.199999999997"/>
    <n v="1677.144"/>
    <s v="SC"/>
    <s v="South Carolina"/>
    <s v="South"/>
    <n v="710415.40500000003"/>
    <n v="10062.864"/>
    <n v="13896.335999999999"/>
    <n v="58"/>
    <s v="December"/>
    <n v="12"/>
    <s v="2017-12"/>
    <x v="1"/>
  </r>
  <r>
    <s v="SO - 0002160"/>
    <d v="2017-12-12T00:00:00"/>
    <s v="Talane Group"/>
    <s v="Distributor"/>
    <x v="4"/>
    <n v="5"/>
    <n v="1065.3"/>
    <n v="5326.5"/>
    <n v="703.09799999999996"/>
    <s v="IN"/>
    <s v="Indiana"/>
    <s v="Midwest"/>
    <n v="2309499.0449999999"/>
    <n v="3515.49"/>
    <n v="1811.01"/>
    <n v="34"/>
    <s v="December"/>
    <n v="12"/>
    <s v="2017-12"/>
    <x v="1"/>
  </r>
  <r>
    <s v="SO - 0002855"/>
    <d v="2017-12-12T00:00:00"/>
    <s v="Deseret Group"/>
    <s v="Export"/>
    <x v="11"/>
    <n v="11"/>
    <n v="5165.7"/>
    <n v="56822.7"/>
    <n v="2996.1059999999902"/>
    <s v="OK"/>
    <s v="Oklahoma"/>
    <s v="South"/>
    <n v="5685138.2699999996"/>
    <n v="32957.165999999997"/>
    <n v="23865.534"/>
    <n v="42"/>
    <s v="December"/>
    <n v="12"/>
    <s v="2017-12"/>
    <x v="1"/>
  </r>
  <r>
    <s v="SO - 0003720"/>
    <d v="2017-12-12T00:00:00"/>
    <s v="Eire Corp"/>
    <s v="Export"/>
    <x v="20"/>
    <n v="7"/>
    <n v="2345"/>
    <n v="16415"/>
    <n v="1664.94999999999"/>
    <s v="WA"/>
    <s v="Washington"/>
    <s v="West"/>
    <n v="964940.23100000003"/>
    <n v="11654.6499999999"/>
    <n v="4760.3500000000004"/>
    <n v="29"/>
    <s v="December"/>
    <n v="12"/>
    <s v="2017-12"/>
    <x v="1"/>
  </r>
  <r>
    <s v="SO - 0004741"/>
    <d v="2017-12-12T00:00:00"/>
    <s v="Wockhardt Group"/>
    <s v="Wholesale"/>
    <x v="11"/>
    <n v="11"/>
    <n v="1051.9000000000001"/>
    <n v="11570.900000000001"/>
    <n v="683.73500000000001"/>
    <s v="KS"/>
    <s v="Kansas"/>
    <s v="Midwest"/>
    <n v="5685138.2699999996"/>
    <n v="7521.085"/>
    <n v="4049.8150000000001"/>
    <n v="35"/>
    <s v="December"/>
    <n v="12"/>
    <s v="2017-12"/>
    <x v="1"/>
  </r>
  <r>
    <s v="SO - 0006889"/>
    <d v="2017-12-12T00:00:00"/>
    <s v="Skidoo Company"/>
    <s v="Wholesale"/>
    <x v="7"/>
    <n v="9"/>
    <n v="2505.8000000000002"/>
    <n v="22552.2"/>
    <n v="1077.4939999999999"/>
    <s v="CA"/>
    <s v="California"/>
    <s v="West"/>
    <n v="3050087.5649999999"/>
    <n v="9697.4459999999999"/>
    <n v="12854.753999999901"/>
    <n v="56.999999999999901"/>
    <s v="December"/>
    <n v="12"/>
    <s v="2017-12"/>
    <x v="1"/>
  </r>
  <r>
    <s v="SO - 0006977"/>
    <d v="2017-12-12T00:00:00"/>
    <s v="Tambee Company"/>
    <s v="Distributor"/>
    <x v="29"/>
    <n v="5"/>
    <n v="167.5"/>
    <n v="837.5"/>
    <n v="73.7"/>
    <s v="MN"/>
    <s v="Minnesota"/>
    <s v="Midwest"/>
    <n v="864331.62399999995"/>
    <n v="368.5"/>
    <n v="469"/>
    <n v="56"/>
    <s v="December"/>
    <n v="12"/>
    <s v="2017-12"/>
    <x v="1"/>
  </r>
  <r>
    <s v="SO - 0008648"/>
    <d v="2017-12-12T00:00:00"/>
    <s v="Rhynoodle Ltd"/>
    <s v="Distributor"/>
    <x v="2"/>
    <n v="6"/>
    <n v="3832.4"/>
    <n v="22994.400000000001"/>
    <n v="3104.2440000000001"/>
    <s v="FL"/>
    <s v="Florida"/>
    <s v="South"/>
    <n v="4028698.409"/>
    <n v="18625.464"/>
    <n v="4368.9359999999997"/>
    <n v="19"/>
    <s v="December"/>
    <n v="12"/>
    <s v="2017-12"/>
    <x v="1"/>
  </r>
  <r>
    <s v="SO - 0001652"/>
    <d v="2017-12-13T00:00:00"/>
    <s v="Rhynoodle Ltd"/>
    <s v="Distributor"/>
    <x v="21"/>
    <n v="10"/>
    <n v="2706.8"/>
    <n v="27068"/>
    <n v="1651.1479999999999"/>
    <s v="DE"/>
    <s v="Delaware"/>
    <s v="South"/>
    <n v="1230458.4839999999"/>
    <n v="16511.48"/>
    <n v="10556.5199999999"/>
    <n v="38.999999999999901"/>
    <s v="December"/>
    <n v="12"/>
    <s v="2017-12"/>
    <x v="1"/>
  </r>
  <r>
    <s v="SO - 0002308"/>
    <d v="2017-12-13T00:00:00"/>
    <s v="Twinte Group"/>
    <s v="Distributor"/>
    <x v="9"/>
    <n v="6"/>
    <n v="2378.5"/>
    <n v="14271"/>
    <n v="1236.82"/>
    <s v="NJ"/>
    <s v="New Jersey"/>
    <s v="Northeast"/>
    <n v="3720639.645"/>
    <n v="7420.92"/>
    <n v="6850.08"/>
    <n v="48"/>
    <s v="December"/>
    <n v="12"/>
    <s v="2017-12"/>
    <x v="1"/>
  </r>
  <r>
    <s v="SO - 0006096"/>
    <d v="2017-12-13T00:00:00"/>
    <s v="Z.H.T. Group"/>
    <s v="Distributor"/>
    <x v="12"/>
    <n v="10"/>
    <n v="268"/>
    <n v="2680"/>
    <n v="198.32"/>
    <s v="IL"/>
    <s v="Illinois"/>
    <s v="Midwest"/>
    <n v="959899.21799999999"/>
    <n v="1983.19999999999"/>
    <n v="696.8"/>
    <n v="26"/>
    <s v="December"/>
    <n v="12"/>
    <s v="2017-12"/>
    <x v="1"/>
  </r>
  <r>
    <s v="SO - 0006707"/>
    <d v="2017-12-13T00:00:00"/>
    <s v="Zooveo Company"/>
    <s v="Wholesale"/>
    <x v="11"/>
    <n v="7"/>
    <n v="1005"/>
    <n v="7035"/>
    <n v="432.15"/>
    <s v="ID"/>
    <s v="Idaho"/>
    <s v="West"/>
    <n v="5685138.2699999996"/>
    <n v="3025.0499999999902"/>
    <n v="4009.95"/>
    <n v="57"/>
    <s v="December"/>
    <n v="12"/>
    <s v="2017-12"/>
    <x v="1"/>
  </r>
  <r>
    <s v="SO - 0008009"/>
    <d v="2017-12-13T00:00:00"/>
    <s v="Holston Company"/>
    <s v="Wholesale"/>
    <x v="23"/>
    <n v="10"/>
    <n v="1896.1"/>
    <n v="18961"/>
    <n v="1611.6849999999999"/>
    <s v="CA"/>
    <s v="California"/>
    <s v="West"/>
    <n v="1645841.6"/>
    <n v="16116.85"/>
    <n v="2844.1499999999901"/>
    <n v="14.999999999999901"/>
    <s v="December"/>
    <n v="12"/>
    <s v="2017-12"/>
    <x v="1"/>
  </r>
  <r>
    <s v="SO - 0008339"/>
    <d v="2017-12-13T00:00:00"/>
    <s v="Cardinal Group"/>
    <s v="Wholesale"/>
    <x v="3"/>
    <n v="11"/>
    <n v="2378.5"/>
    <n v="26163.5"/>
    <n v="1403.3149999999901"/>
    <s v="TX"/>
    <s v="Texas"/>
    <s v="South"/>
    <n v="1085037.3289999999"/>
    <n v="15436.4649999999"/>
    <n v="10727.035"/>
    <n v="41"/>
    <s v="December"/>
    <n v="12"/>
    <s v="2017-12"/>
    <x v="1"/>
  </r>
  <r>
    <s v="SO - 0009318"/>
    <d v="2017-12-13T00:00:00"/>
    <s v="Cardinal Group"/>
    <s v="Distributor"/>
    <x v="10"/>
    <n v="6"/>
    <n v="268"/>
    <n v="1608"/>
    <n v="171.52"/>
    <s v="CA"/>
    <s v="California"/>
    <s v="West"/>
    <n v="1672229.416"/>
    <n v="1029.1199999999999"/>
    <n v="578.87999999999897"/>
    <n v="35.999999999999901"/>
    <s v="December"/>
    <n v="12"/>
    <s v="2017-12"/>
    <x v="1"/>
  </r>
  <r>
    <s v="SO - 0001923"/>
    <d v="2017-12-13T00:00:00"/>
    <s v="Safeway Ltd"/>
    <s v="Distributor"/>
    <x v="1"/>
    <n v="12"/>
    <n v="6344.9"/>
    <n v="76138.799999999988"/>
    <n v="3806.94"/>
    <s v="IL"/>
    <s v="Illinois"/>
    <s v="Midwest"/>
    <n v="5342315.4840000002"/>
    <n v="45683.28"/>
    <n v="30455.52"/>
    <n v="40"/>
    <s v="December"/>
    <n v="12"/>
    <s v="2017-12"/>
    <x v="1"/>
  </r>
  <r>
    <s v="SO - 0006626"/>
    <d v="2017-12-13T00:00:00"/>
    <s v="Vimbo Company"/>
    <s v="Wholesale"/>
    <x v="19"/>
    <n v="8"/>
    <n v="2472.3000000000002"/>
    <n v="19778.400000000001"/>
    <n v="988.92"/>
    <s v="MI"/>
    <s v="Michigan"/>
    <s v="Midwest"/>
    <n v="2885560.824"/>
    <n v="7911.36"/>
    <n v="11867.04"/>
    <n v="60"/>
    <s v="December"/>
    <n v="12"/>
    <s v="2017-12"/>
    <x v="1"/>
  </r>
  <r>
    <s v="SO - 0007507"/>
    <d v="2017-12-13T00:00:00"/>
    <s v="Actavis Company"/>
    <s v="Wholesale"/>
    <x v="2"/>
    <n v="5"/>
    <n v="1701.8"/>
    <n v="8509"/>
    <n v="1412.4939999999999"/>
    <s v="MA"/>
    <s v="Massachusetts"/>
    <s v="Northeast"/>
    <n v="4028698.409"/>
    <n v="7062.4699999999903"/>
    <n v="1446.53"/>
    <n v="17"/>
    <s v="December"/>
    <n v="12"/>
    <s v="2017-12"/>
    <x v="1"/>
  </r>
  <r>
    <s v="SO - 0009630"/>
    <d v="2017-12-13T00:00:00"/>
    <s v="Voolia Ltd"/>
    <s v="Export"/>
    <x v="10"/>
    <n v="12"/>
    <n v="194.3"/>
    <n v="2331.6000000000004"/>
    <n v="130.18100000000001"/>
    <s v="NV"/>
    <s v="Nevada"/>
    <s v="West"/>
    <n v="1672229.416"/>
    <n v="1562.172"/>
    <n v="769.428"/>
    <n v="33"/>
    <s v="December"/>
    <n v="12"/>
    <s v="2017-12"/>
    <x v="1"/>
  </r>
  <r>
    <s v="SO - 0010095"/>
    <d v="2017-12-13T00:00:00"/>
    <s v="Woonsocket Corp"/>
    <s v="Wholesale"/>
    <x v="19"/>
    <n v="12"/>
    <n v="3624.7"/>
    <n v="43496.399999999994"/>
    <n v="2646.0309999999999"/>
    <s v="CA"/>
    <s v="California"/>
    <s v="West"/>
    <n v="2885560.824"/>
    <n v="31752.371999999999"/>
    <n v="11744.028"/>
    <n v="27"/>
    <s v="December"/>
    <n v="12"/>
    <s v="2017-12"/>
    <x v="1"/>
  </r>
  <r>
    <s v="SO - 000629"/>
    <d v="2017-12-13T00:00:00"/>
    <s v="Devpoint Group"/>
    <s v="Wholesale"/>
    <x v="11"/>
    <n v="7"/>
    <n v="1152.4000000000001"/>
    <n v="8066.8000000000011"/>
    <n v="507.05599999999998"/>
    <s v="FL"/>
    <s v="Florida"/>
    <s v="South"/>
    <n v="5685138.2699999996"/>
    <n v="3549.3919999999998"/>
    <n v="4517.4080000000004"/>
    <n v="56"/>
    <s v="December"/>
    <n v="12"/>
    <s v="2017-12"/>
    <x v="1"/>
  </r>
  <r>
    <s v="SO - 0002763"/>
    <d v="2017-12-13T00:00:00"/>
    <s v="Voonyx Group"/>
    <s v="Distributor"/>
    <x v="9"/>
    <n v="10"/>
    <n v="247.9"/>
    <n v="2479"/>
    <n v="156.17699999999999"/>
    <s v="AL"/>
    <s v="Alabama"/>
    <s v="South"/>
    <n v="3720639.645"/>
    <n v="1561.77"/>
    <n v="917.23"/>
    <n v="37"/>
    <s v="December"/>
    <n v="12"/>
    <s v="2017-12"/>
    <x v="1"/>
  </r>
  <r>
    <s v="SO - 0003087"/>
    <d v="2017-12-13T00:00:00"/>
    <s v="Gabvine Ltd"/>
    <s v="Distributor"/>
    <x v="2"/>
    <n v="8"/>
    <n v="1695.1"/>
    <n v="13560.8"/>
    <n v="915.35400000000004"/>
    <s v="OH"/>
    <s v="Ohio"/>
    <s v="Midwest"/>
    <n v="4028698.409"/>
    <n v="7322.8320000000003"/>
    <n v="6237.9679999999998"/>
    <n v="46"/>
    <s v="December"/>
    <n v="12"/>
    <s v="2017-12"/>
    <x v="1"/>
  </r>
  <r>
    <s v="SO - 0003511"/>
    <d v="2017-12-13T00:00:00"/>
    <s v="Johnson Ltd"/>
    <s v="Wholesale"/>
    <x v="2"/>
    <n v="8"/>
    <n v="683.4"/>
    <n v="5467.2"/>
    <n v="369.036"/>
    <s v="TX"/>
    <s v="Texas"/>
    <s v="South"/>
    <n v="4028698.409"/>
    <n v="2952.288"/>
    <n v="2514.9119999999998"/>
    <n v="46"/>
    <s v="December"/>
    <n v="12"/>
    <s v="2017-12"/>
    <x v="1"/>
  </r>
  <r>
    <s v="SO - 0004484"/>
    <d v="2017-12-13T00:00:00"/>
    <s v="Good Ltd"/>
    <s v="Distributor"/>
    <x v="3"/>
    <n v="11"/>
    <n v="2572.8000000000002"/>
    <n v="28300.800000000003"/>
    <n v="1517.952"/>
    <s v="FL"/>
    <s v="Florida"/>
    <s v="South"/>
    <n v="1085037.3289999999"/>
    <n v="16697.472000000002"/>
    <n v="11603.328"/>
    <n v="41"/>
    <s v="December"/>
    <n v="12"/>
    <s v="2017-12"/>
    <x v="1"/>
  </r>
  <r>
    <s v="SO - 0008740"/>
    <d v="2017-12-13T00:00:00"/>
    <s v="Valeant Corp"/>
    <s v="Wholesale"/>
    <x v="27"/>
    <n v="5"/>
    <n v="1098.8"/>
    <n v="5494"/>
    <n v="769.16"/>
    <s v="CO"/>
    <s v="Colorado"/>
    <s v="West"/>
    <n v="2067108.1199999901"/>
    <n v="3845.7999999999902"/>
    <n v="1648.2"/>
    <n v="30"/>
    <s v="December"/>
    <n v="12"/>
    <s v="2017-12"/>
    <x v="1"/>
  </r>
  <r>
    <s v="SO - 0009501"/>
    <d v="2017-12-13T00:00:00"/>
    <s v="Realbuzz Ltd"/>
    <s v="Wholesale"/>
    <x v="9"/>
    <n v="11"/>
    <n v="783.9"/>
    <n v="8622.9"/>
    <n v="399.78899999999999"/>
    <s v="VA"/>
    <s v="Virginia"/>
    <s v="South"/>
    <n v="3720639.645"/>
    <n v="4397.6790000000001"/>
    <n v="4225.2209999999995"/>
    <n v="49"/>
    <s v="December"/>
    <n v="12"/>
    <s v="2017-12"/>
    <x v="1"/>
  </r>
  <r>
    <s v="SO - 0005077"/>
    <d v="2017-12-13T00:00:00"/>
    <s v="Family Corp"/>
    <s v="Wholesale"/>
    <x v="1"/>
    <n v="12"/>
    <n v="1112.2"/>
    <n v="13346.400000000001"/>
    <n v="645.07600000000002"/>
    <s v="CA"/>
    <s v="California"/>
    <s v="West"/>
    <n v="5342315.4840000002"/>
    <n v="7740.9120000000003"/>
    <n v="5605.4880000000003"/>
    <n v="42"/>
    <s v="December"/>
    <n v="12"/>
    <s v="2017-12"/>
    <x v="1"/>
  </r>
  <r>
    <s v="SO - 0007061"/>
    <d v="2017-12-13T00:00:00"/>
    <s v="Tekfly Group"/>
    <s v="Wholesale"/>
    <x v="8"/>
    <n v="9"/>
    <n v="2599.6"/>
    <n v="23396.399999999998"/>
    <n v="2209.66"/>
    <s v="IL"/>
    <s v="Illinois"/>
    <s v="Midwest"/>
    <n v="663601.902"/>
    <n v="19886.939999999999"/>
    <n v="3509.45999999999"/>
    <n v="14.999999999999901"/>
    <s v="December"/>
    <n v="12"/>
    <s v="2017-12"/>
    <x v="1"/>
  </r>
  <r>
    <s v="SO - 0007265"/>
    <d v="2017-12-13T00:00:00"/>
    <s v="Vinte Group"/>
    <s v="Export"/>
    <x v="15"/>
    <n v="8"/>
    <n v="837.5"/>
    <n v="6700"/>
    <n v="452.25"/>
    <s v="GA"/>
    <s v="Georgia"/>
    <s v="South"/>
    <n v="2062061.1440000001"/>
    <n v="3618"/>
    <n v="3081.99999999999"/>
    <n v="45.999999999999901"/>
    <s v="December"/>
    <n v="12"/>
    <s v="2017-12"/>
    <x v="1"/>
  </r>
  <r>
    <s v="SO - 0010176"/>
    <d v="2017-12-13T00:00:00"/>
    <s v="Feednation Corp"/>
    <s v="Distributor"/>
    <x v="23"/>
    <n v="12"/>
    <n v="1996.6"/>
    <n v="23959.199999999997"/>
    <n v="1677.144"/>
    <s v="FL"/>
    <s v="Florida"/>
    <s v="South"/>
    <n v="1645841.6"/>
    <n v="20125.727999999999"/>
    <n v="3833.4720000000002"/>
    <n v="16"/>
    <s v="December"/>
    <n v="12"/>
    <s v="2017-12"/>
    <x v="1"/>
  </r>
  <r>
    <s v="SO - 0004758"/>
    <d v="2017-12-13T00:00:00"/>
    <s v="Cadila Ltd"/>
    <s v="Export"/>
    <x v="10"/>
    <n v="9"/>
    <n v="1132.3"/>
    <n v="10190.699999999999"/>
    <n v="837.90199999999902"/>
    <s v="WA"/>
    <s v="Washington"/>
    <s v="West"/>
    <n v="1672229.416"/>
    <n v="7541.1179999999904"/>
    <n v="2649.5819999999899"/>
    <n v="25.999999999999901"/>
    <s v="December"/>
    <n v="12"/>
    <s v="2017-12"/>
    <x v="1"/>
  </r>
  <r>
    <s v="SO - 0006980"/>
    <d v="2017-12-13T00:00:00"/>
    <s v="Organon Corp"/>
    <s v="Wholesale"/>
    <x v="4"/>
    <n v="9"/>
    <n v="6016.6"/>
    <n v="54149.4"/>
    <n v="3429.462"/>
    <s v="MD"/>
    <s v="Maryland"/>
    <s v="South"/>
    <n v="2309499.0449999999"/>
    <n v="30865.157999999999"/>
    <n v="23284.241999999998"/>
    <n v="43"/>
    <s v="December"/>
    <n v="12"/>
    <s v="2017-12"/>
    <x v="1"/>
  </r>
  <r>
    <s v="SO - 0007778"/>
    <d v="2017-12-13T00:00:00"/>
    <s v="Pfizer Corp"/>
    <s v="Distributor"/>
    <x v="1"/>
    <n v="12"/>
    <n v="5266.2"/>
    <n v="63194.399999999994"/>
    <n v="2211.8039999999901"/>
    <s v="KS"/>
    <s v="Kansas"/>
    <s v="Midwest"/>
    <n v="5342315.4840000002"/>
    <n v="26541.647999999899"/>
    <n v="36652.752"/>
    <n v="58"/>
    <s v="December"/>
    <n v="12"/>
    <s v="2017-12"/>
    <x v="1"/>
  </r>
  <r>
    <s v="SO - 0009542"/>
    <d v="2017-12-13T00:00:00"/>
    <s v="Omba Group"/>
    <s v="Export"/>
    <x v="20"/>
    <n v="12"/>
    <n v="2532.6"/>
    <n v="30391.199999999997"/>
    <n v="2000.7539999999999"/>
    <s v="CA"/>
    <s v="California"/>
    <s v="West"/>
    <n v="964940.23100000003"/>
    <n v="24009.047999999999"/>
    <n v="6382.15199999999"/>
    <n v="20.999999999999901"/>
    <s v="December"/>
    <n v="12"/>
    <s v="2017-12"/>
    <x v="1"/>
  </r>
  <r>
    <s v="SO - 0002284"/>
    <d v="2017-12-13T00:00:00"/>
    <s v="Valeant Corp"/>
    <s v="Wholesale"/>
    <x v="7"/>
    <n v="8"/>
    <n v="1118.9000000000001"/>
    <n v="8951.2000000000007"/>
    <n v="682.529"/>
    <s v="TX"/>
    <s v="Texas"/>
    <s v="South"/>
    <n v="3050087.5649999999"/>
    <n v="5460.232"/>
    <n v="3490.9679999999998"/>
    <n v="39"/>
    <s v="December"/>
    <n v="12"/>
    <s v="2017-12"/>
    <x v="1"/>
  </r>
  <r>
    <s v="SO - 0002456"/>
    <d v="2017-12-13T00:00:00"/>
    <s v="Accord Group"/>
    <s v="Wholesale"/>
    <x v="11"/>
    <n v="12"/>
    <n v="5406.9"/>
    <n v="64882.799999999996"/>
    <n v="2216.8290000000002"/>
    <s v="AZ"/>
    <s v="Arizona"/>
    <s v="West"/>
    <n v="5685138.2699999996"/>
    <n v="26601.948"/>
    <n v="38280.851999999999"/>
    <n v="59"/>
    <s v="December"/>
    <n v="12"/>
    <s v="2017-12"/>
    <x v="1"/>
  </r>
  <r>
    <s v="SO - 0003449"/>
    <d v="2017-12-13T00:00:00"/>
    <s v="Buzzshare Company"/>
    <s v="Wholesale"/>
    <x v="1"/>
    <n v="5"/>
    <n v="2599.6"/>
    <n v="12998"/>
    <n v="1429.78"/>
    <s v="OH"/>
    <s v="Ohio"/>
    <s v="Midwest"/>
    <n v="5342315.4840000002"/>
    <n v="7148.9"/>
    <n v="5849.1"/>
    <n v="45"/>
    <s v="December"/>
    <n v="12"/>
    <s v="2017-12"/>
    <x v="1"/>
  </r>
  <r>
    <s v="SO - 0004531"/>
    <d v="2017-12-13T00:00:00"/>
    <s v="Neutrogena Ltd"/>
    <s v="Distributor"/>
    <x v="26"/>
    <n v="6"/>
    <n v="3932.9"/>
    <n v="23597.4"/>
    <n v="2084.4369999999999"/>
    <s v="NM"/>
    <s v="New Mexico"/>
    <s v="West"/>
    <n v="1356976.996"/>
    <n v="12506.621999999999"/>
    <n v="11090.7779999999"/>
    <n v="46.999999999999901"/>
    <s v="December"/>
    <n v="12"/>
    <s v="2017-12"/>
    <x v="1"/>
  </r>
  <r>
    <s v="SO - 0004569"/>
    <d v="2017-12-13T00:00:00"/>
    <s v="Camido Company"/>
    <s v="Wholesale"/>
    <x v="6"/>
    <n v="7"/>
    <n v="2767.1"/>
    <n v="19369.7"/>
    <n v="1632.5889999999999"/>
    <s v="CT"/>
    <s v="Connecticut"/>
    <s v="Northeast"/>
    <n v="3925424.5419999999"/>
    <n v="11428.123"/>
    <n v="7941.5770000000002"/>
    <n v="41"/>
    <s v="December"/>
    <n v="12"/>
    <s v="2017-12"/>
    <x v="1"/>
  </r>
  <r>
    <s v="SO - 0004825"/>
    <d v="2017-12-13T00:00:00"/>
    <s v="Ncs Group"/>
    <s v="Distributor"/>
    <x v="14"/>
    <n v="5"/>
    <n v="3865.9"/>
    <n v="19329.5"/>
    <n v="2164.904"/>
    <s v="UT"/>
    <s v="Utah"/>
    <s v="West"/>
    <n v="2119616.824"/>
    <n v="10824.52"/>
    <n v="8504.9799999999905"/>
    <n v="43.999999999999901"/>
    <s v="December"/>
    <n v="12"/>
    <s v="2017-12"/>
    <x v="1"/>
  </r>
  <r>
    <s v="SO - 0008121"/>
    <d v="2017-12-13T00:00:00"/>
    <s v="Tagfeed Ltd"/>
    <s v="Wholesale"/>
    <x v="7"/>
    <n v="12"/>
    <n v="5226"/>
    <n v="62712"/>
    <n v="3240.12"/>
    <s v="IL"/>
    <s v="Illinois"/>
    <s v="Midwest"/>
    <n v="3050087.5649999999"/>
    <n v="38881.440000000002"/>
    <n v="23830.559999999899"/>
    <n v="37.999999999999901"/>
    <s v="December"/>
    <n v="12"/>
    <s v="2017-12"/>
    <x v="1"/>
  </r>
  <r>
    <s v="SO - 000119"/>
    <d v="2017-12-14T00:00:00"/>
    <s v="Pixoboo Corp"/>
    <s v="Distributor"/>
    <x v="11"/>
    <n v="5"/>
    <n v="5581.1"/>
    <n v="27905.5"/>
    <n v="4130.0140000000001"/>
    <s v="NV"/>
    <s v="Nevada"/>
    <s v="West"/>
    <n v="5685138.2699999996"/>
    <n v="20650.07"/>
    <n v="7255.43"/>
    <n v="26"/>
    <s v="December"/>
    <n v="12"/>
    <s v="2017-12"/>
    <x v="1"/>
  </r>
  <r>
    <s v="SO - 000494"/>
    <d v="2017-12-14T00:00:00"/>
    <s v="General Company"/>
    <s v="Wholesale"/>
    <x v="10"/>
    <n v="8"/>
    <n v="3082"/>
    <n v="24656"/>
    <n v="1849.19999999999"/>
    <s v="IL"/>
    <s v="Illinois"/>
    <s v="Midwest"/>
    <n v="1672229.416"/>
    <n v="14793.5999999999"/>
    <n v="9862.4"/>
    <n v="40"/>
    <s v="December"/>
    <n v="12"/>
    <s v="2017-12"/>
    <x v="1"/>
  </r>
  <r>
    <s v="SO - 0001712"/>
    <d v="2017-12-14T00:00:00"/>
    <s v="Omba Group"/>
    <s v="Distributor"/>
    <x v="11"/>
    <n v="6"/>
    <n v="5038.3999999999996"/>
    <n v="30230.399999999998"/>
    <n v="2972.6559999999999"/>
    <s v="CO"/>
    <s v="Colorado"/>
    <s v="West"/>
    <n v="5685138.2699999996"/>
    <n v="17835.936000000002"/>
    <n v="12394.464"/>
    <n v="41"/>
    <s v="December"/>
    <n v="12"/>
    <s v="2017-12"/>
    <x v="1"/>
  </r>
  <r>
    <s v="SO - 0002637"/>
    <d v="2017-12-14T00:00:00"/>
    <s v="Bb17 Company"/>
    <s v="Wholesale"/>
    <x v="21"/>
    <n v="10"/>
    <n v="1025.0999999999999"/>
    <n v="10251"/>
    <n v="533.05200000000002"/>
    <s v="MI"/>
    <s v="Michigan"/>
    <s v="Midwest"/>
    <n v="1230458.4839999999"/>
    <n v="5330.52"/>
    <n v="4920.4799999999996"/>
    <n v="48"/>
    <s v="December"/>
    <n v="12"/>
    <s v="2017-12"/>
    <x v="1"/>
  </r>
  <r>
    <s v="SO - 0003311"/>
    <d v="2017-12-14T00:00:00"/>
    <s v="Realbuzz Ltd"/>
    <s v="Export"/>
    <x v="4"/>
    <n v="9"/>
    <n v="1976.5"/>
    <n v="17788.5"/>
    <n v="1264.96"/>
    <s v="MA"/>
    <s v="Massachusetts"/>
    <s v="Northeast"/>
    <n v="2309499.0449999999"/>
    <n v="11384.64"/>
    <n v="6403.86"/>
    <n v="36"/>
    <s v="December"/>
    <n v="12"/>
    <s v="2017-12"/>
    <x v="1"/>
  </r>
  <r>
    <s v="SO - 0003612"/>
    <d v="2017-12-14T00:00:00"/>
    <s v="Wockhardt Group"/>
    <s v="Wholesale"/>
    <x v="18"/>
    <n v="11"/>
    <n v="1219.4000000000001"/>
    <n v="13413.400000000001"/>
    <n v="841.38599999999997"/>
    <s v="IL"/>
    <s v="Illinois"/>
    <s v="Midwest"/>
    <n v="1135815.7579999999"/>
    <n v="9255.2459999999992"/>
    <n v="4158.1540000000005"/>
    <n v="31"/>
    <s v="December"/>
    <n v="12"/>
    <s v="2017-12"/>
    <x v="1"/>
  </r>
  <r>
    <s v="SO - 0003844"/>
    <d v="2017-12-14T00:00:00"/>
    <s v="Muxo Group"/>
    <s v="Distributor"/>
    <x v="4"/>
    <n v="6"/>
    <n v="5748.6"/>
    <n v="34491.600000000006"/>
    <n v="4483.9080000000004"/>
    <s v="MS"/>
    <s v="Mississippi"/>
    <s v="South"/>
    <n v="2309499.0449999999"/>
    <n v="26903.448"/>
    <n v="7588.152"/>
    <n v="22"/>
    <s v="December"/>
    <n v="12"/>
    <s v="2017-12"/>
    <x v="1"/>
  </r>
  <r>
    <s v="SO - 0004871"/>
    <d v="2017-12-14T00:00:00"/>
    <s v="Zoonoodle Ltd"/>
    <s v="Export"/>
    <x v="2"/>
    <n v="9"/>
    <n v="5681.6"/>
    <n v="51134.400000000001"/>
    <n v="2897.616"/>
    <s v="NY"/>
    <s v="New York"/>
    <s v="Northeast"/>
    <n v="4028698.409"/>
    <n v="26078.544000000002"/>
    <n v="25055.855999999902"/>
    <n v="48.999999999999901"/>
    <s v="December"/>
    <n v="12"/>
    <s v="2017-12"/>
    <x v="1"/>
  </r>
  <r>
    <s v="SO - 0005650"/>
    <d v="2017-12-14T00:00:00"/>
    <s v="Bta Corp"/>
    <s v="Distributor"/>
    <x v="2"/>
    <n v="10"/>
    <n v="2398.6"/>
    <n v="23986"/>
    <n v="1631.048"/>
    <s v="CA"/>
    <s v="California"/>
    <s v="West"/>
    <n v="4028698.409"/>
    <n v="16310.48"/>
    <n v="7675.52"/>
    <n v="32"/>
    <s v="December"/>
    <n v="12"/>
    <s v="2017-12"/>
    <x v="1"/>
  </r>
  <r>
    <s v="SO - 0005987"/>
    <d v="2017-12-14T00:00:00"/>
    <s v="Safecor Corp"/>
    <s v="Export"/>
    <x v="9"/>
    <n v="9"/>
    <n v="1969.8"/>
    <n v="17728.2"/>
    <n v="1398.558"/>
    <s v="CA"/>
    <s v="California"/>
    <s v="West"/>
    <n v="3720639.645"/>
    <n v="12587.022000000001"/>
    <n v="5141.1779999999999"/>
    <n v="28.999999999999901"/>
    <s v="December"/>
    <n v="12"/>
    <s v="2017-12"/>
    <x v="1"/>
  </r>
  <r>
    <s v="SO - 0008597"/>
    <d v="2017-12-14T00:00:00"/>
    <s v="Linkbuzz Ltd"/>
    <s v="Distributor"/>
    <x v="1"/>
    <n v="5"/>
    <n v="1768.8"/>
    <n v="8844"/>
    <n v="972.84"/>
    <s v="CA"/>
    <s v="California"/>
    <s v="West"/>
    <n v="5342315.4840000002"/>
    <n v="4864.2"/>
    <n v="3979.8"/>
    <n v="45"/>
    <s v="December"/>
    <n v="12"/>
    <s v="2017-12"/>
    <x v="1"/>
  </r>
  <r>
    <s v="SO - 0008335"/>
    <d v="2017-12-14T00:00:00"/>
    <s v="Linklinks Ltd"/>
    <s v="Wholesale"/>
    <x v="11"/>
    <n v="5"/>
    <n v="1045.2"/>
    <n v="5226"/>
    <n v="836.16"/>
    <s v="CA"/>
    <s v="California"/>
    <s v="West"/>
    <n v="5685138.2699999996"/>
    <n v="4180.8"/>
    <n v="1045.19999999999"/>
    <n v="19.999999999999901"/>
    <s v="December"/>
    <n v="12"/>
    <s v="2017-12"/>
    <x v="1"/>
  </r>
  <r>
    <s v="SO - 0009392"/>
    <d v="2017-12-14T00:00:00"/>
    <s v="Amerisourc Corp"/>
    <s v="Distributor"/>
    <x v="4"/>
    <n v="11"/>
    <n v="3946.3"/>
    <n v="43409.3"/>
    <n v="1657.4459999999999"/>
    <s v="MA"/>
    <s v="Massachusetts"/>
    <s v="Northeast"/>
    <n v="2309499.0449999999"/>
    <n v="18231.905999999999"/>
    <n v="25177.394"/>
    <n v="58"/>
    <s v="December"/>
    <n v="12"/>
    <s v="2017-12"/>
    <x v="1"/>
  </r>
  <r>
    <s v="SO - 000770"/>
    <d v="2017-12-14T00:00:00"/>
    <s v="Pfizer Corp"/>
    <s v="Export"/>
    <x v="15"/>
    <n v="10"/>
    <n v="783.9"/>
    <n v="7839"/>
    <n v="313.56"/>
    <s v="VA"/>
    <s v="Virginia"/>
    <s v="South"/>
    <n v="2062061.1440000001"/>
    <n v="3135.6"/>
    <n v="4703.3999999999996"/>
    <n v="60"/>
    <s v="December"/>
    <n v="12"/>
    <s v="2017-12"/>
    <x v="1"/>
  </r>
  <r>
    <s v="SO - 0004207"/>
    <d v="2017-12-14T00:00:00"/>
    <s v="Buzzshare Company"/>
    <s v="Wholesale"/>
    <x v="10"/>
    <n v="9"/>
    <n v="1882.7"/>
    <n v="16944.3"/>
    <n v="1242.5820000000001"/>
    <s v="CO"/>
    <s v="Colorado"/>
    <s v="West"/>
    <n v="1672229.416"/>
    <n v="11183.237999999999"/>
    <n v="5761.0619999999899"/>
    <n v="33.999999999999901"/>
    <s v="December"/>
    <n v="12"/>
    <s v="2017-12"/>
    <x v="1"/>
  </r>
  <r>
    <s v="SO - 0007852"/>
    <d v="2017-12-14T00:00:00"/>
    <s v="Organon Corp"/>
    <s v="Wholesale"/>
    <x v="13"/>
    <n v="9"/>
    <n v="1956.4"/>
    <n v="17607.600000000002"/>
    <n v="1604.248"/>
    <s v="FL"/>
    <s v="Florida"/>
    <s v="South"/>
    <n v="3299478.3149999999"/>
    <n v="14438.232"/>
    <n v="3169.3679999999999"/>
    <n v="18"/>
    <s v="December"/>
    <n v="12"/>
    <s v="2017-12"/>
    <x v="1"/>
  </r>
  <r>
    <s v="SO - 0010384"/>
    <d v="2017-12-14T00:00:00"/>
    <s v="Nars Group"/>
    <s v="Wholesale"/>
    <x v="1"/>
    <n v="5"/>
    <n v="1775.5"/>
    <n v="8877.5"/>
    <n v="1083.0550000000001"/>
    <s v="TX"/>
    <s v="Texas"/>
    <s v="South"/>
    <n v="5342315.4840000002"/>
    <n v="5415.2749999999996"/>
    <n v="3462.2249999999899"/>
    <n v="38.999999999999901"/>
    <s v="December"/>
    <n v="12"/>
    <s v="2017-12"/>
    <x v="1"/>
  </r>
  <r>
    <s v="SO - 0010754"/>
    <d v="2017-12-14T00:00:00"/>
    <s v="Pacific Ltd"/>
    <s v="Distributor"/>
    <x v="10"/>
    <n v="9"/>
    <n v="1963.1"/>
    <n v="17667.899999999998"/>
    <n v="1629.373"/>
    <s v="IN"/>
    <s v="Indiana"/>
    <s v="Midwest"/>
    <n v="1672229.416"/>
    <n v="14664.357"/>
    <n v="3003.5430000000001"/>
    <n v="17"/>
    <s v="December"/>
    <n v="12"/>
    <s v="2017-12"/>
    <x v="1"/>
  </r>
  <r>
    <s v="SO - 0008824"/>
    <d v="2017-12-14T00:00:00"/>
    <s v="Zoonoodle Ltd"/>
    <s v="Wholesale"/>
    <x v="9"/>
    <n v="5"/>
    <n v="804"/>
    <n v="4020"/>
    <n v="683.4"/>
    <s v="CO"/>
    <s v="Colorado"/>
    <s v="West"/>
    <n v="3720639.645"/>
    <n v="3417"/>
    <n v="603"/>
    <n v="15"/>
    <s v="December"/>
    <n v="12"/>
    <s v="2017-12"/>
    <x v="1"/>
  </r>
  <r>
    <s v="SO - 0009738"/>
    <d v="2017-12-14T00:00:00"/>
    <s v="Kare Corp"/>
    <s v="Wholesale"/>
    <x v="4"/>
    <n v="12"/>
    <n v="1943"/>
    <n v="23316"/>
    <n v="1632.12"/>
    <s v="TN"/>
    <s v="Tennessee"/>
    <s v="South"/>
    <n v="2309499.0449999999"/>
    <n v="19585.439999999999"/>
    <n v="3730.56"/>
    <n v="16"/>
    <s v="December"/>
    <n v="12"/>
    <s v="2017-12"/>
    <x v="1"/>
  </r>
  <r>
    <s v="SO - 0009458"/>
    <d v="2017-12-14T00:00:00"/>
    <s v="Zava Group"/>
    <s v="Export"/>
    <x v="2"/>
    <n v="8"/>
    <n v="1809"/>
    <n v="14472"/>
    <n v="741.68999999999903"/>
    <s v="CA"/>
    <s v="California"/>
    <s v="West"/>
    <n v="4028698.409"/>
    <n v="5933.5199999999904"/>
    <n v="8538.48"/>
    <n v="59"/>
    <s v="December"/>
    <n v="12"/>
    <s v="2017-12"/>
    <x v="1"/>
  </r>
  <r>
    <s v="SO - 000415"/>
    <d v="2017-12-14T00:00:00"/>
    <s v="Wordtune Company"/>
    <s v="Wholesale"/>
    <x v="8"/>
    <n v="12"/>
    <n v="3865.9"/>
    <n v="46390.8"/>
    <n v="2822.107"/>
    <s v="CA"/>
    <s v="California"/>
    <s v="West"/>
    <n v="663601.902"/>
    <n v="33865.284"/>
    <n v="12525.516"/>
    <n v="27"/>
    <s v="December"/>
    <n v="12"/>
    <s v="2017-12"/>
    <x v="1"/>
  </r>
  <r>
    <s v="SO - 0003940"/>
    <d v="2017-12-14T00:00:00"/>
    <s v="Mydo Corp"/>
    <s v="Wholesale"/>
    <x v="2"/>
    <n v="11"/>
    <n v="2010"/>
    <n v="22110"/>
    <n v="1447.2"/>
    <s v="WA"/>
    <s v="Washington"/>
    <s v="West"/>
    <n v="4028698.409"/>
    <n v="15919.2"/>
    <n v="6190.7999999999902"/>
    <n v="27.999999999999901"/>
    <s v="December"/>
    <n v="12"/>
    <s v="2017-12"/>
    <x v="1"/>
  </r>
  <r>
    <s v="SO - 0004280"/>
    <d v="2017-12-14T00:00:00"/>
    <s v="Browsebug Company"/>
    <s v="Distributor"/>
    <x v="19"/>
    <n v="9"/>
    <n v="3966.4"/>
    <n v="35697.599999999999"/>
    <n v="2260.848"/>
    <s v="PA"/>
    <s v="Pennsylvania"/>
    <s v="Northeast"/>
    <n v="2885560.824"/>
    <n v="20347.6319999999"/>
    <n v="15349.968000000001"/>
    <n v="43"/>
    <s v="December"/>
    <n v="12"/>
    <s v="2017-12"/>
    <x v="1"/>
  </r>
  <r>
    <s v="SO - 0004536"/>
    <d v="2017-12-14T00:00:00"/>
    <s v="Browsetype Corp"/>
    <s v="Wholesale"/>
    <x v="10"/>
    <n v="10"/>
    <n v="268"/>
    <n v="2680"/>
    <n v="187.6"/>
    <s v="PA"/>
    <s v="Pennsylvania"/>
    <s v="Northeast"/>
    <n v="1672229.416"/>
    <n v="1876"/>
    <n v="804"/>
    <n v="30"/>
    <s v="December"/>
    <n v="12"/>
    <s v="2017-12"/>
    <x v="1"/>
  </r>
  <r>
    <s v="SO - 0005318"/>
    <d v="2017-12-14T00:00:00"/>
    <s v="Unit Ltd"/>
    <s v="Distributor"/>
    <x v="27"/>
    <n v="6"/>
    <n v="1085.4000000000001"/>
    <n v="6512.4000000000005"/>
    <n v="445.01400000000001"/>
    <s v="WI"/>
    <s v="Wisconsin"/>
    <s v="Midwest"/>
    <n v="2067108.1199999901"/>
    <n v="2670.0839999999998"/>
    <n v="3842.3159999999998"/>
    <n v="59"/>
    <s v="December"/>
    <n v="12"/>
    <s v="2017-12"/>
    <x v="1"/>
  </r>
  <r>
    <s v="SO - 0007381"/>
    <d v="2017-12-14T00:00:00"/>
    <s v="Blogtags Ltd"/>
    <s v="Wholesale"/>
    <x v="17"/>
    <n v="5"/>
    <n v="1989.9"/>
    <n v="9949.5"/>
    <n v="1631.7180000000001"/>
    <s v="CO"/>
    <s v="Colorado"/>
    <s v="West"/>
    <n v="2642352.432"/>
    <n v="8158.59"/>
    <n v="1790.9099999999901"/>
    <n v="18"/>
    <s v="December"/>
    <n v="12"/>
    <s v="2017-12"/>
    <x v="1"/>
  </r>
  <r>
    <s v="SO - 0007435"/>
    <d v="2017-12-14T00:00:00"/>
    <s v="Cantrell Company"/>
    <s v="Wholesale"/>
    <x v="4"/>
    <n v="8"/>
    <n v="1118.9000000000001"/>
    <n v="8951.2000000000007"/>
    <n v="839.17499999999995"/>
    <s v="NC"/>
    <s v="North Carolina"/>
    <s v="South"/>
    <n v="2309499.0449999999"/>
    <n v="6713.4"/>
    <n v="2237.8000000000002"/>
    <n v="25"/>
    <s v="December"/>
    <n v="12"/>
    <s v="2017-12"/>
    <x v="1"/>
  </r>
  <r>
    <s v="SO - 0008389"/>
    <d v="2017-12-14T00:00:00"/>
    <s v="Chatterbri Ltd"/>
    <s v="Wholesale"/>
    <x v="9"/>
    <n v="5"/>
    <n v="1929.6"/>
    <n v="9648"/>
    <n v="1485.7919999999999"/>
    <s v="MN"/>
    <s v="Minnesota"/>
    <s v="Midwest"/>
    <n v="3720639.645"/>
    <n v="7428.96"/>
    <n v="2219.03999999999"/>
    <n v="22.999999999999901"/>
    <s v="December"/>
    <n v="12"/>
    <s v="2017-12"/>
    <x v="1"/>
  </r>
  <r>
    <s v="SO - 0010500"/>
    <d v="2017-12-14T00:00:00"/>
    <s v="Skajo Ltd"/>
    <s v="Export"/>
    <x v="22"/>
    <n v="10"/>
    <n v="790.6"/>
    <n v="7906"/>
    <n v="545.51400000000001"/>
    <s v="WA"/>
    <s v="Washington"/>
    <s v="West"/>
    <n v="710415.40500000003"/>
    <n v="5455.14"/>
    <n v="2450.8599999999901"/>
    <n v="30.999999999999901"/>
    <s v="December"/>
    <n v="12"/>
    <s v="2017-12"/>
    <x v="1"/>
  </r>
  <r>
    <s v="SO - 0009205"/>
    <d v="2017-12-14T00:00:00"/>
    <s v="Clinique Ltd"/>
    <s v="Wholesale"/>
    <x v="7"/>
    <n v="8"/>
    <n v="2659.9"/>
    <n v="21279.200000000001"/>
    <n v="2260.915"/>
    <s v="IL"/>
    <s v="Illinois"/>
    <s v="Midwest"/>
    <n v="3050087.5649999999"/>
    <n v="18087.32"/>
    <n v="3191.88"/>
    <n v="15"/>
    <s v="December"/>
    <n v="12"/>
    <s v="2017-12"/>
    <x v="1"/>
  </r>
  <r>
    <s v="SO - 000933"/>
    <d v="2017-12-14T00:00:00"/>
    <s v="Rhynoodle Ltd"/>
    <s v="Wholesale"/>
    <x v="5"/>
    <n v="10"/>
    <n v="2659.9"/>
    <n v="26599"/>
    <n v="1117.1579999999999"/>
    <s v="CA"/>
    <s v="California"/>
    <s v="West"/>
    <n v="1003867.767"/>
    <n v="11171.5799999999"/>
    <n v="15427.42"/>
    <n v="58"/>
    <s v="December"/>
    <n v="12"/>
    <s v="2017-12"/>
    <x v="1"/>
  </r>
  <r>
    <s v="SO - 0001140"/>
    <d v="2017-12-14T00:00:00"/>
    <s v="Realbuzz Ltd"/>
    <s v="Wholesale"/>
    <x v="0"/>
    <n v="9"/>
    <n v="1118.9000000000001"/>
    <n v="10070.1"/>
    <n v="492.31599999999997"/>
    <s v="TX"/>
    <s v="Texas"/>
    <s v="South"/>
    <n v="1011609.684"/>
    <n v="4430.8440000000001"/>
    <n v="5639.2560000000003"/>
    <n v="56"/>
    <s v="December"/>
    <n v="12"/>
    <s v="2017-12"/>
    <x v="1"/>
  </r>
  <r>
    <s v="SO - 0001737"/>
    <d v="2017-12-14T00:00:00"/>
    <s v="Rochester Group"/>
    <s v="Export"/>
    <x v="10"/>
    <n v="8"/>
    <n v="5768.7"/>
    <n v="46149.599999999999"/>
    <n v="3922.7159999999999"/>
    <s v="CA"/>
    <s v="California"/>
    <s v="West"/>
    <n v="1672229.416"/>
    <n v="31381.727999999999"/>
    <n v="14767.871999999899"/>
    <n v="31.999999999999901"/>
    <s v="December"/>
    <n v="12"/>
    <s v="2017-12"/>
    <x v="1"/>
  </r>
  <r>
    <s v="SO - 0001831"/>
    <d v="2017-12-14T00:00:00"/>
    <s v="Kazu Corp"/>
    <s v="Distributor"/>
    <x v="26"/>
    <n v="8"/>
    <n v="2827.4"/>
    <n v="22619.200000000001"/>
    <n v="1272.33"/>
    <s v="CT"/>
    <s v="Connecticut"/>
    <s v="Northeast"/>
    <n v="1356976.996"/>
    <n v="10178.64"/>
    <n v="12440.56"/>
    <n v="54.999999999999901"/>
    <s v="December"/>
    <n v="12"/>
    <s v="2017-12"/>
    <x v="1"/>
  </r>
  <r>
    <s v="SO - 0002887"/>
    <d v="2017-12-14T00:00:00"/>
    <s v="Seindni Corp"/>
    <s v="Distributor"/>
    <x v="7"/>
    <n v="6"/>
    <n v="167.5"/>
    <n v="1005"/>
    <n v="68.674999999999997"/>
    <s v="MI"/>
    <s v="Michigan"/>
    <s v="Midwest"/>
    <n v="3050087.5649999999"/>
    <n v="412.04999999999899"/>
    <n v="592.95000000000005"/>
    <n v="59"/>
    <s v="December"/>
    <n v="12"/>
    <s v="2017-12"/>
    <x v="1"/>
  </r>
  <r>
    <s v="SO - 0003998"/>
    <d v="2017-12-14T00:00:00"/>
    <s v="Livepath Corp"/>
    <s v="Wholesale"/>
    <x v="7"/>
    <n v="5"/>
    <n v="904.5"/>
    <n v="4522.5"/>
    <n v="714.55499999999995"/>
    <s v="GA"/>
    <s v="Georgia"/>
    <s v="South"/>
    <n v="3050087.5649999999"/>
    <n v="3572.7750000000001"/>
    <n v="949.724999999999"/>
    <n v="20.999999999999901"/>
    <s v="December"/>
    <n v="12"/>
    <s v="2017-12"/>
    <x v="1"/>
  </r>
  <r>
    <s v="SO - 0004750"/>
    <d v="2017-12-14T00:00:00"/>
    <s v="Gigabox Group"/>
    <s v="Wholesale"/>
    <x v="1"/>
    <n v="9"/>
    <n v="1125.5999999999999"/>
    <n v="10130.4"/>
    <n v="461.49599999999998"/>
    <s v="KY"/>
    <s v="Kentucky"/>
    <s v="South"/>
    <n v="5342315.4840000002"/>
    <n v="4153.4639999999999"/>
    <n v="5976.9359999999997"/>
    <n v="59"/>
    <s v="December"/>
    <n v="12"/>
    <s v="2017-12"/>
    <x v="1"/>
  </r>
  <r>
    <s v="SO - 0004796"/>
    <d v="2017-12-14T00:00:00"/>
    <s v="Skidoo Company"/>
    <s v="Wholesale"/>
    <x v="22"/>
    <n v="9"/>
    <n v="2572.8000000000002"/>
    <n v="23155.200000000001"/>
    <n v="1878.144"/>
    <s v="TX"/>
    <s v="Texas"/>
    <s v="South"/>
    <n v="710415.40500000003"/>
    <n v="16903.295999999998"/>
    <n v="6251.9040000000005"/>
    <n v="27"/>
    <s v="December"/>
    <n v="12"/>
    <s v="2017-12"/>
    <x v="1"/>
  </r>
  <r>
    <s v="SO - 0006783"/>
    <d v="2017-12-14T00:00:00"/>
    <s v="Internatio Company"/>
    <s v="Wholesale"/>
    <x v="1"/>
    <n v="12"/>
    <n v="2666.6"/>
    <n v="31999.199999999997"/>
    <n v="1626.626"/>
    <s v="MA"/>
    <s v="Massachusetts"/>
    <s v="Northeast"/>
    <n v="5342315.4840000002"/>
    <n v="19519.511999999999"/>
    <n v="12479.6879999999"/>
    <n v="38.999999999999901"/>
    <s v="December"/>
    <n v="12"/>
    <s v="2017-12"/>
    <x v="1"/>
  </r>
  <r>
    <s v="SO - 0009065"/>
    <d v="2017-12-14T00:00:00"/>
    <s v="Gigabox Group"/>
    <s v="Wholesale"/>
    <x v="1"/>
    <n v="11"/>
    <n v="1139"/>
    <n v="12529"/>
    <n v="933.979999999999"/>
    <s v="VA"/>
    <s v="Virginia"/>
    <s v="South"/>
    <n v="5342315.4840000002"/>
    <n v="10273.779999999901"/>
    <n v="2255.2199999999998"/>
    <n v="18"/>
    <s v="December"/>
    <n v="12"/>
    <s v="2017-12"/>
    <x v="1"/>
  </r>
  <r>
    <s v="SO - 0003158"/>
    <d v="2017-12-14T00:00:00"/>
    <s v="Shuffledri Group"/>
    <s v="Distributor"/>
    <x v="15"/>
    <n v="5"/>
    <n v="2559.4"/>
    <n v="12797"/>
    <n v="1970.7380000000001"/>
    <s v="NY"/>
    <s v="New York"/>
    <s v="Northeast"/>
    <n v="2062061.1440000001"/>
    <n v="9853.69"/>
    <n v="2943.3099999999899"/>
    <n v="22.999999999999901"/>
    <s v="December"/>
    <n v="12"/>
    <s v="2017-12"/>
    <x v="1"/>
  </r>
  <r>
    <s v="SO - 0004830"/>
    <d v="2017-12-14T00:00:00"/>
    <s v="Remedy Ltd"/>
    <s v="Wholesale"/>
    <x v="2"/>
    <n v="7"/>
    <n v="1782.2"/>
    <n v="12475.4"/>
    <n v="1122.7860000000001"/>
    <s v="IL"/>
    <s v="Illinois"/>
    <s v="Midwest"/>
    <n v="4028698.409"/>
    <n v="7859.5020000000004"/>
    <n v="4615.8979999999901"/>
    <n v="36.999999999999901"/>
    <s v="December"/>
    <n v="12"/>
    <s v="2017-12"/>
    <x v="1"/>
  </r>
  <r>
    <s v="SO - 0005346"/>
    <d v="2017-12-14T00:00:00"/>
    <s v="Buzzshare Company"/>
    <s v="Distributor"/>
    <x v="1"/>
    <n v="10"/>
    <n v="1085.4000000000001"/>
    <n v="10854"/>
    <n v="759.78"/>
    <s v="NY"/>
    <s v="New York"/>
    <s v="Northeast"/>
    <n v="5342315.4840000002"/>
    <n v="7597.7999999999902"/>
    <n v="3256.2"/>
    <n v="30"/>
    <s v="December"/>
    <n v="12"/>
    <s v="2017-12"/>
    <x v="1"/>
  </r>
  <r>
    <s v="SO - 0010497"/>
    <d v="2017-12-14T00:00:00"/>
    <s v="Ascend Ltd"/>
    <s v="Distributor"/>
    <x v="7"/>
    <n v="11"/>
    <n v="1929.6"/>
    <n v="21225.599999999999"/>
    <n v="868.32"/>
    <s v="MD"/>
    <s v="Maryland"/>
    <s v="South"/>
    <n v="3050087.5649999999"/>
    <n v="9551.52"/>
    <n v="11674.08"/>
    <n v="55"/>
    <s v="December"/>
    <n v="12"/>
    <s v="2017-12"/>
    <x v="1"/>
  </r>
  <r>
    <s v="SO - 0010753"/>
    <d v="2017-12-14T00:00:00"/>
    <s v="Kare Corp"/>
    <s v="Distributor"/>
    <x v="1"/>
    <n v="5"/>
    <n v="167.5"/>
    <n v="837.5"/>
    <n v="142.375"/>
    <s v="IL"/>
    <s v="Illinois"/>
    <s v="Midwest"/>
    <n v="5342315.4840000002"/>
    <n v="711.875"/>
    <n v="125.625"/>
    <n v="15"/>
    <s v="December"/>
    <n v="12"/>
    <s v="2017-12"/>
    <x v="1"/>
  </r>
  <r>
    <s v="SO - 0009214"/>
    <d v="2017-12-14T00:00:00"/>
    <s v="Realbridge Corp"/>
    <s v="Distributor"/>
    <x v="5"/>
    <n v="7"/>
    <n v="2391.9"/>
    <n v="16743.3"/>
    <n v="1865.682"/>
    <s v="CA"/>
    <s v="California"/>
    <s v="West"/>
    <n v="1003867.767"/>
    <n v="13059.773999999999"/>
    <n v="3683.5259999999898"/>
    <n v="21.999999999999901"/>
    <s v="December"/>
    <n v="12"/>
    <s v="2017-12"/>
    <x v="1"/>
  </r>
  <r>
    <s v="SO - 000298"/>
    <d v="2017-12-14T00:00:00"/>
    <s v="Neutrogena Ltd"/>
    <s v="Distributor"/>
    <x v="23"/>
    <n v="8"/>
    <n v="3899.4"/>
    <n v="31195.200000000001"/>
    <n v="2027.6880000000001"/>
    <s v="CA"/>
    <s v="California"/>
    <s v="West"/>
    <n v="1645841.6"/>
    <n v="16221.504000000001"/>
    <n v="14973.696"/>
    <n v="48"/>
    <s v="December"/>
    <n v="12"/>
    <s v="2017-12"/>
    <x v="1"/>
  </r>
  <r>
    <s v="SO - 000456"/>
    <d v="2017-12-14T00:00:00"/>
    <s v="Oozz Group"/>
    <s v="Distributor"/>
    <x v="2"/>
    <n v="7"/>
    <n v="1862.6"/>
    <n v="13038.199999999999"/>
    <n v="1359.6980000000001"/>
    <s v="GA"/>
    <s v="Georgia"/>
    <s v="South"/>
    <n v="4028698.409"/>
    <n v="9517.8860000000004"/>
    <n v="3520.3139999999999"/>
    <n v="27"/>
    <s v="December"/>
    <n v="12"/>
    <s v="2017-12"/>
    <x v="1"/>
  </r>
  <r>
    <s v="SO - 0003161"/>
    <d v="2017-12-14T00:00:00"/>
    <s v="Talane Group"/>
    <s v="Distributor"/>
    <x v="6"/>
    <n v="8"/>
    <n v="5929.5"/>
    <n v="47436"/>
    <n v="3913.47"/>
    <s v="IL"/>
    <s v="Illinois"/>
    <s v="Midwest"/>
    <n v="3925424.5419999999"/>
    <n v="31307.759999999998"/>
    <n v="16128.2399999999"/>
    <n v="34"/>
    <s v="December"/>
    <n v="12"/>
    <s v="2017-12"/>
    <x v="1"/>
  </r>
  <r>
    <s v="SO - 0004407"/>
    <d v="2017-12-14T00:00:00"/>
    <s v="Devpoint Group"/>
    <s v="Wholesale"/>
    <x v="13"/>
    <n v="8"/>
    <n v="1882.7"/>
    <n v="15061.6"/>
    <n v="1374.3710000000001"/>
    <s v="GA"/>
    <s v="Georgia"/>
    <s v="South"/>
    <n v="3299478.3149999999"/>
    <n v="10994.968000000001"/>
    <n v="4066.6319999999901"/>
    <n v="26.999999999999901"/>
    <s v="December"/>
    <n v="12"/>
    <s v="2017-12"/>
    <x v="1"/>
  </r>
  <r>
    <s v="SO - 0007362"/>
    <d v="2017-12-14T00:00:00"/>
    <s v="Rhynoodle Ltd"/>
    <s v="Export"/>
    <x v="23"/>
    <n v="6"/>
    <n v="1031.8"/>
    <n v="6190.7999999999993"/>
    <n v="433.35599999999903"/>
    <s v="MN"/>
    <s v="Minnesota"/>
    <s v="Midwest"/>
    <n v="1645841.6"/>
    <n v="2600.13599999999"/>
    <n v="3590.6639999999902"/>
    <n v="58"/>
    <s v="December"/>
    <n v="12"/>
    <s v="2017-12"/>
    <x v="1"/>
  </r>
  <r>
    <s v="SO - 0009944"/>
    <d v="2017-12-14T00:00:00"/>
    <s v="Mylan Corp"/>
    <s v="Distributor"/>
    <x v="27"/>
    <n v="7"/>
    <n v="5473.9"/>
    <n v="38317.299999999996"/>
    <n v="2463.2550000000001"/>
    <s v="CA"/>
    <s v="California"/>
    <s v="West"/>
    <n v="2067108.1199999901"/>
    <n v="17242.785"/>
    <n v="21074.514999999999"/>
    <n v="55"/>
    <s v="December"/>
    <n v="12"/>
    <s v="2017-12"/>
    <x v="1"/>
  </r>
  <r>
    <s v="SO - 000580"/>
    <d v="2017-12-15T00:00:00"/>
    <s v="Divanoodle Ltd"/>
    <s v="Export"/>
    <x v="17"/>
    <n v="7"/>
    <n v="1688.4"/>
    <n v="11818.800000000001"/>
    <n v="1215.6479999999999"/>
    <s v="IL"/>
    <s v="Illinois"/>
    <s v="Midwest"/>
    <n v="2642352.432"/>
    <n v="8509.5360000000001"/>
    <n v="3309.2640000000001"/>
    <n v="28"/>
    <s v="December"/>
    <n v="12"/>
    <s v="2017-12"/>
    <x v="2"/>
  </r>
  <r>
    <s v="SO - 000688"/>
    <d v="2017-12-15T00:00:00"/>
    <s v="Walgreen Corp"/>
    <s v="Export"/>
    <x v="2"/>
    <n v="10"/>
    <n v="2264.6"/>
    <n v="22646"/>
    <n v="1834.326"/>
    <s v="CA"/>
    <s v="California"/>
    <s v="West"/>
    <n v="4028698.409"/>
    <n v="18343.259999999998"/>
    <n v="4302.7399999999898"/>
    <n v="18.999999999999901"/>
    <s v="December"/>
    <n v="12"/>
    <s v="2017-12"/>
    <x v="2"/>
  </r>
  <r>
    <s v="SO - 0001924"/>
    <d v="2017-12-15T00:00:00"/>
    <s v="Skinder Group"/>
    <s v="Wholesale"/>
    <x v="25"/>
    <n v="6"/>
    <n v="1132.3"/>
    <n v="6793.7999999999993"/>
    <n v="815.25599999999997"/>
    <s v="WA"/>
    <s v="Washington"/>
    <s v="West"/>
    <n v="889737.55500000005"/>
    <n v="4891.5360000000001"/>
    <n v="1902.2639999999899"/>
    <n v="27.999999999999901"/>
    <s v="December"/>
    <n v="12"/>
    <s v="2017-12"/>
    <x v="2"/>
  </r>
  <r>
    <s v="SO - 0002859"/>
    <d v="2017-12-15T00:00:00"/>
    <s v="Realcube Company"/>
    <s v="Distributor"/>
    <x v="3"/>
    <n v="11"/>
    <n v="1688.4"/>
    <n v="18572.400000000001"/>
    <n v="776.66399999999999"/>
    <s v="CT"/>
    <s v="Connecticut"/>
    <s v="Northeast"/>
    <n v="1085037.3289999999"/>
    <n v="8543.3040000000001"/>
    <n v="10029.096"/>
    <n v="53.999999999999901"/>
    <s v="December"/>
    <n v="12"/>
    <s v="2017-12"/>
    <x v="2"/>
  </r>
  <r>
    <s v="SO - 0004985"/>
    <d v="2017-12-15T00:00:00"/>
    <s v="Meejo Corp"/>
    <s v="Wholesale"/>
    <x v="28"/>
    <n v="7"/>
    <n v="2351.6999999999998"/>
    <n v="16461.899999999998"/>
    <n v="1622.673"/>
    <s v="CA"/>
    <s v="California"/>
    <s v="West"/>
    <n v="756557.97"/>
    <n v="11358.710999999999"/>
    <n v="5103.1890000000003"/>
    <n v="31"/>
    <s v="December"/>
    <n v="12"/>
    <s v="2017-12"/>
    <x v="2"/>
  </r>
  <r>
    <s v="SO - 0008248"/>
    <d v="2017-12-15T00:00:00"/>
    <s v="Cogilith Group"/>
    <s v="Distributor"/>
    <x v="14"/>
    <n v="11"/>
    <n v="1701.8"/>
    <n v="18719.8"/>
    <n v="1429.5119999999999"/>
    <s v="OK"/>
    <s v="Oklahoma"/>
    <s v="South"/>
    <n v="2119616.824"/>
    <n v="15724.632"/>
    <n v="2995.1679999999901"/>
    <n v="15.999999999999901"/>
    <s v="December"/>
    <n v="12"/>
    <s v="2017-12"/>
    <x v="2"/>
  </r>
  <r>
    <s v="SO - 0009324"/>
    <d v="2017-12-15T00:00:00"/>
    <s v="Buzzshare Company"/>
    <s v="Distributor"/>
    <x v="13"/>
    <n v="11"/>
    <n v="187.6"/>
    <n v="2063.6"/>
    <n v="93.8"/>
    <s v="NJ"/>
    <s v="New Jersey"/>
    <s v="Northeast"/>
    <n v="3299478.3149999999"/>
    <n v="1031.8"/>
    <n v="1031.8"/>
    <n v="50"/>
    <s v="December"/>
    <n v="12"/>
    <s v="2017-12"/>
    <x v="2"/>
  </r>
  <r>
    <s v="SO - 0010445"/>
    <d v="2017-12-15T00:00:00"/>
    <s v="Ozu Ltd"/>
    <s v="Wholesale"/>
    <x v="26"/>
    <n v="9"/>
    <n v="214.4"/>
    <n v="1929.6000000000001"/>
    <n v="180.096"/>
    <s v="CT"/>
    <s v="Connecticut"/>
    <s v="Northeast"/>
    <n v="1356976.996"/>
    <n v="1620.864"/>
    <n v="308.73599999999999"/>
    <n v="16"/>
    <s v="December"/>
    <n v="12"/>
    <s v="2017-12"/>
    <x v="2"/>
  </r>
  <r>
    <s v="SO - 000501"/>
    <d v="2017-12-15T00:00:00"/>
    <s v="Realpoint Corp"/>
    <s v="Wholesale"/>
    <x v="17"/>
    <n v="12"/>
    <n v="1909.5"/>
    <n v="22914"/>
    <n v="1317.5549999999901"/>
    <s v="OH"/>
    <s v="Ohio"/>
    <s v="Midwest"/>
    <n v="2642352.432"/>
    <n v="15810.6599999999"/>
    <n v="7103.34"/>
    <n v="31"/>
    <s v="December"/>
    <n v="12"/>
    <s v="2017-12"/>
    <x v="2"/>
  </r>
  <r>
    <s v="SO - 000654"/>
    <d v="2017-12-15T00:00:00"/>
    <s v="True Ltd"/>
    <s v="Wholesale"/>
    <x v="8"/>
    <n v="11"/>
    <n v="1051.9000000000001"/>
    <n v="11570.900000000001"/>
    <n v="515.43100000000004"/>
    <s v="TX"/>
    <s v="Texas"/>
    <s v="South"/>
    <n v="663601.902"/>
    <n v="5669.741"/>
    <n v="5901.1589999999997"/>
    <n v="51"/>
    <s v="December"/>
    <n v="12"/>
    <s v="2017-12"/>
    <x v="2"/>
  </r>
  <r>
    <s v="SO - 0001482"/>
    <d v="2017-12-15T00:00:00"/>
    <s v="Jaxbean Group"/>
    <s v="Wholesale"/>
    <x v="20"/>
    <n v="6"/>
    <n v="180.9"/>
    <n v="1085.4000000000001"/>
    <n v="121.203"/>
    <s v="WA"/>
    <s v="Washington"/>
    <s v="West"/>
    <n v="964940.23100000003"/>
    <n v="727.21799999999996"/>
    <n v="358.18200000000002"/>
    <n v="32.999999999999901"/>
    <s v="December"/>
    <n v="12"/>
    <s v="2017-12"/>
    <x v="2"/>
  </r>
  <r>
    <s v="SO - 0004575"/>
    <d v="2017-12-15T00:00:00"/>
    <s v="Janyx Group"/>
    <s v="Export"/>
    <x v="28"/>
    <n v="5"/>
    <n v="3691.7"/>
    <n v="18458.5"/>
    <n v="2399.605"/>
    <s v="CT"/>
    <s v="Connecticut"/>
    <s v="Northeast"/>
    <n v="756557.97"/>
    <n v="11998.025"/>
    <n v="6460.4749999999904"/>
    <n v="34.999999999999901"/>
    <s v="December"/>
    <n v="12"/>
    <s v="2017-12"/>
    <x v="2"/>
  </r>
  <r>
    <s v="SO - 0005343"/>
    <d v="2017-12-15T00:00:00"/>
    <s v="Pixoboo Corp"/>
    <s v="Distributor"/>
    <x v="22"/>
    <n v="5"/>
    <n v="2619.6999999999998"/>
    <n v="13098.5"/>
    <n v="1152.6679999999999"/>
    <s v="IL"/>
    <s v="Illinois"/>
    <s v="Midwest"/>
    <n v="710415.40500000003"/>
    <n v="5763.34"/>
    <n v="7335.16"/>
    <n v="56"/>
    <s v="December"/>
    <n v="12"/>
    <s v="2017-12"/>
    <x v="2"/>
  </r>
  <r>
    <s v="SO - 0006707"/>
    <d v="2017-12-15T00:00:00"/>
    <s v="Zooveo Company"/>
    <s v="Wholesale"/>
    <x v="11"/>
    <n v="7"/>
    <n v="1005"/>
    <n v="7035"/>
    <n v="432.15"/>
    <s v="TX"/>
    <s v="Texas"/>
    <s v="South"/>
    <n v="5685138.2699999996"/>
    <n v="3025.0499999999902"/>
    <n v="4009.95"/>
    <n v="57"/>
    <s v="December"/>
    <n v="12"/>
    <s v="2017-12"/>
    <x v="2"/>
  </r>
  <r>
    <s v="SO - 0008747"/>
    <d v="2017-12-15T00:00:00"/>
    <s v="Ozu Ltd"/>
    <s v="Export"/>
    <x v="4"/>
    <n v="8"/>
    <n v="2458.9"/>
    <n v="19671.2"/>
    <n v="1327.806"/>
    <s v="TX"/>
    <s v="Texas"/>
    <s v="South"/>
    <n v="2309499.0449999999"/>
    <n v="10622.448"/>
    <n v="9048.7520000000004"/>
    <n v="46"/>
    <s v="December"/>
    <n v="12"/>
    <s v="2017-12"/>
    <x v="2"/>
  </r>
  <r>
    <s v="SO - 0010129"/>
    <d v="2017-12-15T00:00:00"/>
    <s v="State Ltd"/>
    <s v="Wholesale"/>
    <x v="13"/>
    <n v="9"/>
    <n v="1105.5"/>
    <n v="9949.5"/>
    <n v="895.45500000000004"/>
    <s v="IN"/>
    <s v="Indiana"/>
    <s v="Midwest"/>
    <n v="3299478.3149999999"/>
    <n v="8059.0950000000003"/>
    <n v="1890.40499999999"/>
    <n v="18.999999999999901"/>
    <s v="December"/>
    <n v="12"/>
    <s v="2017-12"/>
    <x v="2"/>
  </r>
  <r>
    <s v="SO - 0008442"/>
    <d v="2017-12-15T00:00:00"/>
    <s v="Liberty Group"/>
    <s v="Wholesale"/>
    <x v="6"/>
    <n v="9"/>
    <n v="167.5"/>
    <n v="1507.5"/>
    <n v="130.65"/>
    <s v="TX"/>
    <s v="Texas"/>
    <s v="South"/>
    <n v="3925424.5419999999"/>
    <n v="1175.8499999999999"/>
    <n v="331.64999999999901"/>
    <n v="21.999999999999901"/>
    <s v="December"/>
    <n v="12"/>
    <s v="2017-12"/>
    <x v="2"/>
  </r>
  <r>
    <s v="SO - 000355"/>
    <d v="2017-12-15T00:00:00"/>
    <s v="Snaptags Ltd"/>
    <s v="Distributor"/>
    <x v="4"/>
    <n v="11"/>
    <n v="1092.0999999999999"/>
    <n v="12013.099999999999"/>
    <n v="622.49699999999996"/>
    <s v="MD"/>
    <s v="Maryland"/>
    <s v="South"/>
    <n v="2309499.0449999999"/>
    <n v="6847.4669999999996"/>
    <n v="5165.6329999999998"/>
    <n v="43"/>
    <s v="December"/>
    <n v="12"/>
    <s v="2017-12"/>
    <x v="2"/>
  </r>
  <r>
    <s v="SO - 0002054"/>
    <d v="2017-12-15T00:00:00"/>
    <s v="Quimm Company"/>
    <s v="Wholesale"/>
    <x v="16"/>
    <n v="6"/>
    <n v="857.6"/>
    <n v="5145.6000000000004"/>
    <n v="497.40799999999899"/>
    <s v="IL"/>
    <s v="Illinois"/>
    <s v="Midwest"/>
    <n v="3016489.2089999998"/>
    <n v="2984.4479999999999"/>
    <n v="2161.152"/>
    <n v="42"/>
    <s v="December"/>
    <n v="12"/>
    <s v="2017-12"/>
    <x v="2"/>
  </r>
  <r>
    <s v="SO - 0002624"/>
    <d v="2017-12-15T00:00:00"/>
    <s v="Janyx Group"/>
    <s v="Distributor"/>
    <x v="2"/>
    <n v="10"/>
    <n v="1085.4000000000001"/>
    <n v="10854"/>
    <n v="911.73599999999999"/>
    <s v="OR"/>
    <s v="Oregon"/>
    <s v="West"/>
    <n v="4028698.409"/>
    <n v="9117.36"/>
    <n v="1736.6399999999901"/>
    <n v="15.999999999999901"/>
    <s v="December"/>
    <n v="12"/>
    <s v="2017-12"/>
    <x v="2"/>
  </r>
  <r>
    <s v="SO - 0005345"/>
    <d v="2017-12-15T00:00:00"/>
    <s v="Buzzshare Company"/>
    <s v="Wholesale"/>
    <x v="1"/>
    <n v="9"/>
    <n v="268"/>
    <n v="2412"/>
    <n v="136.68"/>
    <s v="NV"/>
    <s v="Nevada"/>
    <s v="West"/>
    <n v="5342315.4840000002"/>
    <n v="1230.1199999999999"/>
    <n v="1181.8799999999901"/>
    <n v="48.999999999999901"/>
    <s v="December"/>
    <n v="12"/>
    <s v="2017-12"/>
    <x v="2"/>
  </r>
  <r>
    <s v="SO - 0005376"/>
    <d v="2017-12-15T00:00:00"/>
    <s v="Ncs Group"/>
    <s v="Wholesale"/>
    <x v="27"/>
    <n v="5"/>
    <n v="3845.8"/>
    <n v="19229"/>
    <n v="2269.0219999999999"/>
    <s v="TX"/>
    <s v="Texas"/>
    <s v="South"/>
    <n v="2067108.1199999901"/>
    <n v="11345.11"/>
    <n v="7883.8899999999903"/>
    <n v="41"/>
    <s v="December"/>
    <n v="12"/>
    <s v="2017-12"/>
    <x v="2"/>
  </r>
  <r>
    <s v="SO - 0005843"/>
    <d v="2017-12-15T00:00:00"/>
    <s v="Skinder Group"/>
    <s v="Wholesale"/>
    <x v="11"/>
    <n v="5"/>
    <n v="2479"/>
    <n v="12395"/>
    <n v="1041.18"/>
    <s v="CA"/>
    <s v="California"/>
    <s v="West"/>
    <n v="5685138.2699999996"/>
    <n v="5205.8999999999996"/>
    <n v="7189.0999999999904"/>
    <n v="57.999999999999901"/>
    <s v="December"/>
    <n v="12"/>
    <s v="2017-12"/>
    <x v="2"/>
  </r>
  <r>
    <s v="SO - 0008467"/>
    <d v="2017-12-15T00:00:00"/>
    <s v="Voolia Ltd"/>
    <s v="Wholesale"/>
    <x v="25"/>
    <n v="7"/>
    <n v="2405.3000000000002"/>
    <n v="16837.100000000002"/>
    <n v="1154.5440000000001"/>
    <s v="NY"/>
    <s v="New York"/>
    <s v="Northeast"/>
    <n v="889737.55500000005"/>
    <n v="8081.808"/>
    <n v="8755.2919999999995"/>
    <n v="52"/>
    <s v="December"/>
    <n v="12"/>
    <s v="2017-12"/>
    <x v="2"/>
  </r>
  <r>
    <s v="SO - 0010077"/>
    <d v="2017-12-15T00:00:00"/>
    <s v="Accudial Company"/>
    <s v="Wholesale"/>
    <x v="4"/>
    <n v="5"/>
    <n v="2331.6"/>
    <n v="11658"/>
    <n v="1095.8519999999901"/>
    <s v="NC"/>
    <s v="North Carolina"/>
    <s v="South"/>
    <n v="2309499.0449999999"/>
    <n v="5479.2599999999902"/>
    <n v="6178.74"/>
    <n v="53"/>
    <s v="December"/>
    <n v="12"/>
    <s v="2017-12"/>
    <x v="2"/>
  </r>
  <r>
    <s v="SO - 000224"/>
    <d v="2017-12-15T00:00:00"/>
    <s v="Kaymbo Company"/>
    <s v="Wholesale"/>
    <x v="9"/>
    <n v="11"/>
    <n v="6298"/>
    <n v="69278"/>
    <n v="4534.5599999999904"/>
    <s v="TX"/>
    <s v="Texas"/>
    <s v="South"/>
    <n v="3720639.645"/>
    <n v="49880.159999999902"/>
    <n v="19397.84"/>
    <n v="28"/>
    <s v="December"/>
    <n v="12"/>
    <s v="2017-12"/>
    <x v="2"/>
  </r>
  <r>
    <s v="SO - 000811"/>
    <d v="2017-12-15T00:00:00"/>
    <s v="Fred'S Company"/>
    <s v="Distributor"/>
    <x v="1"/>
    <n v="11"/>
    <n v="3839.1"/>
    <n v="42230.1"/>
    <n v="3071.28"/>
    <s v="PA"/>
    <s v="Pennsylvania"/>
    <s v="Northeast"/>
    <n v="5342315.4840000002"/>
    <n v="33784.080000000002"/>
    <n v="8446.0199999999895"/>
    <n v="19.999999999999901"/>
    <s v="December"/>
    <n v="12"/>
    <s v="2017-12"/>
    <x v="2"/>
  </r>
  <r>
    <s v="SO - 0001761"/>
    <d v="2017-12-15T00:00:00"/>
    <s v="Roomm Company"/>
    <s v="Export"/>
    <x v="13"/>
    <n v="6"/>
    <n v="2010"/>
    <n v="12060"/>
    <n v="924.6"/>
    <s v="OH"/>
    <s v="Ohio"/>
    <s v="Midwest"/>
    <n v="3299478.3149999999"/>
    <n v="5547.6"/>
    <n v="6512.4"/>
    <n v="53.999999999999901"/>
    <s v="December"/>
    <n v="12"/>
    <s v="2017-12"/>
    <x v="2"/>
  </r>
  <r>
    <s v="SO - 0002813"/>
    <d v="2017-12-15T00:00:00"/>
    <s v="Centizu Company"/>
    <s v="Wholesale"/>
    <x v="12"/>
    <n v="12"/>
    <n v="3946.3"/>
    <n v="47355.600000000006"/>
    <n v="1775.835"/>
    <s v="NY"/>
    <s v="New York"/>
    <s v="Northeast"/>
    <n v="959899.21799999999"/>
    <n v="21310.02"/>
    <n v="26045.58"/>
    <n v="55"/>
    <s v="December"/>
    <n v="12"/>
    <s v="2017-12"/>
    <x v="2"/>
  </r>
  <r>
    <s v="SO - 0005861"/>
    <d v="2017-12-15T00:00:00"/>
    <s v="Bath Group"/>
    <s v="Export"/>
    <x v="2"/>
    <n v="5"/>
    <n v="1869.3"/>
    <n v="9346.5"/>
    <n v="972.03599999999994"/>
    <s v="IN"/>
    <s v="Indiana"/>
    <s v="Midwest"/>
    <n v="4028698.409"/>
    <n v="4860.18"/>
    <n v="4486.32"/>
    <n v="48"/>
    <s v="December"/>
    <n v="12"/>
    <s v="2017-12"/>
    <x v="2"/>
  </r>
  <r>
    <s v="SO - 0006194"/>
    <d v="2017-12-15T00:00:00"/>
    <s v="Safecor Corp"/>
    <s v="Export"/>
    <x v="11"/>
    <n v="5"/>
    <n v="6009.9"/>
    <n v="30049.5"/>
    <n v="3726.1379999999999"/>
    <s v="NY"/>
    <s v="New York"/>
    <s v="Northeast"/>
    <n v="5685138.2699999996"/>
    <n v="18630.689999999999"/>
    <n v="11418.81"/>
    <n v="38"/>
    <s v="December"/>
    <n v="12"/>
    <s v="2017-12"/>
    <x v="2"/>
  </r>
  <r>
    <s v="SO - 0006421"/>
    <d v="2017-12-15T00:00:00"/>
    <s v="Tekfly Group"/>
    <s v="Wholesale"/>
    <x v="3"/>
    <n v="7"/>
    <n v="1105.5"/>
    <n v="7738.5"/>
    <n v="906.51"/>
    <s v="MA"/>
    <s v="Massachusetts"/>
    <s v="Northeast"/>
    <n v="1085037.3289999999"/>
    <n v="6345.57"/>
    <n v="1392.93"/>
    <n v="18"/>
    <s v="December"/>
    <n v="12"/>
    <s v="2017-12"/>
    <x v="2"/>
  </r>
  <r>
    <s v="SO - 0007260"/>
    <d v="2017-12-15T00:00:00"/>
    <s v="Zoovu Corp"/>
    <s v="Export"/>
    <x v="18"/>
    <n v="11"/>
    <n v="5219.3"/>
    <n v="57412.3"/>
    <n v="4332.0190000000002"/>
    <s v="CA"/>
    <s v="California"/>
    <s v="West"/>
    <n v="1135815.7579999999"/>
    <n v="47652.209000000003"/>
    <n v="9760.0910000000003"/>
    <n v="17"/>
    <s v="December"/>
    <n v="12"/>
    <s v="2017-12"/>
    <x v="2"/>
  </r>
  <r>
    <s v="SO - 0008980"/>
    <d v="2017-12-15T00:00:00"/>
    <s v="Safeway Ltd"/>
    <s v="Wholesale"/>
    <x v="1"/>
    <n v="8"/>
    <n v="1855.9"/>
    <n v="14847.2"/>
    <n v="1280.5709999999999"/>
    <s v="FL"/>
    <s v="Florida"/>
    <s v="South"/>
    <n v="5342315.4840000002"/>
    <n v="10244.567999999999"/>
    <n v="4602.6319999999996"/>
    <n v="31"/>
    <s v="December"/>
    <n v="12"/>
    <s v="2017-12"/>
    <x v="2"/>
  </r>
  <r>
    <s v="SO - 0010589"/>
    <d v="2017-12-15T00:00:00"/>
    <s v="Centizu Company"/>
    <s v="Distributor"/>
    <x v="27"/>
    <n v="6"/>
    <n v="1045.2"/>
    <n v="6271.2000000000007"/>
    <n v="449.43599999999998"/>
    <s v="IL"/>
    <s v="Illinois"/>
    <s v="Midwest"/>
    <n v="2067108.1199999901"/>
    <n v="2696.616"/>
    <n v="3574.5839999999998"/>
    <n v="57"/>
    <s v="December"/>
    <n v="12"/>
    <s v="2017-12"/>
    <x v="2"/>
  </r>
  <r>
    <s v="SO - 0001362"/>
    <d v="2017-12-15T00:00:00"/>
    <s v="Rochester Group"/>
    <s v="Wholesale"/>
    <x v="1"/>
    <n v="12"/>
    <n v="1132.3"/>
    <n v="13587.599999999999"/>
    <n v="520.85799999999995"/>
    <s v="TX"/>
    <s v="Texas"/>
    <s v="South"/>
    <n v="5342315.4840000002"/>
    <n v="6250.2959999999903"/>
    <n v="7337.3039999999901"/>
    <n v="54"/>
    <s v="December"/>
    <n v="12"/>
    <s v="2017-12"/>
    <x v="2"/>
  </r>
  <r>
    <s v="SO - 0001647"/>
    <d v="2017-12-15T00:00:00"/>
    <s v="Oozz Group"/>
    <s v="Export"/>
    <x v="10"/>
    <n v="7"/>
    <n v="5929.5"/>
    <n v="41506.5"/>
    <n v="3498.4049999999902"/>
    <s v="TX"/>
    <s v="Texas"/>
    <s v="South"/>
    <n v="1672229.416"/>
    <n v="24488.834999999999"/>
    <n v="17017.665000000001"/>
    <n v="41"/>
    <s v="December"/>
    <n v="12"/>
    <s v="2017-12"/>
    <x v="2"/>
  </r>
  <r>
    <s v="SO - 0003277"/>
    <d v="2017-12-15T00:00:00"/>
    <s v="Mylan Corp"/>
    <s v="Distributor"/>
    <x v="2"/>
    <n v="12"/>
    <n v="3999.9"/>
    <n v="47998.8"/>
    <n v="3079.9229999999998"/>
    <s v="ID"/>
    <s v="Idaho"/>
    <s v="West"/>
    <n v="4028698.409"/>
    <n v="36959.076000000001"/>
    <n v="11039.724"/>
    <n v="23"/>
    <s v="December"/>
    <n v="12"/>
    <s v="2017-12"/>
    <x v="2"/>
  </r>
  <r>
    <s v="SO - 0004839"/>
    <d v="2017-12-15T00:00:00"/>
    <s v="Blogtags Ltd"/>
    <s v="Distributor"/>
    <x v="7"/>
    <n v="6"/>
    <n v="871"/>
    <n v="5226"/>
    <n v="740.35"/>
    <s v="WA"/>
    <s v="Washington"/>
    <s v="West"/>
    <n v="3050087.5649999999"/>
    <n v="4442.1000000000004"/>
    <n v="783.89999999999895"/>
    <n v="14.999999999999901"/>
    <s v="December"/>
    <n v="12"/>
    <s v="2017-12"/>
    <x v="2"/>
  </r>
  <r>
    <s v="SO - 0007945"/>
    <d v="2017-12-15T00:00:00"/>
    <s v="Trunyx Ltd"/>
    <s v="Distributor"/>
    <x v="13"/>
    <n v="11"/>
    <n v="2559.4"/>
    <n v="28153.4"/>
    <n v="1970.7380000000001"/>
    <s v="IN"/>
    <s v="Indiana"/>
    <s v="Midwest"/>
    <n v="3299478.3149999999"/>
    <n v="21678.117999999999"/>
    <n v="6475.2819999999901"/>
    <n v="22.999999999999901"/>
    <s v="December"/>
    <n v="12"/>
    <s v="2017-12"/>
    <x v="2"/>
  </r>
  <r>
    <s v="SO - 0008947"/>
    <d v="2017-12-15T00:00:00"/>
    <s v="Organon Corp"/>
    <s v="Wholesale"/>
    <x v="9"/>
    <n v="7"/>
    <n v="1159.0999999999999"/>
    <n v="8113.6999999999989"/>
    <n v="788.18799999999999"/>
    <s v="WA"/>
    <s v="Washington"/>
    <s v="West"/>
    <n v="3720639.645"/>
    <n v="5517.3159999999998"/>
    <n v="2596.384"/>
    <n v="31.999999999999901"/>
    <s v="December"/>
    <n v="12"/>
    <s v="2017-12"/>
    <x v="2"/>
  </r>
  <r>
    <s v="SO - 0008180"/>
    <d v="2017-12-15T00:00:00"/>
    <s v="Pacific Ltd"/>
    <s v="Wholesale"/>
    <x v="13"/>
    <n v="8"/>
    <n v="2391.9"/>
    <n v="19135.2"/>
    <n v="1841.7629999999999"/>
    <s v="IL"/>
    <s v="Illinois"/>
    <s v="Midwest"/>
    <n v="3299478.3149999999"/>
    <n v="14734.103999999999"/>
    <n v="4401.0959999999995"/>
    <n v="22.999999999999901"/>
    <s v="December"/>
    <n v="12"/>
    <s v="2017-12"/>
    <x v="2"/>
  </r>
  <r>
    <s v="SO - 0008223"/>
    <d v="2017-12-15T00:00:00"/>
    <s v="Jayo Company"/>
    <s v="Wholesale"/>
    <x v="6"/>
    <n v="5"/>
    <n v="3912.8"/>
    <n v="19564"/>
    <n v="1956.4"/>
    <s v="OH"/>
    <s v="Ohio"/>
    <s v="Midwest"/>
    <n v="3925424.5419999999"/>
    <n v="9782"/>
    <n v="9782"/>
    <n v="50"/>
    <s v="December"/>
    <n v="12"/>
    <s v="2017-12"/>
    <x v="2"/>
  </r>
  <r>
    <s v="SO - 000721"/>
    <d v="2017-12-15T00:00:00"/>
    <s v="Realbuzz Ltd"/>
    <s v="Distributor"/>
    <x v="24"/>
    <n v="9"/>
    <n v="5447.1"/>
    <n v="49023.9"/>
    <n v="4248.7380000000003"/>
    <s v="FL"/>
    <s v="Florida"/>
    <s v="South"/>
    <n v="594471.56999999995"/>
    <n v="38238.642"/>
    <n v="10785.258"/>
    <n v="22"/>
    <s v="December"/>
    <n v="12"/>
    <s v="2017-12"/>
    <x v="2"/>
  </r>
  <r>
    <s v="SO - 0001582"/>
    <d v="2017-12-15T00:00:00"/>
    <s v="Blogtags Ltd"/>
    <s v="Wholesale"/>
    <x v="9"/>
    <n v="8"/>
    <n v="2311.5"/>
    <n v="18492"/>
    <n v="1410.0149999999901"/>
    <s v="CA"/>
    <s v="California"/>
    <s v="West"/>
    <n v="3720639.645"/>
    <n v="11280.119999999901"/>
    <n v="7211.88"/>
    <n v="39"/>
    <s v="December"/>
    <n v="12"/>
    <s v="2017-12"/>
    <x v="2"/>
  </r>
  <r>
    <s v="SO - 0002784"/>
    <d v="2017-12-15T00:00:00"/>
    <s v="Bluezoom Group"/>
    <s v="Distributor"/>
    <x v="14"/>
    <n v="5"/>
    <n v="2224.4"/>
    <n v="11122"/>
    <n v="1668.3"/>
    <s v="TX"/>
    <s v="Texas"/>
    <s v="South"/>
    <n v="2119616.824"/>
    <n v="8341.5"/>
    <n v="2780.5"/>
    <n v="25"/>
    <s v="December"/>
    <n v="12"/>
    <s v="2017-12"/>
    <x v="2"/>
  </r>
  <r>
    <s v="SO - 0003693"/>
    <d v="2017-12-15T00:00:00"/>
    <s v="Z.H.T. Group"/>
    <s v="Wholesale"/>
    <x v="10"/>
    <n v="6"/>
    <n v="6204.2"/>
    <n v="37225.199999999997"/>
    <n v="4963.3599999999997"/>
    <s v="MD"/>
    <s v="Maryland"/>
    <s v="South"/>
    <n v="1672229.416"/>
    <n v="29780.16"/>
    <n v="7445.03999999999"/>
    <n v="19.999999999999901"/>
    <s v="December"/>
    <n v="12"/>
    <s v="2017-12"/>
    <x v="2"/>
  </r>
  <r>
    <s v="SO - 0005299"/>
    <d v="2017-12-15T00:00:00"/>
    <s v="Accord Group"/>
    <s v="Distributor"/>
    <x v="7"/>
    <n v="7"/>
    <n v="5909.4"/>
    <n v="41365.799999999996"/>
    <n v="4432.05"/>
    <s v="TX"/>
    <s v="Texas"/>
    <s v="South"/>
    <n v="3050087.5649999999"/>
    <n v="31024.35"/>
    <n v="10341.450000000001"/>
    <n v="25"/>
    <s v="December"/>
    <n v="12"/>
    <s v="2017-12"/>
    <x v="2"/>
  </r>
  <r>
    <s v="SO - 000642"/>
    <d v="2017-12-16T00:00:00"/>
    <s v="Woonsocket Corp"/>
    <s v="Wholesale"/>
    <x v="20"/>
    <n v="6"/>
    <n v="2465.6"/>
    <n v="14793.599999999999"/>
    <n v="1602.64"/>
    <s v="OR"/>
    <s v="Oregon"/>
    <s v="West"/>
    <n v="964940.23100000003"/>
    <n v="9615.84"/>
    <n v="5177.7599999999902"/>
    <n v="34.999999999999901"/>
    <s v="December"/>
    <n v="12"/>
    <s v="2017-12"/>
    <x v="2"/>
  </r>
  <r>
    <s v="SO - 0003119"/>
    <d v="2017-12-16T00:00:00"/>
    <s v="Organon Corp"/>
    <s v="Wholesale"/>
    <x v="1"/>
    <n v="12"/>
    <n v="1112.2"/>
    <n v="13346.400000000001"/>
    <n v="444.88"/>
    <s v="NY"/>
    <s v="New York"/>
    <s v="Northeast"/>
    <n v="5342315.4840000002"/>
    <n v="5338.56"/>
    <n v="8007.84"/>
    <n v="60"/>
    <s v="December"/>
    <n v="12"/>
    <s v="2017-12"/>
    <x v="2"/>
  </r>
  <r>
    <s v="SO - 0006763"/>
    <d v="2017-12-16T00:00:00"/>
    <s v="Aibox Company"/>
    <s v="Wholesale"/>
    <x v="23"/>
    <n v="10"/>
    <n v="2700.1"/>
    <n v="27001"/>
    <n v="1755.0650000000001"/>
    <s v="TX"/>
    <s v="Texas"/>
    <s v="South"/>
    <n v="1645841.6"/>
    <n v="17550.650000000001"/>
    <n v="9450.3499999999894"/>
    <n v="34.999999999999901"/>
    <s v="December"/>
    <n v="12"/>
    <s v="2017-12"/>
    <x v="2"/>
  </r>
  <r>
    <s v="SO - 0007931"/>
    <d v="2017-12-16T00:00:00"/>
    <s v="Cardinal Group"/>
    <s v="Export"/>
    <x v="23"/>
    <n v="12"/>
    <n v="951.4"/>
    <n v="11416.8"/>
    <n v="694.52199999999903"/>
    <s v="CA"/>
    <s v="California"/>
    <s v="West"/>
    <n v="1645841.6"/>
    <n v="8334.2639999999992"/>
    <n v="3082.5360000000001"/>
    <n v="27"/>
    <s v="December"/>
    <n v="12"/>
    <s v="2017-12"/>
    <x v="2"/>
  </r>
  <r>
    <s v="SO - 0010046"/>
    <d v="2017-12-16T00:00:00"/>
    <s v="Shuffledri Group"/>
    <s v="Distributor"/>
    <x v="9"/>
    <n v="10"/>
    <n v="3999.9"/>
    <n v="39999"/>
    <n v="3359.9160000000002"/>
    <s v="PA"/>
    <s v="Pennsylvania"/>
    <s v="Northeast"/>
    <n v="3720639.645"/>
    <n v="33599.160000000003"/>
    <n v="6399.8399999999901"/>
    <n v="15.999999999999901"/>
    <s v="December"/>
    <n v="12"/>
    <s v="2017-12"/>
    <x v="2"/>
  </r>
  <r>
    <s v="SO - 0001241"/>
    <d v="2017-12-16T00:00:00"/>
    <s v="Muxo Group"/>
    <s v="Wholesale"/>
    <x v="11"/>
    <n v="5"/>
    <n v="1005"/>
    <n v="5025"/>
    <n v="783.9"/>
    <s v="CO"/>
    <s v="Colorado"/>
    <s v="West"/>
    <n v="5685138.2699999996"/>
    <n v="3919.5"/>
    <n v="1105.5"/>
    <n v="22"/>
    <s v="December"/>
    <n v="12"/>
    <s v="2017-12"/>
    <x v="2"/>
  </r>
  <r>
    <s v="SO - 0002735"/>
    <d v="2017-12-16T00:00:00"/>
    <s v="Realbuzz Ltd"/>
    <s v="Export"/>
    <x v="20"/>
    <n v="9"/>
    <n v="2318.1999999999998"/>
    <n v="20863.8"/>
    <n v="1275.01"/>
    <s v="CT"/>
    <s v="Connecticut"/>
    <s v="Northeast"/>
    <n v="964940.23100000003"/>
    <n v="11475.09"/>
    <n v="9388.7099999999991"/>
    <n v="44.999999999999901"/>
    <s v="December"/>
    <n v="12"/>
    <s v="2017-12"/>
    <x v="2"/>
  </r>
  <r>
    <s v="SO - 0002881"/>
    <d v="2017-12-16T00:00:00"/>
    <s v="Jabbercube Corp"/>
    <s v="Distributor"/>
    <x v="15"/>
    <n v="9"/>
    <n v="1159.0999999999999"/>
    <n v="10431.9"/>
    <n v="811.37"/>
    <s v="CA"/>
    <s v="California"/>
    <s v="West"/>
    <n v="2062061.1440000001"/>
    <n v="7302.33"/>
    <n v="3129.57"/>
    <n v="30"/>
    <s v="December"/>
    <n v="12"/>
    <s v="2017-12"/>
    <x v="2"/>
  </r>
  <r>
    <s v="SO - 0004260"/>
    <d v="2017-12-16T00:00:00"/>
    <s v="Z.H.T. Group"/>
    <s v="Wholesale"/>
    <x v="9"/>
    <n v="9"/>
    <n v="5587.8"/>
    <n v="50290.200000000004"/>
    <n v="2738.0219999999999"/>
    <s v="TX"/>
    <s v="Texas"/>
    <s v="South"/>
    <n v="3720639.645"/>
    <n v="24642.198"/>
    <n v="25648.002"/>
    <n v="51"/>
    <s v="December"/>
    <n v="12"/>
    <s v="2017-12"/>
    <x v="2"/>
  </r>
  <r>
    <s v="SO - 0004918"/>
    <d v="2017-12-16T00:00:00"/>
    <s v="Army Group"/>
    <s v="Wholesale"/>
    <x v="28"/>
    <n v="5"/>
    <n v="2613"/>
    <n v="13065"/>
    <n v="2168.79"/>
    <s v="WI"/>
    <s v="Wisconsin"/>
    <s v="Midwest"/>
    <n v="756557.97"/>
    <n v="10843.95"/>
    <n v="2221.0499999999902"/>
    <n v="16.999999999999901"/>
    <s v="December"/>
    <n v="12"/>
    <s v="2017-12"/>
    <x v="2"/>
  </r>
  <r>
    <s v="SO - 0005468"/>
    <d v="2017-12-16T00:00:00"/>
    <s v="Buzzbean Group"/>
    <s v="Distributor"/>
    <x v="23"/>
    <n v="7"/>
    <n v="1125.5999999999999"/>
    <n v="7879.1999999999989"/>
    <n v="495.26400000000001"/>
    <s v="CT"/>
    <s v="Connecticut"/>
    <s v="Northeast"/>
    <n v="1645841.6"/>
    <n v="3466.848"/>
    <n v="4412.3519999999999"/>
    <n v="56"/>
    <s v="December"/>
    <n v="12"/>
    <s v="2017-12"/>
    <x v="2"/>
  </r>
  <r>
    <s v="SO - 0006486"/>
    <d v="2017-12-16T00:00:00"/>
    <s v="Camido Company"/>
    <s v="Wholesale"/>
    <x v="10"/>
    <n v="7"/>
    <n v="6137.2"/>
    <n v="42960.4"/>
    <n v="4480.1559999999999"/>
    <s v="MA"/>
    <s v="Massachusetts"/>
    <s v="Northeast"/>
    <n v="1672229.416"/>
    <n v="31361.092000000001"/>
    <n v="11599.308000000001"/>
    <n v="27"/>
    <s v="December"/>
    <n v="12"/>
    <s v="2017-12"/>
    <x v="2"/>
  </r>
  <r>
    <s v="SO - 0009800"/>
    <d v="2017-12-16T00:00:00"/>
    <s v="Janyx Group"/>
    <s v="Wholesale"/>
    <x v="9"/>
    <n v="8"/>
    <n v="3886"/>
    <n v="31088"/>
    <n v="2215.02"/>
    <s v="FL"/>
    <s v="Florida"/>
    <s v="South"/>
    <n v="3720639.645"/>
    <n v="17720.16"/>
    <n v="13367.84"/>
    <n v="43"/>
    <s v="December"/>
    <n v="12"/>
    <s v="2017-12"/>
    <x v="2"/>
  </r>
  <r>
    <s v="SO - 000891"/>
    <d v="2017-12-16T00:00:00"/>
    <s v="Alk-Abello Ltd"/>
    <s v="Export"/>
    <x v="6"/>
    <n v="6"/>
    <n v="1829.1"/>
    <n v="10974.599999999999"/>
    <n v="987.71400000000006"/>
    <s v="CA"/>
    <s v="California"/>
    <s v="West"/>
    <n v="3925424.5419999999"/>
    <n v="5926.2839999999997"/>
    <n v="5048.3159999999898"/>
    <n v="45.999999999999901"/>
    <s v="December"/>
    <n v="12"/>
    <s v="2017-12"/>
    <x v="2"/>
  </r>
  <r>
    <s v="SO - 0001015"/>
    <d v="2017-12-16T00:00:00"/>
    <s v="Zooxo Ltd"/>
    <s v="Wholesale"/>
    <x v="2"/>
    <n v="12"/>
    <n v="3819"/>
    <n v="45828"/>
    <n v="2520.54"/>
    <s v="CA"/>
    <s v="California"/>
    <s v="West"/>
    <n v="4028698.409"/>
    <n v="30246.48"/>
    <n v="15581.52"/>
    <n v="34"/>
    <s v="December"/>
    <n v="12"/>
    <s v="2017-12"/>
    <x v="2"/>
  </r>
  <r>
    <s v="SO - 0006413"/>
    <d v="2017-12-16T00:00:00"/>
    <s v="Zoonoodle Ltd"/>
    <s v="Wholesale"/>
    <x v="15"/>
    <n v="12"/>
    <n v="167.5"/>
    <n v="2010"/>
    <n v="98.824999999999903"/>
    <s v="CA"/>
    <s v="California"/>
    <s v="West"/>
    <n v="2062061.1440000001"/>
    <n v="1185.8999999999901"/>
    <n v="824.1"/>
    <n v="41"/>
    <s v="December"/>
    <n v="12"/>
    <s v="2017-12"/>
    <x v="2"/>
  </r>
  <r>
    <s v="SO - 0006722"/>
    <d v="2017-12-16T00:00:00"/>
    <s v="Oozz Group"/>
    <s v="Wholesale"/>
    <x v="13"/>
    <n v="11"/>
    <n v="3939.6"/>
    <n v="43335.6"/>
    <n v="2718.3239999999901"/>
    <s v="MI"/>
    <s v="Michigan"/>
    <s v="Midwest"/>
    <n v="3299478.3149999999"/>
    <n v="29901.5639999999"/>
    <n v="13434.036"/>
    <n v="31"/>
    <s v="December"/>
    <n v="12"/>
    <s v="2017-12"/>
    <x v="2"/>
  </r>
  <r>
    <s v="SO - 0007299"/>
    <d v="2017-12-16T00:00:00"/>
    <s v="Buzzshare Company"/>
    <s v="Distributor"/>
    <x v="16"/>
    <n v="7"/>
    <n v="1105.5"/>
    <n v="7738.5"/>
    <n v="906.51"/>
    <s v="MI"/>
    <s v="Michigan"/>
    <s v="Midwest"/>
    <n v="3016489.2089999998"/>
    <n v="6345.57"/>
    <n v="1392.93"/>
    <n v="18"/>
    <s v="December"/>
    <n v="12"/>
    <s v="2017-12"/>
    <x v="2"/>
  </r>
  <r>
    <s v="SO - 0007508"/>
    <d v="2017-12-16T00:00:00"/>
    <s v="Alk-Abello Ltd"/>
    <s v="Export"/>
    <x v="17"/>
    <n v="7"/>
    <n v="964.8"/>
    <n v="6753.5999999999995"/>
    <n v="588.52800000000002"/>
    <s v="TN"/>
    <s v="Tennessee"/>
    <s v="South"/>
    <n v="2642352.432"/>
    <n v="4119.6959999999999"/>
    <n v="2633.904"/>
    <n v="39"/>
    <s v="December"/>
    <n v="12"/>
    <s v="2017-12"/>
    <x v="2"/>
  </r>
  <r>
    <s v="SO - 0009363"/>
    <d v="2017-12-16T00:00:00"/>
    <s v="Zoonder Group"/>
    <s v="Wholesale"/>
    <x v="11"/>
    <n v="9"/>
    <n v="2278"/>
    <n v="20502"/>
    <n v="1161.78"/>
    <s v="CA"/>
    <s v="California"/>
    <s v="West"/>
    <n v="5685138.2699999996"/>
    <n v="10456.02"/>
    <n v="10045.98"/>
    <n v="49"/>
    <s v="December"/>
    <n v="12"/>
    <s v="2017-12"/>
    <x v="2"/>
  </r>
  <r>
    <s v="SO - 0001643"/>
    <d v="2017-12-16T00:00:00"/>
    <s v="Blogspan Ltd"/>
    <s v="Distributor"/>
    <x v="5"/>
    <n v="12"/>
    <n v="1219.4000000000001"/>
    <n v="14632.800000000001"/>
    <n v="865.774"/>
    <s v="CA"/>
    <s v="California"/>
    <s v="West"/>
    <n v="1003867.767"/>
    <n v="10389.288"/>
    <n v="4243.5119999999997"/>
    <n v="29"/>
    <s v="December"/>
    <n v="12"/>
    <s v="2017-12"/>
    <x v="2"/>
  </r>
  <r>
    <s v="SO - 0004214"/>
    <d v="2017-12-16T00:00:00"/>
    <s v="Eayo Company"/>
    <s v="Distributor"/>
    <x v="1"/>
    <n v="11"/>
    <n v="3886"/>
    <n v="42746"/>
    <n v="1554.4"/>
    <s v="MN"/>
    <s v="Minnesota"/>
    <s v="Midwest"/>
    <n v="5342315.4840000002"/>
    <n v="17098.400000000001"/>
    <n v="25647.599999999999"/>
    <n v="60"/>
    <s v="December"/>
    <n v="12"/>
    <s v="2017-12"/>
    <x v="2"/>
  </r>
  <r>
    <s v="SO - 0006722"/>
    <d v="2017-12-16T00:00:00"/>
    <s v="Oozz Group"/>
    <s v="Wholesale"/>
    <x v="13"/>
    <n v="11"/>
    <n v="3939.6"/>
    <n v="43335.6"/>
    <n v="2718.3239999999901"/>
    <s v="IL"/>
    <s v="Illinois"/>
    <s v="Midwest"/>
    <n v="3299478.3149999999"/>
    <n v="29901.5639999999"/>
    <n v="13434.036"/>
    <n v="31"/>
    <s v="December"/>
    <n v="12"/>
    <s v="2017-12"/>
    <x v="2"/>
  </r>
  <r>
    <s v="SO - 0009844"/>
    <d v="2017-12-16T00:00:00"/>
    <s v="Centizu Company"/>
    <s v="Wholesale"/>
    <x v="9"/>
    <n v="5"/>
    <n v="2405.3000000000002"/>
    <n v="12026.5"/>
    <n v="986.173"/>
    <s v="FL"/>
    <s v="Florida"/>
    <s v="South"/>
    <n v="3720639.645"/>
    <n v="4930.8649999999998"/>
    <n v="7095.6350000000002"/>
    <n v="59"/>
    <s v="December"/>
    <n v="12"/>
    <s v="2017-12"/>
    <x v="2"/>
  </r>
  <r>
    <s v="SO - 0010502"/>
    <d v="2017-12-16T00:00:00"/>
    <s v="Fivebridge Ltd"/>
    <s v="Wholesale"/>
    <x v="7"/>
    <n v="11"/>
    <n v="5896"/>
    <n v="64856"/>
    <n v="3183.84"/>
    <s v="PA"/>
    <s v="Pennsylvania"/>
    <s v="Northeast"/>
    <n v="3050087.5649999999"/>
    <n v="35022.239999999998"/>
    <n v="29833.7599999999"/>
    <n v="45.999999999999901"/>
    <s v="December"/>
    <n v="12"/>
    <s v="2017-12"/>
    <x v="2"/>
  </r>
  <r>
    <s v="SO - 0002821"/>
    <d v="2017-12-16T00:00:00"/>
    <s v="Shuffledri Group"/>
    <s v="Wholesale"/>
    <x v="1"/>
    <n v="6"/>
    <n v="1936.3"/>
    <n v="11617.8"/>
    <n v="1103.69099999999"/>
    <s v="FL"/>
    <s v="Florida"/>
    <s v="South"/>
    <n v="5342315.4840000002"/>
    <n v="6622.1459999999897"/>
    <n v="4995.6540000000005"/>
    <n v="43"/>
    <s v="December"/>
    <n v="12"/>
    <s v="2017-12"/>
    <x v="2"/>
  </r>
  <r>
    <s v="SO - 0003196"/>
    <d v="2017-12-16T00:00:00"/>
    <s v="Skidoo Company"/>
    <s v="Distributor"/>
    <x v="6"/>
    <n v="5"/>
    <n v="3959.7"/>
    <n v="19798.5"/>
    <n v="2811.3870000000002"/>
    <s v="WA"/>
    <s v="Washington"/>
    <s v="West"/>
    <n v="3925424.5419999999"/>
    <n v="14056.934999999999"/>
    <n v="5741.5649999999896"/>
    <n v="28.999999999999901"/>
    <s v="December"/>
    <n v="12"/>
    <s v="2017-12"/>
    <x v="2"/>
  </r>
  <r>
    <s v="SO - 0003336"/>
    <d v="2017-12-16T00:00:00"/>
    <s v="Bath Group"/>
    <s v="Export"/>
    <x v="11"/>
    <n v="9"/>
    <n v="6190.8"/>
    <n v="55717.200000000004"/>
    <n v="3033.4920000000002"/>
    <s v="IL"/>
    <s v="Illinois"/>
    <s v="Midwest"/>
    <n v="5685138.2699999996"/>
    <n v="27301.428"/>
    <n v="28415.772000000001"/>
    <n v="51"/>
    <s v="December"/>
    <n v="12"/>
    <s v="2017-12"/>
    <x v="2"/>
  </r>
  <r>
    <s v="SO - 0004774"/>
    <d v="2017-12-16T00:00:00"/>
    <s v="H Ltd"/>
    <s v="Export"/>
    <x v="1"/>
    <n v="5"/>
    <n v="958.1"/>
    <n v="4790.5"/>
    <n v="526.95500000000004"/>
    <s v="OH"/>
    <s v="Ohio"/>
    <s v="Midwest"/>
    <n v="5342315.4840000002"/>
    <n v="2634.7750000000001"/>
    <n v="2155.7249999999999"/>
    <n v="44.999999999999901"/>
    <s v="December"/>
    <n v="12"/>
    <s v="2017-12"/>
    <x v="2"/>
  </r>
  <r>
    <s v="SO - 0007009"/>
    <d v="2017-12-16T00:00:00"/>
    <s v="Zooxo Ltd"/>
    <s v="Wholesale"/>
    <x v="14"/>
    <n v="6"/>
    <n v="1038.5"/>
    <n v="6231"/>
    <n v="664.64"/>
    <s v="OK"/>
    <s v="Oklahoma"/>
    <s v="South"/>
    <n v="2119616.824"/>
    <n v="3987.84"/>
    <n v="2243.16"/>
    <n v="36"/>
    <s v="December"/>
    <n v="12"/>
    <s v="2017-12"/>
    <x v="2"/>
  </r>
  <r>
    <s v="SO - 0007090"/>
    <d v="2017-12-16T00:00:00"/>
    <s v="Voonyx Group"/>
    <s v="Export"/>
    <x v="6"/>
    <n v="5"/>
    <n v="2345"/>
    <n v="11725"/>
    <n v="1172.5"/>
    <s v="MI"/>
    <s v="Michigan"/>
    <s v="Midwest"/>
    <n v="3925424.5419999999"/>
    <n v="5862.5"/>
    <n v="5862.5"/>
    <n v="50"/>
    <s v="December"/>
    <n v="12"/>
    <s v="2017-12"/>
    <x v="2"/>
  </r>
  <r>
    <s v="SO - 0008444"/>
    <d v="2017-12-16T00:00:00"/>
    <s v="Buzzbean Group"/>
    <s v="Wholesale"/>
    <x v="1"/>
    <n v="12"/>
    <n v="1165.8"/>
    <n v="13989.599999999999"/>
    <n v="722.79599999999903"/>
    <s v="GA"/>
    <s v="Georgia"/>
    <s v="South"/>
    <n v="5342315.4840000002"/>
    <n v="8673.5519999999997"/>
    <n v="5316.0479999999898"/>
    <n v="37.999999999999901"/>
    <s v="December"/>
    <n v="12"/>
    <s v="2017-12"/>
    <x v="2"/>
  </r>
  <r>
    <s v="SO - 0009659"/>
    <d v="2017-12-16T00:00:00"/>
    <s v="Geiss Company"/>
    <s v="Wholesale"/>
    <x v="6"/>
    <n v="7"/>
    <n v="187.6"/>
    <n v="1313.2"/>
    <n v="142.57599999999999"/>
    <s v="MI"/>
    <s v="Michigan"/>
    <s v="Midwest"/>
    <n v="3925424.5419999999"/>
    <n v="998.03199999999902"/>
    <n v="315.16800000000001"/>
    <n v="24"/>
    <s v="December"/>
    <n v="12"/>
    <s v="2017-12"/>
    <x v="2"/>
  </r>
  <r>
    <s v="SO - 0010522"/>
    <d v="2017-12-16T00:00:00"/>
    <s v="Holston Company"/>
    <s v="Export"/>
    <x v="1"/>
    <n v="9"/>
    <n v="3142.3"/>
    <n v="28280.7"/>
    <n v="1445.4580000000001"/>
    <s v="NC"/>
    <s v="North Carolina"/>
    <s v="South"/>
    <n v="5342315.4840000002"/>
    <n v="13009.121999999999"/>
    <n v="15271.578"/>
    <n v="53.999999999999901"/>
    <s v="December"/>
    <n v="12"/>
    <s v="2017-12"/>
    <x v="2"/>
  </r>
  <r>
    <s v="SO - 0001776"/>
    <d v="2017-12-16T00:00:00"/>
    <s v="Voolith Ltd"/>
    <s v="Distributor"/>
    <x v="7"/>
    <n v="9"/>
    <n v="1916.2"/>
    <n v="17245.8"/>
    <n v="1379.664"/>
    <s v="MI"/>
    <s v="Michigan"/>
    <s v="Midwest"/>
    <n v="3050087.5649999999"/>
    <n v="12416.976000000001"/>
    <n v="4828.8239999999896"/>
    <n v="27.999999999999901"/>
    <s v="December"/>
    <n v="12"/>
    <s v="2017-12"/>
    <x v="2"/>
  </r>
  <r>
    <s v="SO - 0007501"/>
    <d v="2017-12-16T00:00:00"/>
    <s v="Aveda Group"/>
    <s v="Distributor"/>
    <x v="6"/>
    <n v="8"/>
    <n v="3959.7"/>
    <n v="31677.599999999999"/>
    <n v="2098.6410000000001"/>
    <s v="CA"/>
    <s v="California"/>
    <s v="West"/>
    <n v="3925424.5419999999"/>
    <n v="16789.128000000001"/>
    <n v="14888.472"/>
    <n v="47"/>
    <s v="December"/>
    <n v="12"/>
    <s v="2017-12"/>
    <x v="2"/>
  </r>
  <r>
    <s v="SO - 0010244"/>
    <d v="2017-12-16T00:00:00"/>
    <s v="Fivebridge Ltd"/>
    <s v="Distributor"/>
    <x v="15"/>
    <n v="7"/>
    <n v="3973.1"/>
    <n v="27811.7"/>
    <n v="2383.8599999999901"/>
    <s v="SC"/>
    <s v="South Carolina"/>
    <s v="South"/>
    <n v="2062061.1440000001"/>
    <n v="16687.019999999899"/>
    <n v="11124.68"/>
    <n v="40"/>
    <s v="December"/>
    <n v="12"/>
    <s v="2017-12"/>
    <x v="2"/>
  </r>
  <r>
    <s v="SO - 0010123"/>
    <d v="2017-12-16T00:00:00"/>
    <s v="Internatio Company"/>
    <s v="Distributor"/>
    <x v="1"/>
    <n v="12"/>
    <n v="864.3"/>
    <n v="10371.599999999999"/>
    <n v="535.86599999999999"/>
    <s v="CA"/>
    <s v="California"/>
    <s v="West"/>
    <n v="5342315.4840000002"/>
    <n v="6430.3919999999998"/>
    <n v="3941.2080000000001"/>
    <n v="38"/>
    <s v="December"/>
    <n v="12"/>
    <s v="2017-12"/>
    <x v="2"/>
  </r>
  <r>
    <s v="SO - 0001542"/>
    <d v="2017-12-17T00:00:00"/>
    <s v="Divanoodle Ltd"/>
    <s v="Distributor"/>
    <x v="11"/>
    <n v="6"/>
    <n v="1809"/>
    <n v="10854"/>
    <n v="1537.6499999999901"/>
    <s v="CA"/>
    <s v="California"/>
    <s v="West"/>
    <n v="5685138.2699999996"/>
    <n v="9225.9"/>
    <n v="1628.1"/>
    <n v="15"/>
    <s v="December"/>
    <n v="12"/>
    <s v="2017-12"/>
    <x v="2"/>
  </r>
  <r>
    <s v="SO - 0002133"/>
    <d v="2017-12-17T00:00:00"/>
    <s v="Dazzlesphe Corp"/>
    <s v="Distributor"/>
    <x v="11"/>
    <n v="10"/>
    <n v="3390.2"/>
    <n v="33902"/>
    <n v="2000.2180000000001"/>
    <s v="FL"/>
    <s v="Florida"/>
    <s v="South"/>
    <n v="5685138.2699999996"/>
    <n v="20002.18"/>
    <n v="13899.82"/>
    <n v="41"/>
    <s v="December"/>
    <n v="12"/>
    <s v="2017-12"/>
    <x v="2"/>
  </r>
  <r>
    <s v="SO - 0003159"/>
    <d v="2017-12-17T00:00:00"/>
    <s v="Wordpedia Ltd"/>
    <s v="Distributor"/>
    <x v="11"/>
    <n v="11"/>
    <n v="3363.4"/>
    <n v="36997.4"/>
    <n v="2657.0859999999998"/>
    <s v="IL"/>
    <s v="Illinois"/>
    <s v="Midwest"/>
    <n v="5685138.2699999996"/>
    <n v="29227.946"/>
    <n v="7769.4539999999897"/>
    <n v="20.999999999999901"/>
    <s v="December"/>
    <n v="12"/>
    <s v="2017-12"/>
    <x v="2"/>
  </r>
  <r>
    <s v="SO - 0003614"/>
    <d v="2017-12-17T00:00:00"/>
    <s v="Twinte Group"/>
    <s v="Distributor"/>
    <x v="13"/>
    <n v="12"/>
    <n v="777.2"/>
    <n v="9326.4000000000015"/>
    <n v="334.19600000000003"/>
    <s v="IL"/>
    <s v="Illinois"/>
    <s v="Midwest"/>
    <n v="3299478.3149999999"/>
    <n v="4010.3519999999999"/>
    <n v="5316.0479999999998"/>
    <n v="56.999999999999901"/>
    <s v="December"/>
    <n v="12"/>
    <s v="2017-12"/>
    <x v="2"/>
  </r>
  <r>
    <s v="SO - 0004075"/>
    <d v="2017-12-17T00:00:00"/>
    <s v="Vitz Company"/>
    <s v="Wholesale"/>
    <x v="25"/>
    <n v="12"/>
    <n v="3899.4"/>
    <n v="46792.800000000003"/>
    <n v="2612.598"/>
    <s v="TN"/>
    <s v="Tennessee"/>
    <s v="South"/>
    <n v="889737.55500000005"/>
    <n v="31351.175999999999"/>
    <n v="15441.6239999999"/>
    <n v="32.999999999999901"/>
    <s v="December"/>
    <n v="12"/>
    <s v="2017-12"/>
    <x v="2"/>
  </r>
  <r>
    <s v="SO - 0006406"/>
    <d v="2017-12-17T00:00:00"/>
    <s v="Nexus Group"/>
    <s v="Wholesale"/>
    <x v="23"/>
    <n v="7"/>
    <n v="3973.1"/>
    <n v="27811.7"/>
    <n v="2622.2460000000001"/>
    <s v="CA"/>
    <s v="California"/>
    <s v="West"/>
    <n v="1645841.6"/>
    <n v="18355.722000000002"/>
    <n v="9455.9779999999992"/>
    <n v="34"/>
    <s v="December"/>
    <n v="12"/>
    <s v="2017-12"/>
    <x v="2"/>
  </r>
  <r>
    <s v="SO - 0006462"/>
    <d v="2017-12-17T00:00:00"/>
    <s v="Zava Group"/>
    <s v="Wholesale"/>
    <x v="25"/>
    <n v="9"/>
    <n v="1829.1"/>
    <n v="16461.899999999998"/>
    <n v="1225.4970000000001"/>
    <s v="TX"/>
    <s v="Texas"/>
    <s v="South"/>
    <n v="889737.55500000005"/>
    <n v="11029.473"/>
    <n v="5432.4269999999997"/>
    <n v="33"/>
    <s v="December"/>
    <n v="12"/>
    <s v="2017-12"/>
    <x v="2"/>
  </r>
  <r>
    <s v="SO - 0007803"/>
    <d v="2017-12-17T00:00:00"/>
    <s v="Supervalu Ltd"/>
    <s v="Wholesale"/>
    <x v="17"/>
    <n v="12"/>
    <n v="897.8"/>
    <n v="10773.599999999999"/>
    <n v="421.96600000000001"/>
    <s v="CO"/>
    <s v="Colorado"/>
    <s v="West"/>
    <n v="2642352.432"/>
    <n v="5063.5919999999996"/>
    <n v="5710.0079999999998"/>
    <n v="52.999999999999901"/>
    <s v="December"/>
    <n v="12"/>
    <s v="2017-12"/>
    <x v="2"/>
  </r>
  <r>
    <s v="SO - 0007844"/>
    <d v="2017-12-17T00:00:00"/>
    <s v="Zoomzone Corp"/>
    <s v="Distributor"/>
    <x v="7"/>
    <n v="6"/>
    <n v="2432.1"/>
    <n v="14592.599999999999"/>
    <n v="1751.1119999999901"/>
    <s v="CA"/>
    <s v="California"/>
    <s v="West"/>
    <n v="3050087.5649999999"/>
    <n v="10506.6719999999"/>
    <n v="4085.9279999999999"/>
    <n v="28"/>
    <s v="December"/>
    <n v="12"/>
    <s v="2017-12"/>
    <x v="2"/>
  </r>
  <r>
    <s v="SO - 0007950"/>
    <d v="2017-12-17T00:00:00"/>
    <s v="Centizu Company"/>
    <s v="Distributor"/>
    <x v="10"/>
    <n v="8"/>
    <n v="670"/>
    <n v="5360"/>
    <n v="529.29999999999995"/>
    <s v="OH"/>
    <s v="Ohio"/>
    <s v="Midwest"/>
    <n v="1672229.416"/>
    <n v="4234.3999999999996"/>
    <n v="1125.5999999999899"/>
    <n v="20.999999999999901"/>
    <s v="December"/>
    <n v="12"/>
    <s v="2017-12"/>
    <x v="2"/>
  </r>
  <r>
    <s v="SO - 0010039"/>
    <d v="2017-12-17T00:00:00"/>
    <s v="Accord Group"/>
    <s v="Distributor"/>
    <x v="11"/>
    <n v="6"/>
    <n v="1996.6"/>
    <n v="11979.599999999999"/>
    <n v="938.40200000000004"/>
    <s v="AZ"/>
    <s v="Arizona"/>
    <s v="West"/>
    <n v="5685138.2699999996"/>
    <n v="5630.4120000000003"/>
    <n v="6349.1880000000001"/>
    <n v="53"/>
    <s v="December"/>
    <n v="12"/>
    <s v="2017-12"/>
    <x v="2"/>
  </r>
  <r>
    <s v="SO - 000120"/>
    <d v="2017-12-17T00:00:00"/>
    <s v="Eire Corp"/>
    <s v="Wholesale"/>
    <x v="14"/>
    <n v="8"/>
    <n v="3095.4"/>
    <n v="24763.200000000001"/>
    <n v="1795.3319999999901"/>
    <s v="CA"/>
    <s v="California"/>
    <s v="West"/>
    <n v="2119616.824"/>
    <n v="14362.655999999901"/>
    <n v="10400.544"/>
    <n v="42"/>
    <s v="December"/>
    <n v="12"/>
    <s v="2017-12"/>
    <x v="2"/>
  </r>
  <r>
    <s v="SO - 0001431"/>
    <d v="2017-12-17T00:00:00"/>
    <s v="Mycone Ltd"/>
    <s v="Distributor"/>
    <x v="11"/>
    <n v="6"/>
    <n v="1018.4"/>
    <n v="6110.4"/>
    <n v="488.83199999999999"/>
    <s v="NC"/>
    <s v="North Carolina"/>
    <s v="South"/>
    <n v="5685138.2699999996"/>
    <n v="2932.9920000000002"/>
    <n v="3177.4079999999899"/>
    <n v="51.999999999999901"/>
    <s v="December"/>
    <n v="12"/>
    <s v="2017-12"/>
    <x v="2"/>
  </r>
  <r>
    <s v="SO - 0003384"/>
    <d v="2017-12-17T00:00:00"/>
    <s v="Chatterpoi Corp"/>
    <s v="Distributor"/>
    <x v="1"/>
    <n v="10"/>
    <n v="5313.1"/>
    <n v="53131"/>
    <n v="3772.3009999999999"/>
    <s v="CT"/>
    <s v="Connecticut"/>
    <s v="Northeast"/>
    <n v="5342315.4840000002"/>
    <n v="37723.01"/>
    <n v="15407.9899999999"/>
    <n v="28.999999999999901"/>
    <s v="December"/>
    <n v="12"/>
    <s v="2017-12"/>
    <x v="2"/>
  </r>
  <r>
    <s v="SO - 0005027"/>
    <d v="2017-12-17T00:00:00"/>
    <s v="Bath Group"/>
    <s v="Distributor"/>
    <x v="9"/>
    <n v="12"/>
    <n v="1728.6"/>
    <n v="20743.199999999997"/>
    <n v="968.01599999999996"/>
    <s v="SC"/>
    <s v="South Carolina"/>
    <s v="South"/>
    <n v="3720639.645"/>
    <n v="11616.191999999999"/>
    <n v="9127.0079999999907"/>
    <n v="43.999999999999901"/>
    <s v="December"/>
    <n v="12"/>
    <s v="2017-12"/>
    <x v="2"/>
  </r>
  <r>
    <s v="SO - 0009681"/>
    <d v="2017-12-17T00:00:00"/>
    <s v="Pacific Ltd"/>
    <s v="Distributor"/>
    <x v="17"/>
    <n v="11"/>
    <n v="1051.9000000000001"/>
    <n v="11570.900000000001"/>
    <n v="557.50699999999995"/>
    <s v="CA"/>
    <s v="California"/>
    <s v="West"/>
    <n v="2642352.432"/>
    <n v="6132.5770000000002"/>
    <n v="5438.3230000000003"/>
    <n v="47"/>
    <s v="December"/>
    <n v="12"/>
    <s v="2017-12"/>
    <x v="2"/>
  </r>
  <r>
    <s v="SO - 0010375"/>
    <d v="2017-12-17T00:00:00"/>
    <s v="Jayo Company"/>
    <s v="Distributor"/>
    <x v="1"/>
    <n v="6"/>
    <n v="2010"/>
    <n v="12060"/>
    <n v="964.8"/>
    <s v="CO"/>
    <s v="Colorado"/>
    <s v="West"/>
    <n v="5342315.4840000002"/>
    <n v="5788.7999999999902"/>
    <n v="6271.2"/>
    <n v="52"/>
    <s v="December"/>
    <n v="12"/>
    <s v="2017-12"/>
    <x v="2"/>
  </r>
  <r>
    <s v="SO - 000744"/>
    <d v="2017-12-17T00:00:00"/>
    <s v="Bta Corp"/>
    <s v="Export"/>
    <x v="29"/>
    <n v="9"/>
    <n v="5246.1"/>
    <n v="47214.9"/>
    <n v="3882.114"/>
    <s v="IN"/>
    <s v="Indiana"/>
    <s v="Midwest"/>
    <n v="864331.62399999995"/>
    <n v="34939.025999999998"/>
    <n v="12275.874"/>
    <n v="26"/>
    <s v="December"/>
    <n v="12"/>
    <s v="2017-12"/>
    <x v="2"/>
  </r>
  <r>
    <s v="SO - 0007917"/>
    <d v="2017-12-17T00:00:00"/>
    <s v="Remedy Ltd"/>
    <s v="Wholesale"/>
    <x v="19"/>
    <n v="6"/>
    <n v="3899.4"/>
    <n v="23396.400000000001"/>
    <n v="2807.5679999999902"/>
    <s v="MN"/>
    <s v="Minnesota"/>
    <s v="Midwest"/>
    <n v="2885560.824"/>
    <n v="16845.407999999999"/>
    <n v="6550.9920000000002"/>
    <n v="28"/>
    <s v="December"/>
    <n v="12"/>
    <s v="2017-12"/>
    <x v="2"/>
  </r>
  <r>
    <s v="SO - 0008142"/>
    <d v="2017-12-17T00:00:00"/>
    <s v="Zoomdog Corp"/>
    <s v="Distributor"/>
    <x v="7"/>
    <n v="11"/>
    <n v="850.9"/>
    <n v="9359.9"/>
    <n v="697.73799999999903"/>
    <s v="MI"/>
    <s v="Michigan"/>
    <s v="Midwest"/>
    <n v="3050087.5649999999"/>
    <n v="7675.1179999999904"/>
    <n v="1684.7819999999999"/>
    <n v="18"/>
    <s v="December"/>
    <n v="12"/>
    <s v="2017-12"/>
    <x v="2"/>
  </r>
  <r>
    <s v="SO - 0010032"/>
    <d v="2017-12-17T00:00:00"/>
    <s v="Twinte Group"/>
    <s v="Wholesale"/>
    <x v="11"/>
    <n v="5"/>
    <n v="5212.6000000000004"/>
    <n v="26063"/>
    <n v="3283.9380000000001"/>
    <s v="CA"/>
    <s v="California"/>
    <s v="West"/>
    <n v="5685138.2699999996"/>
    <n v="16419.689999999999"/>
    <n v="9643.3099999999904"/>
    <n v="36.999999999999901"/>
    <s v="December"/>
    <n v="12"/>
    <s v="2017-12"/>
    <x v="2"/>
  </r>
  <r>
    <s v="SO - 0001220"/>
    <d v="2017-12-17T00:00:00"/>
    <s v="Shuffledri Group"/>
    <s v="Wholesale"/>
    <x v="21"/>
    <n v="7"/>
    <n v="3886"/>
    <n v="27202"/>
    <n v="2059.58"/>
    <s v="VA"/>
    <s v="Virginia"/>
    <s v="South"/>
    <n v="1230458.4839999999"/>
    <n v="14417.06"/>
    <n v="12784.94"/>
    <n v="47"/>
    <s v="December"/>
    <n v="12"/>
    <s v="2017-12"/>
    <x v="2"/>
  </r>
  <r>
    <s v="SO - 0002479"/>
    <d v="2017-12-17T00:00:00"/>
    <s v="General Company"/>
    <s v="Wholesale"/>
    <x v="13"/>
    <n v="6"/>
    <n v="3155.7"/>
    <n v="18934.199999999997"/>
    <n v="1704.078"/>
    <s v="ID"/>
    <s v="Idaho"/>
    <s v="West"/>
    <n v="3299478.3149999999"/>
    <n v="10224.468000000001"/>
    <n v="8709.732"/>
    <n v="46"/>
    <s v="December"/>
    <n v="12"/>
    <s v="2017-12"/>
    <x v="2"/>
  </r>
  <r>
    <s v="SO - 0006162"/>
    <d v="2017-12-17T00:00:00"/>
    <s v="Vinte Group"/>
    <s v="Wholesale"/>
    <x v="9"/>
    <n v="10"/>
    <n v="3966.4"/>
    <n v="39664"/>
    <n v="2895.4720000000002"/>
    <s v="FL"/>
    <s v="Florida"/>
    <s v="South"/>
    <n v="3720639.645"/>
    <n v="28954.720000000001"/>
    <n v="10709.279999999901"/>
    <n v="26.999999999999901"/>
    <s v="December"/>
    <n v="12"/>
    <s v="2017-12"/>
    <x v="2"/>
  </r>
  <r>
    <s v="SO - 0010773"/>
    <d v="2017-12-17T00:00:00"/>
    <s v="Meijer Corp"/>
    <s v="Distributor"/>
    <x v="10"/>
    <n v="5"/>
    <n v="2525.9"/>
    <n v="12629.5"/>
    <n v="1288.2090000000001"/>
    <s v="CA"/>
    <s v="California"/>
    <s v="West"/>
    <n v="1672229.416"/>
    <n v="6441.0450000000001"/>
    <n v="6188.4549999999999"/>
    <n v="49"/>
    <s v="December"/>
    <n v="12"/>
    <s v="2017-12"/>
    <x v="2"/>
  </r>
  <r>
    <s v="SO - 0009992"/>
    <d v="2017-12-17T00:00:00"/>
    <s v="Alembic Ltd"/>
    <s v="Wholesale"/>
    <x v="14"/>
    <n v="9"/>
    <n v="911.2"/>
    <n v="8200.8000000000011"/>
    <n v="628.72799999999995"/>
    <s v="TX"/>
    <s v="Texas"/>
    <s v="South"/>
    <n v="2119616.824"/>
    <n v="5658.5519999999997"/>
    <n v="2542.248"/>
    <n v="31"/>
    <s v="December"/>
    <n v="12"/>
    <s v="2017-12"/>
    <x v="2"/>
  </r>
  <r>
    <s v="SO - 0004733"/>
    <d v="2017-12-17T00:00:00"/>
    <s v="Bath Group"/>
    <s v="Export"/>
    <x v="10"/>
    <n v="12"/>
    <n v="1728.6"/>
    <n v="20743.199999999997"/>
    <n v="1382.88"/>
    <s v="IN"/>
    <s v="Indiana"/>
    <s v="Midwest"/>
    <n v="1672229.416"/>
    <n v="16594.560000000001"/>
    <n v="4148.6399999999903"/>
    <n v="19.999999999999901"/>
    <s v="December"/>
    <n v="12"/>
    <s v="2017-12"/>
    <x v="2"/>
  </r>
  <r>
    <s v="SO - 0006964"/>
    <d v="2017-12-17T00:00:00"/>
    <s v="Kaymbo Company"/>
    <s v="Distributor"/>
    <x v="11"/>
    <n v="9"/>
    <n v="1118.9000000000001"/>
    <n v="10070.1"/>
    <n v="604.20600000000002"/>
    <s v="IL"/>
    <s v="Illinois"/>
    <s v="Midwest"/>
    <n v="5685138.2699999996"/>
    <n v="5437.8540000000003"/>
    <n v="4632.2459999999901"/>
    <n v="45.999999999999901"/>
    <s v="December"/>
    <n v="12"/>
    <s v="2017-12"/>
    <x v="2"/>
  </r>
  <r>
    <s v="SO - 0008808"/>
    <d v="2017-12-17T00:00:00"/>
    <s v="Kare Corp"/>
    <s v="Distributor"/>
    <x v="1"/>
    <n v="11"/>
    <n v="234.5"/>
    <n v="2579.5"/>
    <n v="187.6"/>
    <s v="UT"/>
    <s v="Utah"/>
    <s v="West"/>
    <n v="5342315.4840000002"/>
    <n v="2063.6"/>
    <n v="515.89999999999895"/>
    <n v="19.999999999999901"/>
    <s v="December"/>
    <n v="12"/>
    <s v="2017-12"/>
    <x v="2"/>
  </r>
  <r>
    <s v="SO - 0008100"/>
    <d v="2017-12-17T00:00:00"/>
    <s v="Neutrogena Ltd"/>
    <s v="Wholesale"/>
    <x v="11"/>
    <n v="7"/>
    <n v="1715.2"/>
    <n v="12006.4"/>
    <n v="806.14400000000001"/>
    <s v="CT"/>
    <s v="Connecticut"/>
    <s v="Northeast"/>
    <n v="5685138.2699999996"/>
    <n v="5643.0079999999998"/>
    <n v="6363.3919999999998"/>
    <n v="53"/>
    <s v="December"/>
    <n v="12"/>
    <s v="2017-12"/>
    <x v="2"/>
  </r>
  <r>
    <s v="SO - 0002193"/>
    <d v="2017-12-17T00:00:00"/>
    <s v="Chatterpoi Corp"/>
    <s v="Distributor"/>
    <x v="14"/>
    <n v="12"/>
    <n v="1735.3"/>
    <n v="20823.599999999999"/>
    <n v="850.296999999999"/>
    <s v="MA"/>
    <s v="Massachusetts"/>
    <s v="Northeast"/>
    <n v="2119616.824"/>
    <n v="10203.5639999999"/>
    <n v="10620.036"/>
    <n v="51"/>
    <s v="December"/>
    <n v="12"/>
    <s v="2017-12"/>
    <x v="2"/>
  </r>
  <r>
    <s v="SO - 0007005"/>
    <d v="2017-12-17T00:00:00"/>
    <s v="Voolia Ltd"/>
    <s v="Wholesale"/>
    <x v="13"/>
    <n v="6"/>
    <n v="1058.5999999999999"/>
    <n v="6351.5999999999995"/>
    <n v="455.19799999999998"/>
    <s v="CA"/>
    <s v="California"/>
    <s v="West"/>
    <n v="3299478.3149999999"/>
    <n v="2731.1880000000001"/>
    <n v="3620.4119999999998"/>
    <n v="57"/>
    <s v="December"/>
    <n v="12"/>
    <s v="2017-12"/>
    <x v="2"/>
  </r>
  <r>
    <s v="SO - 0010022"/>
    <d v="2017-12-17T00:00:00"/>
    <s v="Aibox Company"/>
    <s v="Wholesale"/>
    <x v="7"/>
    <n v="5"/>
    <n v="247.9"/>
    <n v="1239.5"/>
    <n v="185.92500000000001"/>
    <s v="OR"/>
    <s v="Oregon"/>
    <s v="West"/>
    <n v="3050087.5649999999"/>
    <n v="929.625"/>
    <n v="309.875"/>
    <n v="25"/>
    <s v="December"/>
    <n v="12"/>
    <s v="2017-12"/>
    <x v="2"/>
  </r>
  <r>
    <s v="SO - 0001375"/>
    <d v="2017-12-18T00:00:00"/>
    <s v="Kare Corp"/>
    <s v="Wholesale"/>
    <x v="3"/>
    <n v="7"/>
    <n v="817.4"/>
    <n v="5721.8"/>
    <n v="621.22400000000005"/>
    <s v="IL"/>
    <s v="Illinois"/>
    <s v="Midwest"/>
    <n v="1085037.3289999999"/>
    <n v="4348.5680000000002"/>
    <n v="1373.232"/>
    <n v="24"/>
    <s v="December"/>
    <n v="12"/>
    <s v="2017-12"/>
    <x v="2"/>
  </r>
  <r>
    <s v="SO - 0001541"/>
    <d v="2017-12-18T00:00:00"/>
    <s v="Centizu Company"/>
    <s v="Distributor"/>
    <x v="14"/>
    <n v="6"/>
    <n v="3966.4"/>
    <n v="23798.400000000001"/>
    <n v="2697.152"/>
    <s v="MA"/>
    <s v="Massachusetts"/>
    <s v="Northeast"/>
    <n v="2119616.824"/>
    <n v="16182.912"/>
    <n v="7615.4880000000003"/>
    <n v="32"/>
    <s v="December"/>
    <n v="12"/>
    <s v="2017-12"/>
    <x v="2"/>
  </r>
  <r>
    <s v="SO - 0002570"/>
    <d v="2017-12-18T00:00:00"/>
    <s v="Alk-Abello Ltd"/>
    <s v="Distributor"/>
    <x v="16"/>
    <n v="8"/>
    <n v="911.2"/>
    <n v="7289.6"/>
    <n v="428.26400000000001"/>
    <s v="IA"/>
    <s v="Iowa"/>
    <s v="Midwest"/>
    <n v="3016489.2089999998"/>
    <n v="3426.1120000000001"/>
    <n v="3863.4879999999998"/>
    <n v="53"/>
    <s v="December"/>
    <n v="12"/>
    <s v="2017-12"/>
    <x v="2"/>
  </r>
  <r>
    <s v="SO - 0002695"/>
    <d v="2017-12-18T00:00:00"/>
    <s v="Skinder Group"/>
    <s v="Wholesale"/>
    <x v="14"/>
    <n v="5"/>
    <n v="234.5"/>
    <n v="1172.5"/>
    <n v="173.53"/>
    <s v="CA"/>
    <s v="California"/>
    <s v="West"/>
    <n v="2119616.824"/>
    <n v="867.65"/>
    <n v="304.85000000000002"/>
    <n v="26"/>
    <s v="December"/>
    <n v="12"/>
    <s v="2017-12"/>
    <x v="2"/>
  </r>
  <r>
    <s v="SO - 0003501"/>
    <d v="2017-12-18T00:00:00"/>
    <s v="Muxo Group"/>
    <s v="Wholesale"/>
    <x v="10"/>
    <n v="7"/>
    <n v="2760.4"/>
    <n v="19322.8"/>
    <n v="1739.0519999999999"/>
    <s v="NY"/>
    <s v="New York"/>
    <s v="Northeast"/>
    <n v="1672229.416"/>
    <n v="12173.364"/>
    <n v="7149.4359999999897"/>
    <n v="36.999999999999901"/>
    <s v="December"/>
    <n v="12"/>
    <s v="2017-12"/>
    <x v="2"/>
  </r>
  <r>
    <s v="SO - 0006440"/>
    <d v="2017-12-18T00:00:00"/>
    <s v="Voolia Ltd"/>
    <s v="Distributor"/>
    <x v="1"/>
    <n v="5"/>
    <n v="2472.3000000000002"/>
    <n v="12361.5"/>
    <n v="1928.394"/>
    <s v="CA"/>
    <s v="California"/>
    <s v="West"/>
    <n v="5342315.4840000002"/>
    <n v="9641.9699999999993"/>
    <n v="2719.5299999999902"/>
    <n v="21.999999999999901"/>
    <s v="December"/>
    <n v="12"/>
    <s v="2017-12"/>
    <x v="2"/>
  </r>
  <r>
    <s v="SO - 0006833"/>
    <d v="2017-12-18T00:00:00"/>
    <s v="Bb17 Company"/>
    <s v="Export"/>
    <x v="19"/>
    <n v="7"/>
    <n v="2613"/>
    <n v="18291"/>
    <n v="2142.66"/>
    <s v="CA"/>
    <s v="California"/>
    <s v="West"/>
    <n v="2885560.824"/>
    <n v="14998.619999999901"/>
    <n v="3292.38"/>
    <n v="18"/>
    <s v="December"/>
    <n v="12"/>
    <s v="2017-12"/>
    <x v="2"/>
  </r>
  <r>
    <s v="SO - 0006903"/>
    <d v="2017-12-18T00:00:00"/>
    <s v="Chatterbri Ltd"/>
    <s v="Wholesale"/>
    <x v="4"/>
    <n v="5"/>
    <n v="917.9"/>
    <n v="4589.5"/>
    <n v="743.49900000000002"/>
    <s v="FL"/>
    <s v="Florida"/>
    <s v="South"/>
    <n v="2309499.0449999999"/>
    <n v="3717.4949999999999"/>
    <n v="872.005"/>
    <n v="19"/>
    <s v="December"/>
    <n v="12"/>
    <s v="2017-12"/>
    <x v="2"/>
  </r>
  <r>
    <s v="SO - 0006940"/>
    <d v="2017-12-18T00:00:00"/>
    <s v="Bluezoom Group"/>
    <s v="Wholesale"/>
    <x v="11"/>
    <n v="12"/>
    <n v="964.8"/>
    <n v="11577.599999999999"/>
    <n v="549.93600000000004"/>
    <s v="IL"/>
    <s v="Illinois"/>
    <s v="Midwest"/>
    <n v="5685138.2699999996"/>
    <n v="6599.232"/>
    <n v="4978.3680000000004"/>
    <n v="43"/>
    <s v="December"/>
    <n v="12"/>
    <s v="2017-12"/>
    <x v="2"/>
  </r>
  <r>
    <s v="SO - 0008269"/>
    <d v="2017-12-18T00:00:00"/>
    <s v="Alembic Ltd"/>
    <s v="Wholesale"/>
    <x v="11"/>
    <n v="9"/>
    <n v="1005"/>
    <n v="9045"/>
    <n v="452.25"/>
    <s v="NY"/>
    <s v="New York"/>
    <s v="Northeast"/>
    <n v="5685138.2699999996"/>
    <n v="4070.25"/>
    <n v="4974.75"/>
    <n v="55"/>
    <s v="December"/>
    <n v="12"/>
    <s v="2017-12"/>
    <x v="2"/>
  </r>
  <r>
    <s v="SO - 0009239"/>
    <d v="2017-12-18T00:00:00"/>
    <s v="Neutrogena Ltd"/>
    <s v="Export"/>
    <x v="2"/>
    <n v="11"/>
    <n v="1896.1"/>
    <n v="20857.099999999999"/>
    <n v="777.40099999999995"/>
    <s v="CA"/>
    <s v="California"/>
    <s v="West"/>
    <n v="4028698.409"/>
    <n v="8551.4110000000001"/>
    <n v="12305.689"/>
    <n v="59"/>
    <s v="December"/>
    <n v="12"/>
    <s v="2017-12"/>
    <x v="2"/>
  </r>
  <r>
    <s v="SO - 0010507"/>
    <d v="2017-12-18T00:00:00"/>
    <s v="Realcube Company"/>
    <s v="Wholesale"/>
    <x v="26"/>
    <n v="6"/>
    <n v="6009.9"/>
    <n v="36059.399999999994"/>
    <n v="4928.1180000000004"/>
    <s v="IL"/>
    <s v="Illinois"/>
    <s v="Midwest"/>
    <n v="1356976.996"/>
    <n v="29568.707999999999"/>
    <n v="6490.69199999999"/>
    <n v="17.999999999999901"/>
    <s v="December"/>
    <n v="12"/>
    <s v="2017-12"/>
    <x v="2"/>
  </r>
  <r>
    <s v="SO - 0006074"/>
    <d v="2017-12-18T00:00:00"/>
    <s v="Johnson Ltd"/>
    <s v="Wholesale"/>
    <x v="10"/>
    <n v="5"/>
    <n v="2438.8000000000002"/>
    <n v="12194"/>
    <n v="1926.652"/>
    <s v="PA"/>
    <s v="Pennsylvania"/>
    <s v="Northeast"/>
    <n v="1672229.416"/>
    <n v="9633.26"/>
    <n v="2560.7399999999898"/>
    <n v="20.999999999999901"/>
    <s v="December"/>
    <n v="12"/>
    <s v="2017-12"/>
    <x v="2"/>
  </r>
  <r>
    <s v="SO - 0009042"/>
    <d v="2017-12-18T00:00:00"/>
    <s v="Army Group"/>
    <s v="Wholesale"/>
    <x v="1"/>
    <n v="10"/>
    <n v="1313.2"/>
    <n v="13132"/>
    <n v="945.50400000000002"/>
    <s v="MD"/>
    <s v="Maryland"/>
    <s v="South"/>
    <n v="5342315.4840000002"/>
    <n v="9455.0400000000009"/>
    <n v="3676.95999999999"/>
    <n v="27.999999999999901"/>
    <s v="December"/>
    <n v="12"/>
    <s v="2017-12"/>
    <x v="2"/>
  </r>
  <r>
    <s v="SO - 0009525"/>
    <d v="2017-12-18T00:00:00"/>
    <s v="Epic Group"/>
    <s v="Distributor"/>
    <x v="11"/>
    <n v="9"/>
    <n v="3691.7"/>
    <n v="33225.299999999996"/>
    <n v="2104.2689999999998"/>
    <s v="NY"/>
    <s v="New York"/>
    <s v="Northeast"/>
    <n v="5685138.2699999996"/>
    <n v="18938.420999999998"/>
    <n v="14286.879000000001"/>
    <n v="43"/>
    <s v="December"/>
    <n v="12"/>
    <s v="2017-12"/>
    <x v="2"/>
  </r>
  <r>
    <s v="SO - 0004579"/>
    <d v="2017-12-18T00:00:00"/>
    <s v="Seindni Corp"/>
    <s v="Export"/>
    <x v="17"/>
    <n v="10"/>
    <n v="4006.6"/>
    <n v="40066"/>
    <n v="1762.904"/>
    <s v="FL"/>
    <s v="Florida"/>
    <s v="South"/>
    <n v="2642352.432"/>
    <n v="17629.04"/>
    <n v="22436.959999999999"/>
    <n v="55.999999999999901"/>
    <s v="December"/>
    <n v="12"/>
    <s v="2017-12"/>
    <x v="2"/>
  </r>
  <r>
    <s v="SO - 0005440"/>
    <d v="2017-12-18T00:00:00"/>
    <s v="Alk-Abello Ltd"/>
    <s v="Distributor"/>
    <x v="6"/>
    <n v="11"/>
    <n v="917.9"/>
    <n v="10096.9"/>
    <n v="706.78300000000002"/>
    <s v="CA"/>
    <s v="California"/>
    <s v="West"/>
    <n v="3925424.5419999999"/>
    <n v="7774.6130000000003"/>
    <n v="2322.2869999999898"/>
    <n v="22.999999999999901"/>
    <s v="December"/>
    <n v="12"/>
    <s v="2017-12"/>
    <x v="2"/>
  </r>
  <r>
    <s v="SO - 0006034"/>
    <d v="2017-12-18T00:00:00"/>
    <s v="Remedy Ltd"/>
    <s v="Wholesale"/>
    <x v="2"/>
    <n v="12"/>
    <n v="1139"/>
    <n v="13668"/>
    <n v="569.5"/>
    <s v="MN"/>
    <s v="Minnesota"/>
    <s v="Midwest"/>
    <n v="4028698.409"/>
    <n v="6834"/>
    <n v="6834"/>
    <n v="50"/>
    <s v="December"/>
    <n v="12"/>
    <s v="2017-12"/>
    <x v="2"/>
  </r>
  <r>
    <s v="SO - 0008648"/>
    <d v="2017-12-18T00:00:00"/>
    <s v="Rhynoodle Ltd"/>
    <s v="Distributor"/>
    <x v="2"/>
    <n v="6"/>
    <n v="3832.4"/>
    <n v="22994.400000000001"/>
    <n v="3104.2440000000001"/>
    <s v="IN"/>
    <s v="Indiana"/>
    <s v="Midwest"/>
    <n v="4028698.409"/>
    <n v="18625.464"/>
    <n v="4368.9359999999997"/>
    <n v="19"/>
    <s v="December"/>
    <n v="12"/>
    <s v="2017-12"/>
    <x v="2"/>
  </r>
  <r>
    <s v="SO - 0001189"/>
    <d v="2017-12-18T00:00:00"/>
    <s v="Realbridge Corp"/>
    <s v="Wholesale"/>
    <x v="11"/>
    <n v="8"/>
    <n v="194.3"/>
    <n v="1554.4"/>
    <n v="83.549000000000007"/>
    <s v="NJ"/>
    <s v="New Jersey"/>
    <s v="Northeast"/>
    <n v="5685138.2699999996"/>
    <n v="668.39200000000005"/>
    <n v="886.00800000000004"/>
    <n v="56.999999999999901"/>
    <s v="December"/>
    <n v="12"/>
    <s v="2017-12"/>
    <x v="2"/>
  </r>
  <r>
    <s v="SO - 0004689"/>
    <d v="2017-12-18T00:00:00"/>
    <s v="Army Group"/>
    <s v="Wholesale"/>
    <x v="1"/>
    <n v="12"/>
    <n v="6539.2"/>
    <n v="78470.399999999994"/>
    <n v="3138.8159999999998"/>
    <s v="FL"/>
    <s v="Florida"/>
    <s v="South"/>
    <n v="5342315.4840000002"/>
    <n v="37665.792000000001"/>
    <n v="40804.607999999898"/>
    <n v="51.999999999999901"/>
    <s v="December"/>
    <n v="12"/>
    <s v="2017-12"/>
    <x v="2"/>
  </r>
  <r>
    <s v="SO - 0005789"/>
    <d v="2017-12-18T00:00:00"/>
    <s v="Skajo Ltd"/>
    <s v="Wholesale"/>
    <x v="16"/>
    <n v="7"/>
    <n v="1902.8"/>
    <n v="13319.6"/>
    <n v="1427.1"/>
    <s v="MN"/>
    <s v="Minnesota"/>
    <s v="Midwest"/>
    <n v="3016489.2089999998"/>
    <n v="9989.6999999999898"/>
    <n v="3329.9"/>
    <n v="25"/>
    <s v="December"/>
    <n v="12"/>
    <s v="2017-12"/>
    <x v="2"/>
  </r>
  <r>
    <s v="SO - 0005921"/>
    <d v="2017-12-18T00:00:00"/>
    <s v="Quimm Company"/>
    <s v="Distributor"/>
    <x v="1"/>
    <n v="5"/>
    <n v="2566.1"/>
    <n v="12830.5"/>
    <n v="1796.26999999999"/>
    <s v="CA"/>
    <s v="California"/>
    <s v="West"/>
    <n v="5342315.4840000002"/>
    <n v="8981.3499999999894"/>
    <n v="3849.15"/>
    <n v="30"/>
    <s v="December"/>
    <n v="12"/>
    <s v="2017-12"/>
    <x v="2"/>
  </r>
  <r>
    <s v="SO - 0006570"/>
    <d v="2017-12-18T00:00:00"/>
    <s v="Talane Group"/>
    <s v="Wholesale"/>
    <x v="19"/>
    <n v="11"/>
    <n v="1132.3"/>
    <n v="12455.3"/>
    <n v="713.34899999999902"/>
    <s v="TX"/>
    <s v="Texas"/>
    <s v="South"/>
    <n v="2885560.824"/>
    <n v="7846.8389999999899"/>
    <n v="4608.4610000000002"/>
    <n v="37"/>
    <s v="December"/>
    <n v="12"/>
    <s v="2017-12"/>
    <x v="2"/>
  </r>
  <r>
    <s v="SO - 0006709"/>
    <d v="2017-12-18T00:00:00"/>
    <s v="Talane Group"/>
    <s v="Distributor"/>
    <x v="2"/>
    <n v="12"/>
    <n v="2284.6999999999998"/>
    <n v="27416.399999999998"/>
    <n v="1690.6780000000001"/>
    <s v="CA"/>
    <s v="California"/>
    <s v="West"/>
    <n v="4028698.409"/>
    <n v="20288.135999999999"/>
    <n v="7128.2639999999901"/>
    <n v="25.999999999999901"/>
    <s v="December"/>
    <n v="12"/>
    <s v="2017-12"/>
    <x v="2"/>
  </r>
  <r>
    <s v="SO - 0006771"/>
    <d v="2017-12-18T00:00:00"/>
    <s v="Wordtune Company"/>
    <s v="Wholesale"/>
    <x v="0"/>
    <n v="12"/>
    <n v="3872.6"/>
    <n v="46471.199999999997"/>
    <n v="1549.04"/>
    <s v="OR"/>
    <s v="Oregon"/>
    <s v="West"/>
    <n v="1011609.684"/>
    <n v="18588.48"/>
    <n v="27882.719999999899"/>
    <n v="60"/>
    <s v="December"/>
    <n v="12"/>
    <s v="2017-12"/>
    <x v="2"/>
  </r>
  <r>
    <s v="SO - 0010245"/>
    <d v="2017-12-18T00:00:00"/>
    <s v="The Ltd"/>
    <s v="Export"/>
    <x v="22"/>
    <n v="12"/>
    <n v="1072"/>
    <n v="12864"/>
    <n v="439.52"/>
    <s v="CA"/>
    <s v="California"/>
    <s v="West"/>
    <n v="710415.40500000003"/>
    <n v="5274.24"/>
    <n v="7589.76"/>
    <n v="59"/>
    <s v="December"/>
    <n v="12"/>
    <s v="2017-12"/>
    <x v="2"/>
  </r>
  <r>
    <s v="SO - 0002277"/>
    <d v="2017-12-18T00:00:00"/>
    <s v="Nexus Group"/>
    <s v="Distributor"/>
    <x v="7"/>
    <n v="10"/>
    <n v="3718.5"/>
    <n v="37185"/>
    <n v="2417.0250000000001"/>
    <s v="IN"/>
    <s v="Indiana"/>
    <s v="Midwest"/>
    <n v="3050087.5649999999"/>
    <n v="24170.25"/>
    <n v="13014.75"/>
    <n v="35"/>
    <s v="December"/>
    <n v="12"/>
    <s v="2017-12"/>
    <x v="2"/>
  </r>
  <r>
    <s v="SO - 0005460"/>
    <d v="2017-12-18T00:00:00"/>
    <s v="Aimbo Corp"/>
    <s v="Wholesale"/>
    <x v="4"/>
    <n v="9"/>
    <n v="1286.4000000000001"/>
    <n v="11577.6"/>
    <n v="771.84"/>
    <s v="AZ"/>
    <s v="Arizona"/>
    <s v="West"/>
    <n v="2309499.0449999999"/>
    <n v="6946.56"/>
    <n v="4631.04"/>
    <n v="40"/>
    <s v="December"/>
    <n v="12"/>
    <s v="2017-12"/>
    <x v="2"/>
  </r>
  <r>
    <s v="SO - 0005529"/>
    <d v="2017-12-18T00:00:00"/>
    <s v="Safecor Corp"/>
    <s v="Wholesale"/>
    <x v="15"/>
    <n v="7"/>
    <n v="241.2"/>
    <n v="1688.3999999999999"/>
    <n v="113.364"/>
    <s v="NY"/>
    <s v="New York"/>
    <s v="Northeast"/>
    <n v="2062061.1440000001"/>
    <n v="793.548"/>
    <n v="894.85199999999998"/>
    <n v="53"/>
    <s v="December"/>
    <n v="12"/>
    <s v="2017-12"/>
    <x v="2"/>
  </r>
  <r>
    <s v="SO - 0006159"/>
    <d v="2017-12-18T00:00:00"/>
    <s v="Camido Company"/>
    <s v="Wholesale"/>
    <x v="16"/>
    <n v="8"/>
    <n v="3966.4"/>
    <n v="31731.200000000001"/>
    <n v="2300.5119999999902"/>
    <s v="SC"/>
    <s v="South Carolina"/>
    <s v="South"/>
    <n v="3016489.2089999998"/>
    <n v="18404.0959999999"/>
    <n v="13327.103999999999"/>
    <n v="42"/>
    <s v="December"/>
    <n v="12"/>
    <s v="2017-12"/>
    <x v="2"/>
  </r>
  <r>
    <s v="SO - 0006272"/>
    <d v="2017-12-18T00:00:00"/>
    <s v="Meejo Corp"/>
    <s v="Wholesale"/>
    <x v="26"/>
    <n v="6"/>
    <n v="2659.9"/>
    <n v="15959.400000000001"/>
    <n v="1649.1379999999999"/>
    <s v="FL"/>
    <s v="Florida"/>
    <s v="South"/>
    <n v="1356976.996"/>
    <n v="9894.8279999999995"/>
    <n v="6064.5720000000001"/>
    <n v="37.999999999999901"/>
    <s v="December"/>
    <n v="12"/>
    <s v="2017-12"/>
    <x v="2"/>
  </r>
  <r>
    <s v="SO - 0007839"/>
    <d v="2017-12-18T00:00:00"/>
    <s v="Thoughtmix Ltd"/>
    <s v="Wholesale"/>
    <x v="12"/>
    <n v="12"/>
    <n v="3959.7"/>
    <n v="47516.399999999994"/>
    <n v="1702.671"/>
    <s v="IL"/>
    <s v="Illinois"/>
    <s v="Midwest"/>
    <n v="959899.21799999999"/>
    <n v="20432.052"/>
    <n v="27084.348000000002"/>
    <n v="57"/>
    <s v="December"/>
    <n v="12"/>
    <s v="2017-12"/>
    <x v="2"/>
  </r>
  <r>
    <s v="SO - 0007940"/>
    <d v="2017-12-18T00:00:00"/>
    <s v="Amerisourc Corp"/>
    <s v="Wholesale"/>
    <x v="23"/>
    <n v="9"/>
    <n v="3839.1"/>
    <n v="34551.9"/>
    <n v="2956.107"/>
    <s v="IN"/>
    <s v="Indiana"/>
    <s v="Midwest"/>
    <n v="1645841.6"/>
    <n v="26604.963"/>
    <n v="7946.9369999999999"/>
    <n v="23"/>
    <s v="December"/>
    <n v="12"/>
    <s v="2017-12"/>
    <x v="2"/>
  </r>
  <r>
    <s v="SO - 0009369"/>
    <d v="2017-12-18T00:00:00"/>
    <s v="Bath Group"/>
    <s v="Wholesale"/>
    <x v="9"/>
    <n v="12"/>
    <n v="3879.3"/>
    <n v="46551.600000000006"/>
    <n v="3103.44"/>
    <s v="AL"/>
    <s v="Alabama"/>
    <s v="South"/>
    <n v="3720639.645"/>
    <n v="37241.279999999999"/>
    <n v="9310.32"/>
    <n v="19.999999999999901"/>
    <s v="December"/>
    <n v="12"/>
    <s v="2017-12"/>
    <x v="2"/>
  </r>
  <r>
    <s v="SO - 0008384"/>
    <d v="2017-12-18T00:00:00"/>
    <s v="Pacific Ltd"/>
    <s v="Wholesale"/>
    <x v="11"/>
    <n v="7"/>
    <n v="2211"/>
    <n v="15477"/>
    <n v="1392.93"/>
    <s v="NC"/>
    <s v="North Carolina"/>
    <s v="South"/>
    <n v="5685138.2699999996"/>
    <n v="9750.51"/>
    <n v="5726.49"/>
    <n v="37"/>
    <s v="December"/>
    <n v="12"/>
    <s v="2017-12"/>
    <x v="2"/>
  </r>
  <r>
    <s v="SO - 000464"/>
    <d v="2017-12-18T00:00:00"/>
    <s v="Meejo Corp"/>
    <s v="Wholesale"/>
    <x v="8"/>
    <n v="5"/>
    <n v="3839.1"/>
    <n v="19195.5"/>
    <n v="1689.204"/>
    <s v="WA"/>
    <s v="Washington"/>
    <s v="West"/>
    <n v="663601.902"/>
    <n v="8446.02"/>
    <n v="10749.48"/>
    <n v="55.999999999999901"/>
    <s v="December"/>
    <n v="12"/>
    <s v="2017-12"/>
    <x v="2"/>
  </r>
  <r>
    <s v="SO - 0004456"/>
    <d v="2017-12-18T00:00:00"/>
    <s v="Zooveo Company"/>
    <s v="Wholesale"/>
    <x v="1"/>
    <n v="12"/>
    <n v="2572.8000000000002"/>
    <n v="30873.600000000002"/>
    <n v="1312.1279999999999"/>
    <s v="CA"/>
    <s v="California"/>
    <s v="West"/>
    <n v="5342315.4840000002"/>
    <n v="15745.536"/>
    <n v="15128.064"/>
    <n v="49"/>
    <s v="December"/>
    <n v="12"/>
    <s v="2017-12"/>
    <x v="2"/>
  </r>
  <r>
    <s v="SO - 0004478"/>
    <d v="2017-12-18T00:00:00"/>
    <s v="Woonsocket Corp"/>
    <s v="Wholesale"/>
    <x v="1"/>
    <n v="8"/>
    <n v="750.4"/>
    <n v="6003.2"/>
    <n v="637.83999999999901"/>
    <s v="OH"/>
    <s v="Ohio"/>
    <s v="Midwest"/>
    <n v="5342315.4840000002"/>
    <n v="5102.7199999999903"/>
    <n v="900.48"/>
    <n v="15"/>
    <s v="December"/>
    <n v="12"/>
    <s v="2017-12"/>
    <x v="2"/>
  </r>
  <r>
    <s v="SO - 0004816"/>
    <d v="2017-12-18T00:00:00"/>
    <s v="Flipbug Ltd"/>
    <s v="Distributor"/>
    <x v="15"/>
    <n v="5"/>
    <n v="1721.9"/>
    <n v="8609.5"/>
    <n v="1050.3589999999999"/>
    <s v="CA"/>
    <s v="California"/>
    <s v="West"/>
    <n v="2062061.1440000001"/>
    <n v="5251.7950000000001"/>
    <n v="3357.7049999999999"/>
    <n v="39"/>
    <s v="December"/>
    <n v="12"/>
    <s v="2017-12"/>
    <x v="2"/>
  </r>
  <r>
    <s v="SO - 0009825"/>
    <d v="2017-12-18T00:00:00"/>
    <s v="Cantrell Company"/>
    <s v="Wholesale"/>
    <x v="6"/>
    <n v="11"/>
    <n v="247.9"/>
    <n v="2726.9"/>
    <n v="146.261"/>
    <s v="WA"/>
    <s v="Washington"/>
    <s v="West"/>
    <n v="3925424.5419999999"/>
    <n v="1608.8709999999901"/>
    <n v="1118.029"/>
    <n v="41"/>
    <s v="December"/>
    <n v="12"/>
    <s v="2017-12"/>
    <x v="2"/>
  </r>
  <r>
    <s v="SO - 000997"/>
    <d v="2017-12-19T00:00:00"/>
    <s v="Epic Group"/>
    <s v="Distributor"/>
    <x v="7"/>
    <n v="11"/>
    <n v="268"/>
    <n v="2948"/>
    <n v="160.79999999999899"/>
    <s v="FL"/>
    <s v="Florida"/>
    <s v="South"/>
    <n v="3050087.5649999999"/>
    <n v="1768.79999999999"/>
    <n v="1179.2"/>
    <n v="40"/>
    <s v="December"/>
    <n v="12"/>
    <s v="2017-12"/>
    <x v="2"/>
  </r>
  <r>
    <s v="SO - 0002084"/>
    <d v="2017-12-19T00:00:00"/>
    <s v="Internatio Company"/>
    <s v="Distributor"/>
    <x v="27"/>
    <n v="8"/>
    <n v="6445.4"/>
    <n v="51563.199999999997"/>
    <n v="4705.1419999999998"/>
    <s v="NJ"/>
    <s v="New Jersey"/>
    <s v="Northeast"/>
    <n v="2067108.1199999901"/>
    <n v="37641.135999999999"/>
    <n v="13922.0639999999"/>
    <n v="26.999999999999901"/>
    <s v="December"/>
    <n v="12"/>
    <s v="2017-12"/>
    <x v="2"/>
  </r>
  <r>
    <s v="SO - 0004265"/>
    <d v="2017-12-19T00:00:00"/>
    <s v="Rooxo Company"/>
    <s v="Wholesale"/>
    <x v="17"/>
    <n v="12"/>
    <n v="1011.7"/>
    <n v="12140.400000000001"/>
    <n v="414.796999999999"/>
    <s v="NJ"/>
    <s v="New Jersey"/>
    <s v="Northeast"/>
    <n v="2642352.432"/>
    <n v="4977.5639999999903"/>
    <n v="7162.8360000000002"/>
    <n v="59"/>
    <s v="December"/>
    <n v="12"/>
    <s v="2017-12"/>
    <x v="2"/>
  </r>
  <r>
    <s v="SO - 0004519"/>
    <d v="2017-12-19T00:00:00"/>
    <s v="Muxo Group"/>
    <s v="Wholesale"/>
    <x v="25"/>
    <n v="6"/>
    <n v="254.6"/>
    <n v="1527.6"/>
    <n v="124.753999999999"/>
    <s v="CA"/>
    <s v="California"/>
    <s v="West"/>
    <n v="889737.55500000005"/>
    <n v="748.52399999999898"/>
    <n v="779.07600000000002"/>
    <n v="51"/>
    <s v="December"/>
    <n v="12"/>
    <s v="2017-12"/>
    <x v="2"/>
  </r>
  <r>
    <s v="SO - 0005572"/>
    <d v="2017-12-19T00:00:00"/>
    <s v="Accord Group"/>
    <s v="Wholesale"/>
    <x v="4"/>
    <n v="5"/>
    <n v="3845.8"/>
    <n v="19229"/>
    <n v="1730.61"/>
    <s v="CA"/>
    <s v="California"/>
    <s v="West"/>
    <n v="2309499.0449999999"/>
    <n v="8653.0499999999993"/>
    <n v="10575.949999999901"/>
    <n v="54.999999999999901"/>
    <s v="December"/>
    <n v="12"/>
    <s v="2017-12"/>
    <x v="2"/>
  </r>
  <r>
    <s v="SO - 0006131"/>
    <d v="2017-12-19T00:00:00"/>
    <s v="Aimbo Corp"/>
    <s v="Wholesale"/>
    <x v="4"/>
    <n v="11"/>
    <n v="5279.6"/>
    <n v="58075.600000000006"/>
    <n v="3167.76"/>
    <s v="WA"/>
    <s v="Washington"/>
    <s v="West"/>
    <n v="2309499.0449999999"/>
    <n v="34845.360000000001"/>
    <n v="23230.240000000002"/>
    <n v="40"/>
    <s v="December"/>
    <n v="12"/>
    <s v="2017-12"/>
    <x v="2"/>
  </r>
  <r>
    <s v="SO - 0007345"/>
    <d v="2017-12-19T00:00:00"/>
    <s v="Quaxo Ltd"/>
    <s v="Wholesale"/>
    <x v="2"/>
    <n v="12"/>
    <n v="951.4"/>
    <n v="11416.8"/>
    <n v="447.15799999999899"/>
    <s v="NJ"/>
    <s v="New Jersey"/>
    <s v="Northeast"/>
    <n v="4028698.409"/>
    <n v="5365.8959999999997"/>
    <n v="6050.9039999999904"/>
    <n v="53"/>
    <s v="December"/>
    <n v="12"/>
    <s v="2017-12"/>
    <x v="2"/>
  </r>
  <r>
    <s v="SO - 0007841"/>
    <d v="2017-12-19T00:00:00"/>
    <s v="Topco Company"/>
    <s v="Wholesale"/>
    <x v="2"/>
    <n v="6"/>
    <n v="1273"/>
    <n v="7638"/>
    <n v="789.26"/>
    <s v="TX"/>
    <s v="Texas"/>
    <s v="South"/>
    <n v="4028698.409"/>
    <n v="4735.5599999999904"/>
    <n v="2902.44"/>
    <n v="38"/>
    <s v="December"/>
    <n v="12"/>
    <s v="2017-12"/>
    <x v="2"/>
  </r>
  <r>
    <s v="SO - 0009975"/>
    <d v="2017-12-19T00:00:00"/>
    <s v="Flipstorm Group"/>
    <s v="Export"/>
    <x v="16"/>
    <n v="5"/>
    <n v="3819"/>
    <n v="19095"/>
    <n v="2864.25"/>
    <s v="CA"/>
    <s v="California"/>
    <s v="West"/>
    <n v="3016489.2089999998"/>
    <n v="14321.25"/>
    <n v="4773.75"/>
    <n v="25"/>
    <s v="December"/>
    <n v="12"/>
    <s v="2017-12"/>
    <x v="2"/>
  </r>
  <r>
    <s v="SO - 0008639"/>
    <d v="2017-12-19T00:00:00"/>
    <s v="Realpoint Corp"/>
    <s v="Wholesale"/>
    <x v="12"/>
    <n v="6"/>
    <n v="1802.3"/>
    <n v="10813.8"/>
    <n v="1315.6789999999901"/>
    <s v="CA"/>
    <s v="California"/>
    <s v="West"/>
    <n v="959899.21799999999"/>
    <n v="7894.0739999999896"/>
    <n v="2919.7260000000001"/>
    <n v="27"/>
    <s v="December"/>
    <n v="12"/>
    <s v="2017-12"/>
    <x v="2"/>
  </r>
  <r>
    <s v="SO - 0001142"/>
    <d v="2017-12-19T00:00:00"/>
    <s v="Internatio Company"/>
    <s v="Wholesale"/>
    <x v="1"/>
    <n v="7"/>
    <n v="3028.4"/>
    <n v="21198.799999999999"/>
    <n v="1756.472"/>
    <s v="CT"/>
    <s v="Connecticut"/>
    <s v="Northeast"/>
    <n v="5342315.4840000002"/>
    <n v="12295.304"/>
    <n v="8903.4959999999992"/>
    <n v="42"/>
    <s v="December"/>
    <n v="12"/>
    <s v="2017-12"/>
    <x v="2"/>
  </r>
  <r>
    <s v="SO - 0002009"/>
    <d v="2017-12-19T00:00:00"/>
    <s v="Clinique Ltd"/>
    <s v="Wholesale"/>
    <x v="7"/>
    <n v="5"/>
    <n v="830.8"/>
    <n v="4154"/>
    <n v="440.32400000000001"/>
    <s v="AZ"/>
    <s v="Arizona"/>
    <s v="West"/>
    <n v="3050087.5649999999"/>
    <n v="2201.62"/>
    <n v="1952.3799999999901"/>
    <n v="46.999999999999901"/>
    <s v="December"/>
    <n v="12"/>
    <s v="2017-12"/>
    <x v="2"/>
  </r>
  <r>
    <s v="SO - 0002450"/>
    <d v="2017-12-19T00:00:00"/>
    <s v="Mycone Ltd"/>
    <s v="Export"/>
    <x v="20"/>
    <n v="7"/>
    <n v="991.6"/>
    <n v="6941.2"/>
    <n v="664.37199999999996"/>
    <s v="FL"/>
    <s v="Florida"/>
    <s v="South"/>
    <n v="964940.23100000003"/>
    <n v="4650.6040000000003"/>
    <n v="2290.59599999999"/>
    <n v="32.999999999999901"/>
    <s v="December"/>
    <n v="12"/>
    <s v="2017-12"/>
    <x v="2"/>
  </r>
  <r>
    <s v="SO - 0005630"/>
    <d v="2017-12-19T00:00:00"/>
    <s v="American Corp"/>
    <s v="Export"/>
    <x v="11"/>
    <n v="9"/>
    <n v="2237.8000000000002"/>
    <n v="20140.2"/>
    <n v="984.63199999999995"/>
    <s v="TX"/>
    <s v="Texas"/>
    <s v="South"/>
    <n v="5685138.2699999996"/>
    <n v="8861.6880000000001"/>
    <n v="11278.512000000001"/>
    <n v="56"/>
    <s v="December"/>
    <n v="12"/>
    <s v="2017-12"/>
    <x v="2"/>
  </r>
  <r>
    <s v="SO - 0008250"/>
    <d v="2017-12-19T00:00:00"/>
    <s v="Safeway Ltd"/>
    <s v="Distributor"/>
    <x v="27"/>
    <n v="11"/>
    <n v="2639.8"/>
    <n v="29037.800000000003"/>
    <n v="1689.472"/>
    <s v="CO"/>
    <s v="Colorado"/>
    <s v="West"/>
    <n v="2067108.1199999901"/>
    <n v="18584.191999999999"/>
    <n v="10453.608"/>
    <n v="36"/>
    <s v="December"/>
    <n v="12"/>
    <s v="2017-12"/>
    <x v="2"/>
  </r>
  <r>
    <s v="SO - 0010439"/>
    <d v="2017-12-19T00:00:00"/>
    <s v="Twimbo Company"/>
    <s v="Distributor"/>
    <x v="17"/>
    <n v="5"/>
    <n v="1038.5"/>
    <n v="5192.5"/>
    <n v="446.55500000000001"/>
    <s v="NJ"/>
    <s v="New Jersey"/>
    <s v="Northeast"/>
    <n v="2642352.432"/>
    <n v="2232.7750000000001"/>
    <n v="2959.7249999999999"/>
    <n v="56.999999999999901"/>
    <s v="December"/>
    <n v="12"/>
    <s v="2017-12"/>
    <x v="2"/>
  </r>
  <r>
    <s v="SO - 0010161"/>
    <d v="2017-12-19T00:00:00"/>
    <s v="Us Ltd"/>
    <s v="Wholesale"/>
    <x v="1"/>
    <n v="12"/>
    <n v="2465.6"/>
    <n v="29587.199999999997"/>
    <n v="1799.8879999999999"/>
    <s v="PA"/>
    <s v="Pennsylvania"/>
    <s v="Northeast"/>
    <n v="5342315.4840000002"/>
    <n v="21598.655999999999"/>
    <n v="7988.5439999999899"/>
    <n v="26.999999999999901"/>
    <s v="December"/>
    <n v="12"/>
    <s v="2017-12"/>
    <x v="2"/>
  </r>
  <r>
    <s v="SO - 0008676"/>
    <d v="2017-12-19T00:00:00"/>
    <s v="Skyvu Group"/>
    <s v="Distributor"/>
    <x v="0"/>
    <n v="8"/>
    <n v="1045.2"/>
    <n v="8361.6"/>
    <n v="710.73599999999999"/>
    <s v="CA"/>
    <s v="California"/>
    <s v="West"/>
    <n v="1011609.684"/>
    <n v="5685.8879999999999"/>
    <n v="2675.71199999999"/>
    <n v="31.999999999999901"/>
    <s v="December"/>
    <n v="12"/>
    <s v="2017-12"/>
    <x v="2"/>
  </r>
  <r>
    <s v="SO - 000235"/>
    <d v="2017-12-19T00:00:00"/>
    <s v="Cogidoo Company"/>
    <s v="Distributor"/>
    <x v="11"/>
    <n v="12"/>
    <n v="5219.3"/>
    <n v="62631.600000000006"/>
    <n v="3444.7379999999998"/>
    <s v="OR"/>
    <s v="Oregon"/>
    <s v="West"/>
    <n v="5685138.2699999996"/>
    <n v="41336.856"/>
    <n v="21294.743999999999"/>
    <n v="34"/>
    <s v="December"/>
    <n v="12"/>
    <s v="2017-12"/>
    <x v="2"/>
  </r>
  <r>
    <s v="SO - 0001169"/>
    <d v="2017-12-19T00:00:00"/>
    <s v="Chatterpoi Corp"/>
    <s v="Export"/>
    <x v="11"/>
    <n v="10"/>
    <n v="2546"/>
    <n v="25460"/>
    <n v="1782.19999999999"/>
    <s v="OR"/>
    <s v="Oregon"/>
    <s v="West"/>
    <n v="5685138.2699999996"/>
    <n v="17822"/>
    <n v="7638"/>
    <n v="30"/>
    <s v="December"/>
    <n v="12"/>
    <s v="2017-12"/>
    <x v="2"/>
  </r>
  <r>
    <s v="SO - 0004062"/>
    <d v="2017-12-19T00:00:00"/>
    <s v="True Ltd"/>
    <s v="Distributor"/>
    <x v="17"/>
    <n v="6"/>
    <n v="5447.1"/>
    <n v="32682.600000000002"/>
    <n v="2614.6080000000002"/>
    <s v="CA"/>
    <s v="California"/>
    <s v="West"/>
    <n v="2642352.432"/>
    <n v="15687.647999999999"/>
    <n v="16994.952000000001"/>
    <n v="52"/>
    <s v="December"/>
    <n v="12"/>
    <s v="2017-12"/>
    <x v="2"/>
  </r>
  <r>
    <s v="SO - 0004884"/>
    <d v="2017-12-19T00:00:00"/>
    <s v="Twinte Group"/>
    <s v="Wholesale"/>
    <x v="18"/>
    <n v="9"/>
    <n v="5460.5"/>
    <n v="49144.5"/>
    <n v="4586.82"/>
    <s v="CA"/>
    <s v="California"/>
    <s v="West"/>
    <n v="1135815.7579999999"/>
    <n v="41281.379999999997"/>
    <n v="7863.12"/>
    <n v="16"/>
    <s v="December"/>
    <n v="12"/>
    <s v="2017-12"/>
    <x v="2"/>
  </r>
  <r>
    <s v="SO - 0005855"/>
    <d v="2017-12-19T00:00:00"/>
    <s v="Divanoodle Ltd"/>
    <s v="Distributor"/>
    <x v="2"/>
    <n v="11"/>
    <n v="3899.4"/>
    <n v="42893.4"/>
    <n v="2456.6219999999998"/>
    <s v="MN"/>
    <s v="Minnesota"/>
    <s v="Midwest"/>
    <n v="4028698.409"/>
    <n v="27022.842000000001"/>
    <n v="15870.557999999901"/>
    <n v="36.999999999999901"/>
    <s v="December"/>
    <n v="12"/>
    <s v="2017-12"/>
    <x v="2"/>
  </r>
  <r>
    <s v="SO - 0006377"/>
    <d v="2017-12-19T00:00:00"/>
    <s v="Rhynoodle Ltd"/>
    <s v="Wholesale"/>
    <x v="17"/>
    <n v="5"/>
    <n v="5601.2"/>
    <n v="28006"/>
    <n v="4032.86399999999"/>
    <s v="CA"/>
    <s v="California"/>
    <s v="West"/>
    <n v="2642352.432"/>
    <n v="20164.32"/>
    <n v="7841.68"/>
    <n v="28"/>
    <s v="December"/>
    <n v="12"/>
    <s v="2017-12"/>
    <x v="2"/>
  </r>
  <r>
    <s v="SO - 0007140"/>
    <d v="2017-12-19T00:00:00"/>
    <s v="Liberty Group"/>
    <s v="Wholesale"/>
    <x v="2"/>
    <n v="5"/>
    <n v="1025.0999999999999"/>
    <n v="5125.5"/>
    <n v="563.80499999999995"/>
    <s v="MN"/>
    <s v="Minnesota"/>
    <s v="Midwest"/>
    <n v="4028698.409"/>
    <n v="2819.0250000000001"/>
    <n v="2306.4749999999999"/>
    <n v="44.999999999999901"/>
    <s v="December"/>
    <n v="12"/>
    <s v="2017-12"/>
    <x v="2"/>
  </r>
  <r>
    <s v="SO - 0008184"/>
    <d v="2017-12-19T00:00:00"/>
    <s v="Skidoo Company"/>
    <s v="Wholesale"/>
    <x v="13"/>
    <n v="5"/>
    <n v="174.2"/>
    <n v="871"/>
    <n v="81.873999999999995"/>
    <s v="IL"/>
    <s v="Illinois"/>
    <s v="Midwest"/>
    <n v="3299478.3149999999"/>
    <n v="409.37"/>
    <n v="461.63"/>
    <n v="53"/>
    <s v="December"/>
    <n v="12"/>
    <s v="2017-12"/>
    <x v="2"/>
  </r>
  <r>
    <s v="SO - 0009788"/>
    <d v="2017-12-19T00:00:00"/>
    <s v="Rooxo Company"/>
    <s v="Distributor"/>
    <x v="9"/>
    <n v="10"/>
    <n v="2827.4"/>
    <n v="28274"/>
    <n v="2261.92"/>
    <s v="VA"/>
    <s v="Virginia"/>
    <s v="South"/>
    <n v="3720639.645"/>
    <n v="22619.200000000001"/>
    <n v="5654.7999999999902"/>
    <n v="20"/>
    <s v="December"/>
    <n v="12"/>
    <s v="2017-12"/>
    <x v="2"/>
  </r>
  <r>
    <s v="SO - 0008874"/>
    <d v="2017-12-19T00:00:00"/>
    <s v="Tambee Company"/>
    <s v="Export"/>
    <x v="14"/>
    <n v="11"/>
    <n v="2311.5"/>
    <n v="25426.5"/>
    <n v="1502.4749999999999"/>
    <s v="CA"/>
    <s v="California"/>
    <s v="West"/>
    <n v="2119616.824"/>
    <n v="16527.224999999999"/>
    <n v="8899.2749999999905"/>
    <n v="34.999999999999901"/>
    <s v="December"/>
    <n v="12"/>
    <s v="2017-12"/>
    <x v="2"/>
  </r>
  <r>
    <s v="SO - 0009093"/>
    <d v="2017-12-19T00:00:00"/>
    <s v="Jayo Company"/>
    <s v="Wholesale"/>
    <x v="11"/>
    <n v="11"/>
    <n v="1112.2"/>
    <n v="12234.2"/>
    <n v="567.22199999999998"/>
    <s v="FL"/>
    <s v="Florida"/>
    <s v="South"/>
    <n v="5685138.2699999996"/>
    <n v="6239.442"/>
    <n v="5994.7579999999998"/>
    <n v="49"/>
    <s v="December"/>
    <n v="12"/>
    <s v="2017-12"/>
    <x v="2"/>
  </r>
  <r>
    <s v="SO - 0001358"/>
    <d v="2017-12-19T00:00:00"/>
    <s v="Avavee Group"/>
    <s v="Wholesale"/>
    <x v="9"/>
    <n v="8"/>
    <n v="871"/>
    <n v="6968"/>
    <n v="600.99"/>
    <s v="MI"/>
    <s v="Michigan"/>
    <s v="Midwest"/>
    <n v="3720639.645"/>
    <n v="4807.92"/>
    <n v="2160.08"/>
    <n v="31"/>
    <s v="December"/>
    <n v="12"/>
    <s v="2017-12"/>
    <x v="2"/>
  </r>
  <r>
    <s v="SO - 0001447"/>
    <d v="2017-12-19T00:00:00"/>
    <s v="Aimbo Corp"/>
    <s v="Wholesale"/>
    <x v="16"/>
    <n v="10"/>
    <n v="3932.9"/>
    <n v="39329"/>
    <n v="1612.489"/>
    <s v="CT"/>
    <s v="Connecticut"/>
    <s v="Northeast"/>
    <n v="3016489.2089999998"/>
    <n v="16124.89"/>
    <n v="23204.11"/>
    <n v="59"/>
    <s v="December"/>
    <n v="12"/>
    <s v="2017-12"/>
    <x v="2"/>
  </r>
  <r>
    <s v="SO - 0006895"/>
    <d v="2017-12-19T00:00:00"/>
    <s v="Podcat Corp"/>
    <s v="Wholesale"/>
    <x v="23"/>
    <n v="6"/>
    <n v="234.5"/>
    <n v="1407"/>
    <n v="140.69999999999999"/>
    <s v="FL"/>
    <s v="Florida"/>
    <s v="South"/>
    <n v="1645841.6"/>
    <n v="844.19999999999902"/>
    <n v="562.79999999999995"/>
    <n v="40"/>
    <s v="December"/>
    <n v="12"/>
    <s v="2017-12"/>
    <x v="2"/>
  </r>
  <r>
    <s v="SO - 0006911"/>
    <d v="2017-12-19T00:00:00"/>
    <s v="Wordpedia Ltd"/>
    <s v="Distributor"/>
    <x v="10"/>
    <n v="10"/>
    <n v="3899.4"/>
    <n v="38994"/>
    <n v="3119.52"/>
    <s v="CA"/>
    <s v="California"/>
    <s v="West"/>
    <n v="1672229.416"/>
    <n v="31195.200000000001"/>
    <n v="7798.7999999999902"/>
    <n v="19.999999999999901"/>
    <s v="December"/>
    <n v="12"/>
    <s v="2017-12"/>
    <x v="2"/>
  </r>
  <r>
    <s v="SO - 0009027"/>
    <d v="2017-12-19T00:00:00"/>
    <s v="Blogspan Ltd"/>
    <s v="Export"/>
    <x v="13"/>
    <n v="11"/>
    <n v="1782.2"/>
    <n v="19604.2"/>
    <n v="1514.87"/>
    <s v="AL"/>
    <s v="Alabama"/>
    <s v="South"/>
    <n v="3299478.3149999999"/>
    <n v="16663.57"/>
    <n v="2940.63"/>
    <n v="15"/>
    <s v="December"/>
    <n v="12"/>
    <s v="2017-12"/>
    <x v="2"/>
  </r>
  <r>
    <s v="SO - 0009217"/>
    <d v="2017-12-19T00:00:00"/>
    <s v="Wockhardt Group"/>
    <s v="Export"/>
    <x v="27"/>
    <n v="12"/>
    <n v="6365"/>
    <n v="76380"/>
    <n v="4582.8"/>
    <s v="VA"/>
    <s v="Virginia"/>
    <s v="South"/>
    <n v="2067108.1199999901"/>
    <n v="54993.599999999999"/>
    <n v="21386.3999999999"/>
    <n v="27.999999999999901"/>
    <s v="December"/>
    <n v="12"/>
    <s v="2017-12"/>
    <x v="2"/>
  </r>
  <r>
    <s v="SO - 000752"/>
    <d v="2017-12-19T00:00:00"/>
    <s v="Kare Corp"/>
    <s v="Distributor"/>
    <x v="2"/>
    <n v="6"/>
    <n v="1936.3"/>
    <n v="11617.8"/>
    <n v="1142.4169999999999"/>
    <s v="NY"/>
    <s v="New York"/>
    <s v="Northeast"/>
    <n v="4028698.409"/>
    <n v="6854.5019999999904"/>
    <n v="4763.2979999999998"/>
    <n v="41"/>
    <s v="December"/>
    <n v="12"/>
    <s v="2017-12"/>
    <x v="2"/>
  </r>
  <r>
    <s v="SO - 0004374"/>
    <d v="2017-12-19T00:00:00"/>
    <s v="Shiseido Ltd"/>
    <s v="Wholesale"/>
    <x v="10"/>
    <n v="5"/>
    <n v="1098.8"/>
    <n v="5494"/>
    <n v="933.979999999999"/>
    <s v="IL"/>
    <s v="Illinois"/>
    <s v="Midwest"/>
    <n v="1672229.416"/>
    <n v="4669.8999999999996"/>
    <n v="824.1"/>
    <n v="15"/>
    <s v="December"/>
    <n v="12"/>
    <s v="2017-12"/>
    <x v="2"/>
  </r>
  <r>
    <s v="SO - 0005484"/>
    <d v="2017-12-19T00:00:00"/>
    <s v="Johnson Ltd"/>
    <s v="Distributor"/>
    <x v="6"/>
    <n v="6"/>
    <n v="3926.2"/>
    <n v="23557.199999999997"/>
    <n v="1845.3140000000001"/>
    <s v="IL"/>
    <s v="Illinois"/>
    <s v="Midwest"/>
    <n v="3925424.5419999999"/>
    <n v="11071.884"/>
    <n v="12485.316000000001"/>
    <n v="53"/>
    <s v="December"/>
    <n v="12"/>
    <s v="2017-12"/>
    <x v="2"/>
  </r>
  <r>
    <s v="SO - 0006989"/>
    <d v="2017-12-19T00:00:00"/>
    <s v="Internatio Company"/>
    <s v="Distributor"/>
    <x v="1"/>
    <n v="12"/>
    <n v="864.3"/>
    <n v="10371.599999999999"/>
    <n v="535.86599999999999"/>
    <s v="IL"/>
    <s v="Illinois"/>
    <s v="Midwest"/>
    <n v="5342315.4840000002"/>
    <n v="6430.3919999999998"/>
    <n v="3941.2080000000001"/>
    <n v="38"/>
    <s v="December"/>
    <n v="12"/>
    <s v="2017-12"/>
    <x v="2"/>
  </r>
  <r>
    <s v="SO - 0007272"/>
    <d v="2017-12-19T00:00:00"/>
    <s v="Linklinks Ltd"/>
    <s v="Wholesale"/>
    <x v="0"/>
    <n v="8"/>
    <n v="3993.2"/>
    <n v="31945.599999999999"/>
    <n v="2795.24"/>
    <s v="TN"/>
    <s v="Tennessee"/>
    <s v="South"/>
    <n v="1011609.684"/>
    <n v="22361.919999999998"/>
    <n v="9583.68"/>
    <n v="30"/>
    <s v="December"/>
    <n v="12"/>
    <s v="2017-12"/>
    <x v="2"/>
  </r>
  <r>
    <s v="SO - 0007454"/>
    <d v="2017-12-19T00:00:00"/>
    <s v="Twimbo Company"/>
    <s v="Wholesale"/>
    <x v="10"/>
    <n v="12"/>
    <n v="3852.5"/>
    <n v="46230"/>
    <n v="3082"/>
    <s v="IL"/>
    <s v="Illinois"/>
    <s v="Midwest"/>
    <n v="1672229.416"/>
    <n v="36984"/>
    <n v="9246"/>
    <n v="20"/>
    <s v="December"/>
    <n v="12"/>
    <s v="2017-12"/>
    <x v="2"/>
  </r>
  <r>
    <s v="SO - 0009715"/>
    <d v="2017-12-19T00:00:00"/>
    <s v="Holston Company"/>
    <s v="Wholesale"/>
    <x v="0"/>
    <n v="8"/>
    <n v="917.9"/>
    <n v="7343.2"/>
    <n v="670.06700000000001"/>
    <s v="NJ"/>
    <s v="New Jersey"/>
    <s v="Northeast"/>
    <n v="1011609.684"/>
    <n v="5360.5360000000001"/>
    <n v="1982.66399999999"/>
    <n v="26.999999999999901"/>
    <s v="December"/>
    <n v="12"/>
    <s v="2017-12"/>
    <x v="2"/>
  </r>
  <r>
    <s v="SO - 0010418"/>
    <d v="2017-12-19T00:00:00"/>
    <s v="Muxo Group"/>
    <s v="Export"/>
    <x v="25"/>
    <n v="7"/>
    <n v="1152.4000000000001"/>
    <n v="8066.8000000000011"/>
    <n v="898.87199999999996"/>
    <s v="IA"/>
    <s v="Iowa"/>
    <s v="Midwest"/>
    <n v="889737.55500000005"/>
    <n v="6292.1040000000003"/>
    <n v="1774.6959999999999"/>
    <n v="22"/>
    <s v="December"/>
    <n v="12"/>
    <s v="2017-12"/>
    <x v="2"/>
  </r>
  <r>
    <s v="SO - 0010507"/>
    <d v="2017-12-19T00:00:00"/>
    <s v="Realcube Company"/>
    <s v="Wholesale"/>
    <x v="26"/>
    <n v="6"/>
    <n v="6009.9"/>
    <n v="36059.399999999994"/>
    <n v="4928.1180000000004"/>
    <s v="ID"/>
    <s v="Idaho"/>
    <s v="West"/>
    <n v="1356976.996"/>
    <n v="29568.707999999999"/>
    <n v="6490.69199999999"/>
    <n v="17.999999999999901"/>
    <s v="December"/>
    <n v="12"/>
    <s v="2017-12"/>
    <x v="2"/>
  </r>
  <r>
    <s v="SO - 0001947"/>
    <d v="2017-12-19T00:00:00"/>
    <s v="Meejo Corp"/>
    <s v="Distributor"/>
    <x v="11"/>
    <n v="12"/>
    <n v="247.9"/>
    <n v="2974.8"/>
    <n v="123.95"/>
    <s v="CO"/>
    <s v="Colorado"/>
    <s v="West"/>
    <n v="5685138.2699999996"/>
    <n v="1487.4"/>
    <n v="1487.4"/>
    <n v="50"/>
    <s v="December"/>
    <n v="12"/>
    <s v="2017-12"/>
    <x v="2"/>
  </r>
  <r>
    <s v="SO - 0002607"/>
    <d v="2017-12-19T00:00:00"/>
    <s v="Zooveo Company"/>
    <s v="Wholesale"/>
    <x v="24"/>
    <n v="12"/>
    <n v="1728.6"/>
    <n v="20743.199999999997"/>
    <n v="1331.0219999999999"/>
    <s v="CO"/>
    <s v="Colorado"/>
    <s v="West"/>
    <n v="594471.56999999995"/>
    <n v="15972.263999999999"/>
    <n v="4770.9359999999897"/>
    <n v="22.999999999999901"/>
    <s v="December"/>
    <n v="12"/>
    <s v="2017-12"/>
    <x v="2"/>
  </r>
  <r>
    <s v="SO - 0003061"/>
    <d v="2017-12-19T00:00:00"/>
    <s v="Cardinal Group"/>
    <s v="Wholesale"/>
    <x v="11"/>
    <n v="6"/>
    <n v="1688.4"/>
    <n v="10130.400000000001"/>
    <n v="1401.3720000000001"/>
    <s v="CA"/>
    <s v="California"/>
    <s v="West"/>
    <n v="5685138.2699999996"/>
    <n v="8408.232"/>
    <n v="1722.1679999999999"/>
    <n v="17"/>
    <s v="December"/>
    <n v="12"/>
    <s v="2017-12"/>
    <x v="2"/>
  </r>
  <r>
    <s v="SO - 0003687"/>
    <d v="2017-12-19T00:00:00"/>
    <s v="Buzzbean Group"/>
    <s v="Wholesale"/>
    <x v="3"/>
    <n v="5"/>
    <n v="1051.9000000000001"/>
    <n v="5259.5"/>
    <n v="610.10199999999998"/>
    <s v="OH"/>
    <s v="Ohio"/>
    <s v="Midwest"/>
    <n v="1085037.3289999999"/>
    <n v="3050.5099999999902"/>
    <n v="2208.9899999999998"/>
    <n v="42"/>
    <s v="December"/>
    <n v="12"/>
    <s v="2017-12"/>
    <x v="2"/>
  </r>
  <r>
    <s v="SO - 0006057"/>
    <d v="2017-12-19T00:00:00"/>
    <s v="Fivebridge Ltd"/>
    <s v="Distributor"/>
    <x v="24"/>
    <n v="9"/>
    <n v="194.3"/>
    <n v="1748.7"/>
    <n v="89.378"/>
    <s v="PA"/>
    <s v="Pennsylvania"/>
    <s v="Northeast"/>
    <n v="594471.56999999995"/>
    <n v="804.40200000000004"/>
    <n v="944.29799999999898"/>
    <n v="53.999999999999901"/>
    <s v="December"/>
    <n v="12"/>
    <s v="2017-12"/>
    <x v="2"/>
  </r>
  <r>
    <s v="SO - 0007243"/>
    <d v="2017-12-19T00:00:00"/>
    <s v="Pacific Ltd"/>
    <s v="Distributor"/>
    <x v="27"/>
    <n v="12"/>
    <n v="2546"/>
    <n v="30552"/>
    <n v="1654.9"/>
    <s v="FL"/>
    <s v="Florida"/>
    <s v="South"/>
    <n v="2067108.1199999901"/>
    <n v="19858.8"/>
    <n v="10693.199999999901"/>
    <n v="34.999999999999901"/>
    <s v="December"/>
    <n v="12"/>
    <s v="2017-12"/>
    <x v="2"/>
  </r>
  <r>
    <s v="SO - 0007403"/>
    <d v="2017-12-19T00:00:00"/>
    <s v="Colgate-Pa Group"/>
    <s v="Distributor"/>
    <x v="13"/>
    <n v="7"/>
    <n v="991.6"/>
    <n v="6941.2"/>
    <n v="485.88400000000001"/>
    <s v="IL"/>
    <s v="Illinois"/>
    <s v="Midwest"/>
    <n v="3299478.3149999999"/>
    <n v="3401.1880000000001"/>
    <n v="3540.0119999999902"/>
    <n v="51"/>
    <s v="December"/>
    <n v="12"/>
    <s v="2017-12"/>
    <x v="2"/>
  </r>
  <r>
    <s v="SO - 0008805"/>
    <d v="2017-12-19T00:00:00"/>
    <s v="Arbor Company"/>
    <s v="Wholesale"/>
    <x v="15"/>
    <n v="12"/>
    <n v="1319.9"/>
    <n v="15838.800000000001"/>
    <n v="1042.721"/>
    <s v="WI"/>
    <s v="Wisconsin"/>
    <s v="Midwest"/>
    <n v="2062061.1440000001"/>
    <n v="12512.652"/>
    <n v="3326.1479999999901"/>
    <n v="20.999999999999901"/>
    <s v="December"/>
    <n v="12"/>
    <s v="2017-12"/>
    <x v="2"/>
  </r>
  <r>
    <s v="SO - 0009020"/>
    <d v="2017-12-19T00:00:00"/>
    <s v="Avavee Group"/>
    <s v="Wholesale"/>
    <x v="16"/>
    <n v="5"/>
    <n v="221.1"/>
    <n v="1105.5"/>
    <n v="145.92599999999999"/>
    <s v="NJ"/>
    <s v="New Jersey"/>
    <s v="Northeast"/>
    <n v="3016489.2089999998"/>
    <n v="729.63"/>
    <n v="375.86999999999898"/>
    <n v="33.999999999999901"/>
    <s v="December"/>
    <n v="12"/>
    <s v="2017-12"/>
    <x v="2"/>
  </r>
  <r>
    <s v="SO - 000658"/>
    <d v="2017-12-20T00:00:00"/>
    <s v="Skiptube Ltd"/>
    <s v="Export"/>
    <x v="18"/>
    <n v="5"/>
    <n v="1118.9000000000001"/>
    <n v="5594.5"/>
    <n v="570.63900000000001"/>
    <s v="IN"/>
    <s v="Indiana"/>
    <s v="Midwest"/>
    <n v="1135815.7579999999"/>
    <n v="2853.1950000000002"/>
    <n v="2741.3049999999998"/>
    <n v="49"/>
    <s v="December"/>
    <n v="12"/>
    <s v="2017-12"/>
    <x v="2"/>
  </r>
  <r>
    <s v="SO - 0003349"/>
    <d v="2017-12-20T00:00:00"/>
    <s v="Supervalu Ltd"/>
    <s v="Export"/>
    <x v="27"/>
    <n v="12"/>
    <n v="2814"/>
    <n v="33768"/>
    <n v="1885.38"/>
    <s v="PA"/>
    <s v="Pennsylvania"/>
    <s v="Northeast"/>
    <n v="2067108.1199999901"/>
    <n v="22624.560000000001"/>
    <n v="11143.4399999999"/>
    <n v="32.999999999999901"/>
    <s v="December"/>
    <n v="12"/>
    <s v="2017-12"/>
    <x v="2"/>
  </r>
  <r>
    <s v="SO - 0004079"/>
    <d v="2017-12-20T00:00:00"/>
    <s v="Supervalu Ltd"/>
    <s v="Wholesale"/>
    <x v="9"/>
    <n v="8"/>
    <n v="703.5"/>
    <n v="5628"/>
    <n v="302.505"/>
    <s v="FL"/>
    <s v="Florida"/>
    <s v="South"/>
    <n v="3720639.645"/>
    <n v="2420.04"/>
    <n v="3207.96"/>
    <n v="56.999999999999901"/>
    <s v="December"/>
    <n v="12"/>
    <s v="2017-12"/>
    <x v="2"/>
  </r>
  <r>
    <s v="SO - 0008015"/>
    <d v="2017-12-20T00:00:00"/>
    <s v="Avamba Company"/>
    <s v="Wholesale"/>
    <x v="14"/>
    <n v="10"/>
    <n v="207.7"/>
    <n v="2077"/>
    <n v="122.54300000000001"/>
    <s v="CA"/>
    <s v="California"/>
    <s v="West"/>
    <n v="2119616.824"/>
    <n v="1225.43"/>
    <n v="851.56999999999903"/>
    <n v="41"/>
    <s v="December"/>
    <n v="12"/>
    <s v="2017-12"/>
    <x v="2"/>
  </r>
  <r>
    <s v="SO - 0010307"/>
    <d v="2017-12-20T00:00:00"/>
    <s v="Zava Group"/>
    <s v="Wholesale"/>
    <x v="17"/>
    <n v="12"/>
    <n v="1159.0999999999999"/>
    <n v="13909.199999999999"/>
    <n v="869.32500000000005"/>
    <s v="TX"/>
    <s v="Texas"/>
    <s v="South"/>
    <n v="2642352.432"/>
    <n v="10431.9"/>
    <n v="3477.2999999999902"/>
    <n v="24.999999999999901"/>
    <s v="December"/>
    <n v="12"/>
    <s v="2017-12"/>
    <x v="2"/>
  </r>
  <r>
    <s v="SO - 0009242"/>
    <d v="2017-12-20T00:00:00"/>
    <s v="Lazzy Group"/>
    <s v="Distributor"/>
    <x v="15"/>
    <n v="12"/>
    <n v="234.5"/>
    <n v="2814"/>
    <n v="126.63"/>
    <s v="IN"/>
    <s v="Indiana"/>
    <s v="Midwest"/>
    <n v="2062061.1440000001"/>
    <n v="1519.56"/>
    <n v="1294.4399999999901"/>
    <n v="46"/>
    <s v="December"/>
    <n v="12"/>
    <s v="2017-12"/>
    <x v="2"/>
  </r>
  <r>
    <s v="SO - 0009935"/>
    <d v="2017-12-20T00:00:00"/>
    <s v="Mycone Ltd"/>
    <s v="Distributor"/>
    <x v="11"/>
    <n v="9"/>
    <n v="1072"/>
    <n v="9648"/>
    <n v="621.76"/>
    <s v="OH"/>
    <s v="Ohio"/>
    <s v="Midwest"/>
    <n v="5685138.2699999996"/>
    <n v="5595.84"/>
    <n v="4052.16"/>
    <n v="42"/>
    <s v="December"/>
    <n v="12"/>
    <s v="2017-12"/>
    <x v="2"/>
  </r>
  <r>
    <s v="SO - 000287"/>
    <d v="2017-12-20T00:00:00"/>
    <s v="Skyble Corp"/>
    <s v="Distributor"/>
    <x v="20"/>
    <n v="9"/>
    <n v="2345"/>
    <n v="21105"/>
    <n v="1922.8999999999901"/>
    <s v="MI"/>
    <s v="Michigan"/>
    <s v="Midwest"/>
    <n v="964940.23100000003"/>
    <n v="17306.099999999999"/>
    <n v="3798.9"/>
    <n v="18"/>
    <s v="December"/>
    <n v="12"/>
    <s v="2017-12"/>
    <x v="2"/>
  </r>
  <r>
    <s v="SO - 000317"/>
    <d v="2017-12-20T00:00:00"/>
    <s v="Twinte Group"/>
    <s v="Distributor"/>
    <x v="7"/>
    <n v="6"/>
    <n v="2881"/>
    <n v="17286"/>
    <n v="1584.55"/>
    <s v="FL"/>
    <s v="Florida"/>
    <s v="South"/>
    <n v="3050087.5649999999"/>
    <n v="9507.2999999999993"/>
    <n v="7778.6999999999898"/>
    <n v="44.999999999999901"/>
    <s v="December"/>
    <n v="12"/>
    <s v="2017-12"/>
    <x v="2"/>
  </r>
  <r>
    <s v="SO - 0007403"/>
    <d v="2017-12-20T00:00:00"/>
    <s v="Colgate-Pa Group"/>
    <s v="Distributor"/>
    <x v="13"/>
    <n v="7"/>
    <n v="991.6"/>
    <n v="6941.2"/>
    <n v="485.88400000000001"/>
    <s v="WA"/>
    <s v="Washington"/>
    <s v="West"/>
    <n v="3299478.3149999999"/>
    <n v="3401.1880000000001"/>
    <n v="3540.0119999999902"/>
    <n v="51"/>
    <s v="December"/>
    <n v="12"/>
    <s v="2017-12"/>
    <x v="2"/>
  </r>
  <r>
    <s v="SO - 0007578"/>
    <d v="2017-12-20T00:00:00"/>
    <s v="Woonsocket Corp"/>
    <s v="Distributor"/>
    <x v="11"/>
    <n v="9"/>
    <n v="951.4"/>
    <n v="8562.6"/>
    <n v="704.03599999999994"/>
    <s v="IA"/>
    <s v="Iowa"/>
    <s v="Midwest"/>
    <n v="5685138.2699999996"/>
    <n v="6336.3239999999996"/>
    <n v="2226.2759999999998"/>
    <n v="26"/>
    <s v="December"/>
    <n v="12"/>
    <s v="2017-12"/>
    <x v="2"/>
  </r>
  <r>
    <s v="SO - 0010032"/>
    <d v="2017-12-20T00:00:00"/>
    <s v="Twinte Group"/>
    <s v="Wholesale"/>
    <x v="11"/>
    <n v="5"/>
    <n v="5212.6000000000004"/>
    <n v="26063"/>
    <n v="3283.9380000000001"/>
    <s v="FL"/>
    <s v="Florida"/>
    <s v="South"/>
    <n v="5685138.2699999996"/>
    <n v="16419.689999999999"/>
    <n v="9643.3099999999904"/>
    <n v="36.999999999999901"/>
    <s v="December"/>
    <n v="12"/>
    <s v="2017-12"/>
    <x v="2"/>
  </r>
  <r>
    <s v="SO - 0003201"/>
    <d v="2017-12-20T00:00:00"/>
    <s v="Dazzlesphe Corp"/>
    <s v="Export"/>
    <x v="9"/>
    <n v="5"/>
    <n v="2257.9"/>
    <n v="11289.5"/>
    <n v="925.73900000000003"/>
    <s v="CA"/>
    <s v="California"/>
    <s v="West"/>
    <n v="3720639.645"/>
    <n v="4628.6949999999997"/>
    <n v="6660.8050000000003"/>
    <n v="59"/>
    <s v="December"/>
    <n v="12"/>
    <s v="2017-12"/>
    <x v="2"/>
  </r>
  <r>
    <s v="SO - 0004007"/>
    <d v="2017-12-20T00:00:00"/>
    <s v="Revitol Company"/>
    <s v="Wholesale"/>
    <x v="12"/>
    <n v="11"/>
    <n v="1011.7"/>
    <n v="11128.7"/>
    <n v="586.78599999999994"/>
    <s v="NY"/>
    <s v="New York"/>
    <s v="Northeast"/>
    <n v="959899.21799999999"/>
    <n v="6454.6459999999997"/>
    <n v="4674.0540000000001"/>
    <n v="42"/>
    <s v="December"/>
    <n v="12"/>
    <s v="2017-12"/>
    <x v="2"/>
  </r>
  <r>
    <s v="SO - 0004213"/>
    <d v="2017-12-20T00:00:00"/>
    <s v="True Ltd"/>
    <s v="Distributor"/>
    <x v="21"/>
    <n v="11"/>
    <n v="1842.5"/>
    <n v="20267.5"/>
    <n v="1123.925"/>
    <s v="TX"/>
    <s v="Texas"/>
    <s v="South"/>
    <n v="1230458.4839999999"/>
    <n v="12363.174999999999"/>
    <n v="7904.3249999999998"/>
    <n v="39"/>
    <s v="December"/>
    <n v="12"/>
    <s v="2017-12"/>
    <x v="2"/>
  </r>
  <r>
    <s v="SO - 0007891"/>
    <d v="2017-12-20T00:00:00"/>
    <s v="Flipstorm Group"/>
    <s v="Wholesale"/>
    <x v="6"/>
    <n v="5"/>
    <n v="904.5"/>
    <n v="4522.5"/>
    <n v="506.52"/>
    <s v="CA"/>
    <s v="California"/>
    <s v="West"/>
    <n v="3925424.5419999999"/>
    <n v="2532.6"/>
    <n v="1989.8999999999901"/>
    <n v="43.999999999999901"/>
    <s v="December"/>
    <n v="12"/>
    <s v="2017-12"/>
    <x v="2"/>
  </r>
  <r>
    <s v="SO - 0009136"/>
    <d v="2017-12-20T00:00:00"/>
    <s v="Wordtune Company"/>
    <s v="Wholesale"/>
    <x v="9"/>
    <n v="11"/>
    <n v="3979.8"/>
    <n v="43777.8"/>
    <n v="3343.0320000000002"/>
    <s v="TX"/>
    <s v="Texas"/>
    <s v="South"/>
    <n v="3720639.645"/>
    <n v="36773.351999999999"/>
    <n v="7004.4480000000003"/>
    <n v="16"/>
    <s v="December"/>
    <n v="12"/>
    <s v="2017-12"/>
    <x v="2"/>
  </r>
  <r>
    <s v="SO - 000357"/>
    <d v="2017-12-20T00:00:00"/>
    <s v="Accudial Company"/>
    <s v="Wholesale"/>
    <x v="7"/>
    <n v="8"/>
    <n v="891.1"/>
    <n v="7128.8"/>
    <n v="739.61299999999903"/>
    <s v="MN"/>
    <s v="Minnesota"/>
    <s v="Midwest"/>
    <n v="3050087.5649999999"/>
    <n v="5916.9039999999904"/>
    <n v="1211.896"/>
    <n v="17"/>
    <s v="December"/>
    <n v="12"/>
    <s v="2017-12"/>
    <x v="2"/>
  </r>
  <r>
    <s v="SO - 0002360"/>
    <d v="2017-12-20T00:00:00"/>
    <s v="Mylan Corp"/>
    <s v="Wholesale"/>
    <x v="1"/>
    <n v="7"/>
    <n v="1118.9000000000001"/>
    <n v="7832.3000000000011"/>
    <n v="906.30899999999997"/>
    <s v="TX"/>
    <s v="Texas"/>
    <s v="South"/>
    <n v="5342315.4840000002"/>
    <n v="6344.1629999999996"/>
    <n v="1488.1369999999999"/>
    <n v="19"/>
    <s v="December"/>
    <n v="12"/>
    <s v="2017-12"/>
    <x v="2"/>
  </r>
  <r>
    <s v="SO - 0004492"/>
    <d v="2017-12-20T00:00:00"/>
    <s v="Twimbo Company"/>
    <s v="Wholesale"/>
    <x v="24"/>
    <n v="7"/>
    <n v="2907.8"/>
    <n v="20354.600000000002"/>
    <n v="2239.0059999999999"/>
    <s v="NY"/>
    <s v="New York"/>
    <s v="Northeast"/>
    <n v="594471.56999999995"/>
    <n v="15673.041999999999"/>
    <n v="4681.558"/>
    <n v="23"/>
    <s v="December"/>
    <n v="12"/>
    <s v="2017-12"/>
    <x v="2"/>
  </r>
  <r>
    <s v="SO - 0004933"/>
    <d v="2017-12-20T00:00:00"/>
    <s v="Zava Group"/>
    <s v="Wholesale"/>
    <x v="1"/>
    <n v="11"/>
    <n v="857.6"/>
    <n v="9433.6"/>
    <n v="420.22399999999999"/>
    <s v="FL"/>
    <s v="Florida"/>
    <s v="South"/>
    <n v="5342315.4840000002"/>
    <n v="4622.4639999999999"/>
    <n v="4811.1360000000004"/>
    <n v="51"/>
    <s v="December"/>
    <n v="12"/>
    <s v="2017-12"/>
    <x v="2"/>
  </r>
  <r>
    <s v="SO - 0006987"/>
    <d v="2017-12-20T00:00:00"/>
    <s v="Bta Corp"/>
    <s v="Wholesale"/>
    <x v="0"/>
    <n v="7"/>
    <n v="1969.8"/>
    <n v="13788.6"/>
    <n v="1634.934"/>
    <s v="LA"/>
    <s v="Louisiana"/>
    <s v="South"/>
    <n v="1011609.684"/>
    <n v="11444.538"/>
    <n v="2344.0619999999999"/>
    <n v="17"/>
    <s v="December"/>
    <n v="12"/>
    <s v="2017-12"/>
    <x v="2"/>
  </r>
  <r>
    <s v="SO - 0007377"/>
    <d v="2017-12-20T00:00:00"/>
    <s v="Sanofi-Ave Group"/>
    <s v="Wholesale"/>
    <x v="1"/>
    <n v="11"/>
    <n v="1092.0999999999999"/>
    <n v="12013.099999999999"/>
    <n v="436.84"/>
    <s v="PA"/>
    <s v="Pennsylvania"/>
    <s v="Northeast"/>
    <n v="5342315.4840000002"/>
    <n v="4805.24"/>
    <n v="7207.86"/>
    <n v="60"/>
    <s v="December"/>
    <n v="12"/>
    <s v="2017-12"/>
    <x v="2"/>
  </r>
  <r>
    <s v="SO - 0009618"/>
    <d v="2017-12-20T00:00:00"/>
    <s v="Fivebridge Ltd"/>
    <s v="Wholesale"/>
    <x v="10"/>
    <n v="11"/>
    <n v="1721.9"/>
    <n v="18940.900000000001"/>
    <n v="947.04499999999996"/>
    <s v="CA"/>
    <s v="California"/>
    <s v="West"/>
    <n v="1672229.416"/>
    <n v="10417.495000000001"/>
    <n v="8523.4050000000007"/>
    <n v="45"/>
    <s v="December"/>
    <n v="12"/>
    <s v="2017-12"/>
    <x v="2"/>
  </r>
  <r>
    <s v="SO - 0009227"/>
    <d v="2017-12-20T00:00:00"/>
    <s v="Mita Corp"/>
    <s v="Wholesale"/>
    <x v="17"/>
    <n v="11"/>
    <n v="6177.4"/>
    <n v="67951.399999999994"/>
    <n v="5065.4679999999998"/>
    <s v="OH"/>
    <s v="Ohio"/>
    <s v="Midwest"/>
    <n v="2642352.432"/>
    <n v="55720.148000000001"/>
    <n v="12231.252"/>
    <n v="18"/>
    <s v="December"/>
    <n v="12"/>
    <s v="2017-12"/>
    <x v="2"/>
  </r>
  <r>
    <s v="SO - 0008434"/>
    <d v="2017-12-20T00:00:00"/>
    <s v="Realbuzz Ltd"/>
    <s v="Wholesale"/>
    <x v="1"/>
    <n v="6"/>
    <n v="3879.3"/>
    <n v="23275.800000000003"/>
    <n v="1862.0640000000001"/>
    <s v="IL"/>
    <s v="Illinois"/>
    <s v="Midwest"/>
    <n v="5342315.4840000002"/>
    <n v="11172.384"/>
    <n v="12103.415999999999"/>
    <n v="52"/>
    <s v="December"/>
    <n v="12"/>
    <s v="2017-12"/>
    <x v="2"/>
  </r>
  <r>
    <s v="SO - 0009911"/>
    <d v="2017-12-20T00:00:00"/>
    <s v="Us Ltd"/>
    <s v="Distributor"/>
    <x v="14"/>
    <n v="5"/>
    <n v="911.2"/>
    <n v="4556"/>
    <n v="446.488"/>
    <s v="MA"/>
    <s v="Massachusetts"/>
    <s v="Northeast"/>
    <n v="2119616.824"/>
    <n v="2232.44"/>
    <n v="2323.56"/>
    <n v="51"/>
    <s v="December"/>
    <n v="12"/>
    <s v="2017-12"/>
    <x v="2"/>
  </r>
  <r>
    <s v="SO - 000215"/>
    <d v="2017-12-20T00:00:00"/>
    <s v="Mydeo Ltd"/>
    <s v="Distributor"/>
    <x v="22"/>
    <n v="5"/>
    <n v="2546"/>
    <n v="12730"/>
    <n v="1909.5"/>
    <s v="CA"/>
    <s v="California"/>
    <s v="West"/>
    <n v="710415.40500000003"/>
    <n v="9547.5"/>
    <n v="3182.5"/>
    <n v="25"/>
    <s v="December"/>
    <n v="12"/>
    <s v="2017-12"/>
    <x v="2"/>
  </r>
  <r>
    <s v="SO - 0001497"/>
    <d v="2017-12-20T00:00:00"/>
    <s v="Accord Group"/>
    <s v="Wholesale"/>
    <x v="19"/>
    <n v="6"/>
    <n v="1735.3"/>
    <n v="10411.799999999999"/>
    <n v="780.88499999999999"/>
    <s v="CA"/>
    <s v="California"/>
    <s v="West"/>
    <n v="2885560.824"/>
    <n v="4685.3099999999904"/>
    <n v="5726.49"/>
    <n v="55"/>
    <s v="December"/>
    <n v="12"/>
    <s v="2017-12"/>
    <x v="2"/>
  </r>
  <r>
    <s v="SO - 0006863"/>
    <d v="2017-12-20T00:00:00"/>
    <s v="Safeway Ltd"/>
    <s v="Wholesale"/>
    <x v="14"/>
    <n v="5"/>
    <n v="944.7"/>
    <n v="4723.5"/>
    <n v="755.76"/>
    <s v="PA"/>
    <s v="Pennsylvania"/>
    <s v="Northeast"/>
    <n v="2119616.824"/>
    <n v="3778.8"/>
    <n v="944.69999999999902"/>
    <n v="19.999999999999901"/>
    <s v="December"/>
    <n v="12"/>
    <s v="2017-12"/>
    <x v="2"/>
  </r>
  <r>
    <s v="SO - 0007597"/>
    <d v="2017-12-20T00:00:00"/>
    <s v="Pixoboo Corp"/>
    <s v="Export"/>
    <x v="18"/>
    <n v="12"/>
    <n v="1132.3"/>
    <n v="13587.599999999999"/>
    <n v="951.13199999999995"/>
    <s v="WA"/>
    <s v="Washington"/>
    <s v="West"/>
    <n v="1135815.7579999999"/>
    <n v="11413.583999999901"/>
    <n v="2174.0159999999901"/>
    <n v="15.999999999999901"/>
    <s v="December"/>
    <n v="12"/>
    <s v="2017-12"/>
    <x v="2"/>
  </r>
  <r>
    <s v="SO - 0007840"/>
    <d v="2017-12-20T00:00:00"/>
    <s v="Brainspher Ltd"/>
    <s v="Distributor"/>
    <x v="9"/>
    <n v="9"/>
    <n v="2345"/>
    <n v="21105"/>
    <n v="1876"/>
    <s v="AZ"/>
    <s v="Arizona"/>
    <s v="West"/>
    <n v="3720639.645"/>
    <n v="16884"/>
    <n v="4221"/>
    <n v="20"/>
    <s v="December"/>
    <n v="12"/>
    <s v="2017-12"/>
    <x v="2"/>
  </r>
  <r>
    <s v="SO - 0009480"/>
    <d v="2017-12-20T00:00:00"/>
    <s v="Z.H.T. Group"/>
    <s v="Export"/>
    <x v="13"/>
    <n v="10"/>
    <n v="1185.9000000000001"/>
    <n v="11859"/>
    <n v="640.38599999999997"/>
    <s v="NC"/>
    <s v="North Carolina"/>
    <s v="South"/>
    <n v="3299478.3149999999"/>
    <n v="6403.86"/>
    <n v="5455.1399999999903"/>
    <n v="46"/>
    <s v="December"/>
    <n v="12"/>
    <s v="2017-12"/>
    <x v="2"/>
  </r>
  <r>
    <s v="SO - 000713"/>
    <d v="2017-12-20T00:00:00"/>
    <s v="Colgate-Pa Group"/>
    <s v="Distributor"/>
    <x v="24"/>
    <n v="6"/>
    <n v="3926.2"/>
    <n v="23557.199999999997"/>
    <n v="2552.0300000000002"/>
    <s v="VA"/>
    <s v="Virginia"/>
    <s v="South"/>
    <n v="594471.56999999995"/>
    <n v="15312.18"/>
    <n v="8245.02"/>
    <n v="35"/>
    <s v="December"/>
    <n v="12"/>
    <s v="2017-12"/>
    <x v="2"/>
  </r>
  <r>
    <s v="SO - 000753"/>
    <d v="2017-12-20T00:00:00"/>
    <s v="Realpoint Corp"/>
    <s v="Wholesale"/>
    <x v="1"/>
    <n v="8"/>
    <n v="3946.3"/>
    <n v="31570.400000000001"/>
    <n v="3038.6509999999998"/>
    <s v="CA"/>
    <s v="California"/>
    <s v="West"/>
    <n v="5342315.4840000002"/>
    <n v="24309.207999999999"/>
    <n v="7261.19199999999"/>
    <n v="22.999999999999901"/>
    <s v="December"/>
    <n v="12"/>
    <s v="2017-12"/>
    <x v="2"/>
  </r>
  <r>
    <s v="SO - 0001498"/>
    <d v="2017-12-20T00:00:00"/>
    <s v="Shuffledri Group"/>
    <s v="Distributor"/>
    <x v="6"/>
    <n v="6"/>
    <n v="2003.3"/>
    <n v="12019.8"/>
    <n v="1522.508"/>
    <s v="ID"/>
    <s v="Idaho"/>
    <s v="West"/>
    <n v="3925424.5419999999"/>
    <n v="9135.0480000000007"/>
    <n v="2884.7519999999899"/>
    <n v="23.999999999999901"/>
    <s v="December"/>
    <n v="12"/>
    <s v="2017-12"/>
    <x v="2"/>
  </r>
  <r>
    <s v="SO - 0002912"/>
    <d v="2017-12-20T00:00:00"/>
    <s v="Omba Group"/>
    <s v="Wholesale"/>
    <x v="6"/>
    <n v="9"/>
    <n v="5661.5"/>
    <n v="50953.5"/>
    <n v="3623.36"/>
    <s v="IN"/>
    <s v="Indiana"/>
    <s v="Midwest"/>
    <n v="3925424.5419999999"/>
    <n v="32610.240000000002"/>
    <n v="18343.259999999998"/>
    <n v="36"/>
    <s v="December"/>
    <n v="12"/>
    <s v="2017-12"/>
    <x v="2"/>
  </r>
  <r>
    <s v="SO - 0003759"/>
    <d v="2017-12-20T00:00:00"/>
    <s v="Podcat Corp"/>
    <s v="Distributor"/>
    <x v="29"/>
    <n v="5"/>
    <n v="1246.2"/>
    <n v="6231"/>
    <n v="598.17600000000004"/>
    <s v="TX"/>
    <s v="Texas"/>
    <s v="South"/>
    <n v="864331.62399999995"/>
    <n v="2990.88"/>
    <n v="3240.12"/>
    <n v="52"/>
    <s v="December"/>
    <n v="12"/>
    <s v="2017-12"/>
    <x v="2"/>
  </r>
  <r>
    <s v="SO - 0005038"/>
    <d v="2017-12-20T00:00:00"/>
    <s v="H Ltd"/>
    <s v="Wholesale"/>
    <x v="10"/>
    <n v="10"/>
    <n v="1735.3"/>
    <n v="17353"/>
    <n v="1145.298"/>
    <s v="CA"/>
    <s v="California"/>
    <s v="West"/>
    <n v="1672229.416"/>
    <n v="11452.98"/>
    <n v="5900.02"/>
    <n v="34"/>
    <s v="December"/>
    <n v="12"/>
    <s v="2017-12"/>
    <x v="2"/>
  </r>
  <r>
    <s v="SO - 0007327"/>
    <d v="2017-12-20T00:00:00"/>
    <s v="Nexus Group"/>
    <s v="Wholesale"/>
    <x v="1"/>
    <n v="9"/>
    <n v="817.4"/>
    <n v="7356.5999999999995"/>
    <n v="678.44199999999898"/>
    <s v="PA"/>
    <s v="Pennsylvania"/>
    <s v="Northeast"/>
    <n v="5342315.4840000002"/>
    <n v="6105.9779999999901"/>
    <n v="1250.6220000000001"/>
    <n v="17"/>
    <s v="December"/>
    <n v="12"/>
    <s v="2017-12"/>
    <x v="2"/>
  </r>
  <r>
    <s v="SO - 0007943"/>
    <d v="2017-12-20T00:00:00"/>
    <s v="Unit Ltd"/>
    <s v="Distributor"/>
    <x v="2"/>
    <n v="12"/>
    <n v="1005"/>
    <n v="12060"/>
    <n v="492.45"/>
    <s v="MT"/>
    <s v="Montana"/>
    <s v="West"/>
    <n v="4028698.409"/>
    <n v="5909.4"/>
    <n v="6150.6"/>
    <n v="51"/>
    <s v="December"/>
    <n v="12"/>
    <s v="2017-12"/>
    <x v="2"/>
  </r>
  <r>
    <s v="SO - 0009745"/>
    <d v="2017-12-20T00:00:00"/>
    <s v="American Corp"/>
    <s v="Export"/>
    <x v="1"/>
    <n v="7"/>
    <n v="201"/>
    <n v="1407"/>
    <n v="98.49"/>
    <s v="CA"/>
    <s v="California"/>
    <s v="West"/>
    <n v="5342315.4840000002"/>
    <n v="689.43"/>
    <n v="717.57"/>
    <n v="51"/>
    <s v="December"/>
    <n v="12"/>
    <s v="2017-12"/>
    <x v="2"/>
  </r>
  <r>
    <s v="SO - 0010286"/>
    <d v="2017-12-20T00:00:00"/>
    <s v="Browsebug Company"/>
    <s v="Wholesale"/>
    <x v="6"/>
    <n v="6"/>
    <n v="1051.9000000000001"/>
    <n v="6311.4000000000005"/>
    <n v="483.87400000000002"/>
    <s v="CA"/>
    <s v="California"/>
    <s v="West"/>
    <n v="3925424.5419999999"/>
    <n v="2903.2440000000001"/>
    <n v="3408.1559999999999"/>
    <n v="53.999999999999901"/>
    <s v="December"/>
    <n v="12"/>
    <s v="2017-12"/>
    <x v="2"/>
  </r>
  <r>
    <s v="SO - 0008357"/>
    <d v="2017-12-20T00:00:00"/>
    <s v="Pfizer Corp"/>
    <s v="Export"/>
    <x v="15"/>
    <n v="7"/>
    <n v="2398.6"/>
    <n v="16790.2"/>
    <n v="1990.83799999999"/>
    <s v="TX"/>
    <s v="Texas"/>
    <s v="South"/>
    <n v="2062061.1440000001"/>
    <n v="13935.8659999999"/>
    <n v="2854.3339999999998"/>
    <n v="17"/>
    <s v="December"/>
    <n v="12"/>
    <s v="2017-12"/>
    <x v="2"/>
  </r>
  <r>
    <s v="SO - 0008446"/>
    <d v="2017-12-20T00:00:00"/>
    <s v="Fivechat Company"/>
    <s v="Wholesale"/>
    <x v="4"/>
    <n v="5"/>
    <n v="971.5"/>
    <n v="4857.5"/>
    <n v="650.90499999999997"/>
    <s v="IN"/>
    <s v="Indiana"/>
    <s v="Midwest"/>
    <n v="2309499.0449999999"/>
    <n v="3254.5250000000001"/>
    <n v="1602.9749999999899"/>
    <n v="32.999999999999901"/>
    <s v="December"/>
    <n v="12"/>
    <s v="2017-12"/>
    <x v="2"/>
  </r>
  <r>
    <s v="SO - 0010566"/>
    <d v="2017-12-20T00:00:00"/>
    <s v="Bluezoom Group"/>
    <s v="Wholesale"/>
    <x v="19"/>
    <n v="7"/>
    <n v="2519.1999999999998"/>
    <n v="17634.399999999998"/>
    <n v="1662.672"/>
    <s v="NC"/>
    <s v="North Carolina"/>
    <s v="South"/>
    <n v="2885560.824"/>
    <n v="11638.704"/>
    <n v="5995.6959999999999"/>
    <n v="34"/>
    <s v="December"/>
    <n v="12"/>
    <s v="2017-12"/>
    <x v="2"/>
  </r>
  <r>
    <s v="SO - 0010718"/>
    <d v="2017-12-20T00:00:00"/>
    <s v="Camido Company"/>
    <s v="Distributor"/>
    <x v="11"/>
    <n v="8"/>
    <n v="1788.9"/>
    <n v="14311.2"/>
    <n v="966.00599999999997"/>
    <s v="CA"/>
    <s v="California"/>
    <s v="West"/>
    <n v="5685138.2699999996"/>
    <n v="7728.0479999999998"/>
    <n v="6583.152"/>
    <n v="46"/>
    <s v="December"/>
    <n v="12"/>
    <s v="2017-12"/>
    <x v="2"/>
  </r>
  <r>
    <s v="SO - 000414"/>
    <d v="2017-12-21T00:00:00"/>
    <s v="Ascend Ltd"/>
    <s v="Wholesale"/>
    <x v="1"/>
    <n v="6"/>
    <n v="1018.4"/>
    <n v="6110.4"/>
    <n v="661.96"/>
    <s v="AR"/>
    <s v="Arkansas"/>
    <s v="South"/>
    <n v="5342315.4840000002"/>
    <n v="3971.76"/>
    <n v="2138.6399999999899"/>
    <n v="34.999999999999901"/>
    <s v="December"/>
    <n v="12"/>
    <s v="2017-12"/>
    <x v="2"/>
  </r>
  <r>
    <s v="SO - 0001312"/>
    <d v="2017-12-21T00:00:00"/>
    <s v="Deseret Group"/>
    <s v="Wholesale"/>
    <x v="7"/>
    <n v="9"/>
    <n v="3463.9"/>
    <n v="31175.100000000002"/>
    <n v="1662.672"/>
    <s v="VA"/>
    <s v="Virginia"/>
    <s v="South"/>
    <n v="3050087.5649999999"/>
    <n v="14964.048000000001"/>
    <n v="16211.052"/>
    <n v="52"/>
    <s v="December"/>
    <n v="12"/>
    <s v="2017-12"/>
    <x v="2"/>
  </r>
  <r>
    <s v="SO - 0002584"/>
    <d v="2017-12-21T00:00:00"/>
    <s v="Jayo Company"/>
    <s v="Distributor"/>
    <x v="17"/>
    <n v="11"/>
    <n v="1025.0999999999999"/>
    <n v="11276.099999999999"/>
    <n v="707.31899999999996"/>
    <s v="CA"/>
    <s v="California"/>
    <s v="West"/>
    <n v="2642352.432"/>
    <n v="7780.509"/>
    <n v="3495.5909999999999"/>
    <n v="31"/>
    <s v="December"/>
    <n v="12"/>
    <s v="2017-12"/>
    <x v="2"/>
  </r>
  <r>
    <s v="SO - 0002654"/>
    <d v="2017-12-21T00:00:00"/>
    <s v="Omba Group"/>
    <s v="Export"/>
    <x v="19"/>
    <n v="10"/>
    <n v="3819"/>
    <n v="38190"/>
    <n v="1603.98"/>
    <s v="TX"/>
    <s v="Texas"/>
    <s v="South"/>
    <n v="2885560.824"/>
    <n v="16039.8"/>
    <n v="22150.2"/>
    <n v="58"/>
    <s v="December"/>
    <n v="12"/>
    <s v="2017-12"/>
    <x v="2"/>
  </r>
  <r>
    <s v="SO - 0006918"/>
    <d v="2017-12-21T00:00:00"/>
    <s v="Johnson Ltd"/>
    <s v="Wholesale"/>
    <x v="26"/>
    <n v="9"/>
    <n v="1681.7"/>
    <n v="15135.300000000001"/>
    <n v="924.93499999999995"/>
    <s v="IL"/>
    <s v="Illinois"/>
    <s v="Midwest"/>
    <n v="1356976.996"/>
    <n v="8324.4150000000009"/>
    <n v="6810.8850000000002"/>
    <n v="44.999999999999901"/>
    <s v="December"/>
    <n v="12"/>
    <s v="2017-12"/>
    <x v="2"/>
  </r>
  <r>
    <s v="SO - 0007246"/>
    <d v="2017-12-21T00:00:00"/>
    <s v="Accudial Company"/>
    <s v="Wholesale"/>
    <x v="24"/>
    <n v="8"/>
    <n v="221.1"/>
    <n v="1768.8"/>
    <n v="119.39400000000001"/>
    <s v="CA"/>
    <s v="California"/>
    <s v="West"/>
    <n v="594471.56999999995"/>
    <n v="955.15200000000004"/>
    <n v="813.647999999999"/>
    <n v="46"/>
    <s v="December"/>
    <n v="12"/>
    <s v="2017-12"/>
    <x v="2"/>
  </r>
  <r>
    <s v="SO - 0009103"/>
    <d v="2017-12-21T00:00:00"/>
    <s v="Eidel Corp"/>
    <s v="Wholesale"/>
    <x v="9"/>
    <n v="12"/>
    <n v="1721.9"/>
    <n v="20662.800000000003"/>
    <n v="843.73099999999999"/>
    <s v="FL"/>
    <s v="Florida"/>
    <s v="South"/>
    <n v="3720639.645"/>
    <n v="10124.772000000001"/>
    <n v="10538.028"/>
    <n v="51"/>
    <s v="December"/>
    <n v="12"/>
    <s v="2017-12"/>
    <x v="2"/>
  </r>
  <r>
    <s v="SO - 0008542"/>
    <d v="2017-12-21T00:00:00"/>
    <s v="Omba Group"/>
    <s v="Wholesale"/>
    <x v="2"/>
    <n v="11"/>
    <n v="3953"/>
    <n v="43483"/>
    <n v="1739.32"/>
    <s v="NY"/>
    <s v="New York"/>
    <s v="Northeast"/>
    <n v="4028698.409"/>
    <n v="19132.52"/>
    <n v="24350.48"/>
    <n v="55.999999999999901"/>
    <s v="December"/>
    <n v="12"/>
    <s v="2017-12"/>
    <x v="2"/>
  </r>
  <r>
    <s v="SO - 000622"/>
    <d v="2017-12-21T00:00:00"/>
    <s v="Alembic Ltd"/>
    <s v="Export"/>
    <x v="4"/>
    <n v="11"/>
    <n v="5808.9"/>
    <n v="63897.899999999994"/>
    <n v="3369.1619999999998"/>
    <s v="TN"/>
    <s v="Tennessee"/>
    <s v="South"/>
    <n v="2309499.0449999999"/>
    <n v="37060.781999999999"/>
    <n v="26837.117999999999"/>
    <n v="42"/>
    <s v="December"/>
    <n v="12"/>
    <s v="2017-12"/>
    <x v="2"/>
  </r>
  <r>
    <s v="SO - 0004748"/>
    <d v="2017-12-21T00:00:00"/>
    <s v="Meijer Corp"/>
    <s v="Distributor"/>
    <x v="1"/>
    <n v="7"/>
    <n v="1132.3"/>
    <n v="7926.0999999999995"/>
    <n v="486.88899999999899"/>
    <s v="CT"/>
    <s v="Connecticut"/>
    <s v="Northeast"/>
    <n v="5342315.4840000002"/>
    <n v="3408.22299999999"/>
    <n v="4517.8770000000004"/>
    <n v="57"/>
    <s v="December"/>
    <n v="12"/>
    <s v="2017-12"/>
    <x v="2"/>
  </r>
  <r>
    <s v="SO - 0006588"/>
    <d v="2017-12-21T00:00:00"/>
    <s v="Janyx Group"/>
    <s v="Distributor"/>
    <x v="13"/>
    <n v="10"/>
    <n v="5614.6"/>
    <n v="56146"/>
    <n v="3761.7820000000002"/>
    <s v="FL"/>
    <s v="Florida"/>
    <s v="South"/>
    <n v="3299478.3149999999"/>
    <n v="37617.82"/>
    <n v="18528.179999999898"/>
    <n v="32.999999999999901"/>
    <s v="December"/>
    <n v="12"/>
    <s v="2017-12"/>
    <x v="2"/>
  </r>
  <r>
    <s v="SO - 0010160"/>
    <d v="2017-12-21T00:00:00"/>
    <s v="Browsebug Company"/>
    <s v="Distributor"/>
    <x v="1"/>
    <n v="6"/>
    <n v="1018.4"/>
    <n v="6110.4"/>
    <n v="692.51199999999994"/>
    <s v="TX"/>
    <s v="Texas"/>
    <s v="South"/>
    <n v="5342315.4840000002"/>
    <n v="4155.0720000000001"/>
    <n v="1955.32799999999"/>
    <n v="31.999999999999901"/>
    <s v="December"/>
    <n v="12"/>
    <s v="2017-12"/>
    <x v="2"/>
  </r>
  <r>
    <s v="SO - 0001194"/>
    <d v="2017-12-21T00:00:00"/>
    <s v="Wordtune Company"/>
    <s v="Wholesale"/>
    <x v="18"/>
    <n v="6"/>
    <n v="214.4"/>
    <n v="1286.4000000000001"/>
    <n v="154.36799999999999"/>
    <s v="TN"/>
    <s v="Tennessee"/>
    <s v="South"/>
    <n v="1135815.7579999999"/>
    <n v="926.20799999999997"/>
    <n v="360.19200000000001"/>
    <n v="28"/>
    <s v="December"/>
    <n v="12"/>
    <s v="2017-12"/>
    <x v="2"/>
  </r>
  <r>
    <s v="SO - 0002501"/>
    <d v="2017-12-21T00:00:00"/>
    <s v="Roomm Company"/>
    <s v="Distributor"/>
    <x v="19"/>
    <n v="10"/>
    <n v="844.2"/>
    <n v="8442"/>
    <n v="574.05600000000004"/>
    <s v="IL"/>
    <s v="Illinois"/>
    <s v="Midwest"/>
    <n v="2885560.824"/>
    <n v="5740.56"/>
    <n v="2701.4399999999901"/>
    <n v="31.999999999999901"/>
    <s v="December"/>
    <n v="12"/>
    <s v="2017-12"/>
    <x v="2"/>
  </r>
  <r>
    <s v="SO - 0003247"/>
    <d v="2017-12-21T00:00:00"/>
    <s v="Kare Corp"/>
    <s v="Export"/>
    <x v="8"/>
    <n v="10"/>
    <n v="2405.3000000000002"/>
    <n v="24053"/>
    <n v="1611.5509999999999"/>
    <s v="MI"/>
    <s v="Michigan"/>
    <s v="Midwest"/>
    <n v="663601.902"/>
    <n v="16115.51"/>
    <n v="7937.4899999999898"/>
    <n v="32.999999999999901"/>
    <s v="December"/>
    <n v="12"/>
    <s v="2017-12"/>
    <x v="2"/>
  </r>
  <r>
    <s v="SO - 0001227"/>
    <d v="2017-12-21T00:00:00"/>
    <s v="Jaxbean Group"/>
    <s v="Wholesale"/>
    <x v="27"/>
    <n v="11"/>
    <n v="824.1"/>
    <n v="9065.1"/>
    <n v="395.56799999999998"/>
    <s v="CA"/>
    <s v="California"/>
    <s v="West"/>
    <n v="2067108.1199999901"/>
    <n v="4351.2479999999996"/>
    <n v="4713.8519999999999"/>
    <n v="52"/>
    <s v="December"/>
    <n v="12"/>
    <s v="2017-12"/>
    <x v="2"/>
  </r>
  <r>
    <s v="SO - 0002710"/>
    <d v="2017-12-21T00:00:00"/>
    <s v="Zava Group"/>
    <s v="Wholesale"/>
    <x v="11"/>
    <n v="7"/>
    <n v="1983.2"/>
    <n v="13882.4"/>
    <n v="1110.5920000000001"/>
    <s v="VA"/>
    <s v="Virginia"/>
    <s v="South"/>
    <n v="5685138.2699999996"/>
    <n v="7774.1440000000002"/>
    <n v="6108.2559999999903"/>
    <n v="43.999999999999901"/>
    <s v="December"/>
    <n v="12"/>
    <s v="2017-12"/>
    <x v="2"/>
  </r>
  <r>
    <s v="SO - 0002746"/>
    <d v="2017-12-21T00:00:00"/>
    <s v="Walgreen Corp"/>
    <s v="Distributor"/>
    <x v="14"/>
    <n v="10"/>
    <n v="167.5"/>
    <n v="1675"/>
    <n v="82.075000000000003"/>
    <s v="CT"/>
    <s v="Connecticut"/>
    <s v="Northeast"/>
    <n v="2119616.824"/>
    <n v="820.75"/>
    <n v="854.25"/>
    <n v="51"/>
    <s v="December"/>
    <n v="12"/>
    <s v="2017-12"/>
    <x v="2"/>
  </r>
  <r>
    <s v="SO - 0004423"/>
    <d v="2017-12-21T00:00:00"/>
    <s v="Aromaticos Company"/>
    <s v="Distributor"/>
    <x v="1"/>
    <n v="6"/>
    <n v="1192.5999999999999"/>
    <n v="7155.5999999999995"/>
    <n v="596.29999999999995"/>
    <s v="AZ"/>
    <s v="Arizona"/>
    <s v="West"/>
    <n v="5342315.4840000002"/>
    <n v="3577.8"/>
    <n v="3577.8"/>
    <n v="50"/>
    <s v="December"/>
    <n v="12"/>
    <s v="2017-12"/>
    <x v="2"/>
  </r>
  <r>
    <s v="SO - 0006030"/>
    <d v="2017-12-21T00:00:00"/>
    <s v="Kare Corp"/>
    <s v="Wholesale"/>
    <x v="11"/>
    <n v="11"/>
    <n v="3685"/>
    <n v="40535"/>
    <n v="2395.25"/>
    <s v="FL"/>
    <s v="Florida"/>
    <s v="South"/>
    <n v="5685138.2699999996"/>
    <n v="26347.75"/>
    <n v="14187.25"/>
    <n v="35"/>
    <s v="December"/>
    <n v="12"/>
    <s v="2017-12"/>
    <x v="2"/>
  </r>
  <r>
    <s v="SO - 0009605"/>
    <d v="2017-12-21T00:00:00"/>
    <s v="Thoughtmix Ltd"/>
    <s v="Wholesale"/>
    <x v="11"/>
    <n v="5"/>
    <n v="1159.0999999999999"/>
    <n v="5795.5"/>
    <n v="915.68899999999996"/>
    <s v="MI"/>
    <s v="Michigan"/>
    <s v="Midwest"/>
    <n v="5685138.2699999996"/>
    <n v="4578.4449999999997"/>
    <n v="1217.0550000000001"/>
    <n v="21"/>
    <s v="December"/>
    <n v="12"/>
    <s v="2017-12"/>
    <x v="2"/>
  </r>
  <r>
    <s v="SO - 0010319"/>
    <d v="2017-12-21T00:00:00"/>
    <s v="Trunyx Ltd"/>
    <s v="Wholesale"/>
    <x v="11"/>
    <n v="5"/>
    <n v="1715.2"/>
    <n v="8576"/>
    <n v="771.84"/>
    <s v="IA"/>
    <s v="Iowa"/>
    <s v="Midwest"/>
    <n v="5685138.2699999996"/>
    <n v="3859.2"/>
    <n v="4716.7999999999902"/>
    <n v="54.999999999999901"/>
    <s v="December"/>
    <n v="12"/>
    <s v="2017-12"/>
    <x v="2"/>
  </r>
  <r>
    <s v="SO - 0002373"/>
    <d v="2017-12-21T00:00:00"/>
    <s v="Mylan Corp"/>
    <s v="Export"/>
    <x v="1"/>
    <n v="8"/>
    <n v="174.2"/>
    <n v="1393.6"/>
    <n v="101.036"/>
    <s v="MO"/>
    <s v="Missouri"/>
    <s v="Midwest"/>
    <n v="5342315.4840000002"/>
    <n v="808.28800000000001"/>
    <n v="585.31200000000001"/>
    <n v="42"/>
    <s v="December"/>
    <n v="12"/>
    <s v="2017-12"/>
    <x v="2"/>
  </r>
  <r>
    <s v="SO - 0002530"/>
    <d v="2017-12-21T00:00:00"/>
    <s v="Fivebridge Ltd"/>
    <s v="Distributor"/>
    <x v="17"/>
    <n v="6"/>
    <n v="1755.4"/>
    <n v="10532.400000000001"/>
    <n v="1228.78"/>
    <s v="NY"/>
    <s v="New York"/>
    <s v="Northeast"/>
    <n v="2642352.432"/>
    <n v="7372.68"/>
    <n v="3159.72"/>
    <n v="30"/>
    <s v="December"/>
    <n v="12"/>
    <s v="2017-12"/>
    <x v="2"/>
  </r>
  <r>
    <s v="SO - 0005238"/>
    <d v="2017-12-21T00:00:00"/>
    <s v="Voolith Ltd"/>
    <s v="Export"/>
    <x v="11"/>
    <n v="5"/>
    <n v="938"/>
    <n v="4690"/>
    <n v="534.66"/>
    <s v="NJ"/>
    <s v="New Jersey"/>
    <s v="Northeast"/>
    <n v="5685138.2699999996"/>
    <n v="2673.2999999999902"/>
    <n v="2016.7"/>
    <n v="43"/>
    <s v="December"/>
    <n v="12"/>
    <s v="2017-12"/>
    <x v="2"/>
  </r>
  <r>
    <s v="SO - 0006439"/>
    <d v="2017-12-21T00:00:00"/>
    <s v="Muxo Group"/>
    <s v="Distributor"/>
    <x v="2"/>
    <n v="10"/>
    <n v="864.3"/>
    <n v="8643"/>
    <n v="432.15"/>
    <s v="CA"/>
    <s v="California"/>
    <s v="West"/>
    <n v="4028698.409"/>
    <n v="4321.5"/>
    <n v="4321.5"/>
    <n v="50"/>
    <s v="December"/>
    <n v="12"/>
    <s v="2017-12"/>
    <x v="2"/>
  </r>
  <r>
    <s v="SO - 0006525"/>
    <d v="2017-12-21T00:00:00"/>
    <s v="Geiss Company"/>
    <s v="Wholesale"/>
    <x v="6"/>
    <n v="7"/>
    <n v="187.6"/>
    <n v="1313.2"/>
    <n v="142.57599999999999"/>
    <s v="CA"/>
    <s v="California"/>
    <s v="West"/>
    <n v="3925424.5419999999"/>
    <n v="998.03199999999902"/>
    <n v="315.16800000000001"/>
    <n v="24"/>
    <s v="December"/>
    <n v="12"/>
    <s v="2017-12"/>
    <x v="2"/>
  </r>
  <r>
    <s v="SO - 0008313"/>
    <d v="2017-12-21T00:00:00"/>
    <s v="Eayo Company"/>
    <s v="Wholesale"/>
    <x v="13"/>
    <n v="11"/>
    <n v="1989.9"/>
    <n v="21888.9"/>
    <n v="1154.1420000000001"/>
    <s v="CT"/>
    <s v="Connecticut"/>
    <s v="Northeast"/>
    <n v="3299478.3149999999"/>
    <n v="12695.562"/>
    <n v="9193.3379999999997"/>
    <n v="42"/>
    <s v="December"/>
    <n v="12"/>
    <s v="2017-12"/>
    <x v="2"/>
  </r>
  <r>
    <s v="SO - 0010535"/>
    <d v="2017-12-21T00:00:00"/>
    <s v="Alk-Abello Ltd"/>
    <s v="Wholesale"/>
    <x v="29"/>
    <n v="12"/>
    <n v="1715.2"/>
    <n v="20582.400000000001"/>
    <n v="874.75199999999995"/>
    <s v="CA"/>
    <s v="California"/>
    <s v="West"/>
    <n v="864331.62399999995"/>
    <n v="10497.023999999999"/>
    <n v="10085.376"/>
    <n v="49"/>
    <s v="December"/>
    <n v="12"/>
    <s v="2017-12"/>
    <x v="2"/>
  </r>
  <r>
    <s v="SO - 0008164"/>
    <d v="2017-12-21T00:00:00"/>
    <s v="Linklinks Ltd"/>
    <s v="Export"/>
    <x v="21"/>
    <n v="5"/>
    <n v="3953"/>
    <n v="19765"/>
    <n v="2688.04"/>
    <s v="WA"/>
    <s v="Washington"/>
    <s v="West"/>
    <n v="1230458.4839999999"/>
    <n v="13440.2"/>
    <n v="6324.7999999999902"/>
    <n v="31.999999999999901"/>
    <s v="December"/>
    <n v="12"/>
    <s v="2017-12"/>
    <x v="2"/>
  </r>
  <r>
    <s v="SO - 0008129"/>
    <d v="2017-12-21T00:00:00"/>
    <s v="Z.H.T. Group"/>
    <s v="Wholesale"/>
    <x v="23"/>
    <n v="5"/>
    <n v="3517.5"/>
    <n v="17587.5"/>
    <n v="2778.8249999999998"/>
    <s v="CA"/>
    <s v="California"/>
    <s v="West"/>
    <n v="1645841.6"/>
    <n v="13894.125"/>
    <n v="3693.37499999999"/>
    <n v="20.999999999999901"/>
    <s v="December"/>
    <n v="12"/>
    <s v="2017-12"/>
    <x v="2"/>
  </r>
  <r>
    <s v="SO - 0002460"/>
    <d v="2017-12-21T00:00:00"/>
    <s v="Safecor Corp"/>
    <s v="Wholesale"/>
    <x v="13"/>
    <n v="7"/>
    <n v="6371.7"/>
    <n v="44601.9"/>
    <n v="5288.5109999999904"/>
    <s v="NC"/>
    <s v="North Carolina"/>
    <s v="South"/>
    <n v="3299478.3149999999"/>
    <n v="37019.576999999997"/>
    <n v="7582.3230000000003"/>
    <n v="17"/>
    <s v="December"/>
    <n v="12"/>
    <s v="2017-12"/>
    <x v="2"/>
  </r>
  <r>
    <s v="SO - 0002835"/>
    <d v="2017-12-21T00:00:00"/>
    <s v="Topiczoom Corp"/>
    <s v="Distributor"/>
    <x v="16"/>
    <n v="7"/>
    <n v="897.8"/>
    <n v="6284.5999999999995"/>
    <n v="430.94400000000002"/>
    <s v="TX"/>
    <s v="Texas"/>
    <s v="South"/>
    <n v="3016489.2089999998"/>
    <n v="3016.6080000000002"/>
    <n v="3267.9920000000002"/>
    <n v="52"/>
    <s v="December"/>
    <n v="12"/>
    <s v="2017-12"/>
    <x v="2"/>
  </r>
  <r>
    <s v="SO - 0003483"/>
    <d v="2017-12-21T00:00:00"/>
    <s v="State Ltd"/>
    <s v="Wholesale"/>
    <x v="1"/>
    <n v="5"/>
    <n v="2438.8000000000002"/>
    <n v="12194"/>
    <n v="1341.34"/>
    <s v="CT"/>
    <s v="Connecticut"/>
    <s v="Northeast"/>
    <n v="5342315.4840000002"/>
    <n v="6706.7"/>
    <n v="5487.2999999999902"/>
    <n v="44.999999999999901"/>
    <s v="December"/>
    <n v="12"/>
    <s v="2017-12"/>
    <x v="2"/>
  </r>
  <r>
    <s v="SO - 0004219"/>
    <d v="2017-12-21T00:00:00"/>
    <s v="Realpoint Corp"/>
    <s v="Wholesale"/>
    <x v="6"/>
    <n v="6"/>
    <n v="1065.3"/>
    <n v="6391.7999999999993"/>
    <n v="543.303"/>
    <s v="CT"/>
    <s v="Connecticut"/>
    <s v="Northeast"/>
    <n v="3925424.5419999999"/>
    <n v="3259.8180000000002"/>
    <n v="3131.98199999999"/>
    <n v="48.999999999999901"/>
    <s v="December"/>
    <n v="12"/>
    <s v="2017-12"/>
    <x v="2"/>
  </r>
  <r>
    <s v="SO - 0005212"/>
    <d v="2017-12-21T00:00:00"/>
    <s v="Organon Corp"/>
    <s v="Wholesale"/>
    <x v="6"/>
    <n v="10"/>
    <n v="1051.9000000000001"/>
    <n v="10519"/>
    <n v="641.65899999999999"/>
    <s v="NY"/>
    <s v="New York"/>
    <s v="Northeast"/>
    <n v="3925424.5419999999"/>
    <n v="6416.59"/>
    <n v="4102.41"/>
    <n v="39"/>
    <s v="December"/>
    <n v="12"/>
    <s v="2017-12"/>
    <x v="2"/>
  </r>
  <r>
    <s v="SO - 0005502"/>
    <d v="2017-12-21T00:00:00"/>
    <s v="Blogtags Ltd"/>
    <s v="Wholesale"/>
    <x v="16"/>
    <n v="5"/>
    <n v="911.2"/>
    <n v="4556"/>
    <n v="455.6"/>
    <s v="NY"/>
    <s v="New York"/>
    <s v="Northeast"/>
    <n v="3016489.2089999998"/>
    <n v="2278"/>
    <n v="2278"/>
    <n v="50"/>
    <s v="December"/>
    <n v="12"/>
    <s v="2017-12"/>
    <x v="2"/>
  </r>
  <r>
    <s v="SO - 0005747"/>
    <d v="2017-12-21T00:00:00"/>
    <s v="Epic Group"/>
    <s v="Distributor"/>
    <x v="1"/>
    <n v="9"/>
    <n v="1206"/>
    <n v="10854"/>
    <n v="747.72"/>
    <s v="IL"/>
    <s v="Illinois"/>
    <s v="Midwest"/>
    <n v="5342315.4840000002"/>
    <n v="6729.48"/>
    <n v="4124.5199999999904"/>
    <n v="37.999999999999901"/>
    <s v="December"/>
    <n v="12"/>
    <s v="2017-12"/>
    <x v="2"/>
  </r>
  <r>
    <s v="SO - 0008266"/>
    <d v="2017-12-21T00:00:00"/>
    <s v="Eire Corp"/>
    <s v="Distributor"/>
    <x v="4"/>
    <n v="11"/>
    <n v="877.7"/>
    <n v="9654.7000000000007"/>
    <n v="728.49099999999999"/>
    <s v="CA"/>
    <s v="California"/>
    <s v="West"/>
    <n v="2309499.0449999999"/>
    <n v="8013.4009999999998"/>
    <n v="1641.299"/>
    <n v="17"/>
    <s v="December"/>
    <n v="12"/>
    <s v="2017-12"/>
    <x v="2"/>
  </r>
  <r>
    <s v="SO - 0009916"/>
    <d v="2017-12-21T00:00:00"/>
    <s v="Wordpedia Ltd"/>
    <s v="Export"/>
    <x v="17"/>
    <n v="7"/>
    <n v="5815.6"/>
    <n v="40709.200000000004"/>
    <n v="4826.9480000000003"/>
    <s v="MD"/>
    <s v="Maryland"/>
    <s v="South"/>
    <n v="2642352.432"/>
    <n v="33788.635999999999"/>
    <n v="6920.5640000000003"/>
    <n v="17"/>
    <s v="December"/>
    <n v="12"/>
    <s v="2017-12"/>
    <x v="2"/>
  </r>
  <r>
    <s v="SO - 0002493"/>
    <d v="2017-12-22T00:00:00"/>
    <s v="Mydeo Ltd"/>
    <s v="Wholesale"/>
    <x v="16"/>
    <n v="12"/>
    <n v="911.2"/>
    <n v="10934.400000000001"/>
    <n v="674.28800000000001"/>
    <s v="CA"/>
    <s v="California"/>
    <s v="West"/>
    <n v="3016489.2089999998"/>
    <n v="8091.4560000000001"/>
    <n v="2842.944"/>
    <n v="26"/>
    <s v="December"/>
    <n v="12"/>
    <s v="2017-12"/>
    <x v="3"/>
  </r>
  <r>
    <s v="SO - 0002558"/>
    <d v="2017-12-22T00:00:00"/>
    <s v="Internatio Company"/>
    <s v="Wholesale"/>
    <x v="24"/>
    <n v="7"/>
    <n v="201"/>
    <n v="1407"/>
    <n v="106.53"/>
    <s v="CT"/>
    <s v="Connecticut"/>
    <s v="Northeast"/>
    <n v="594471.56999999995"/>
    <n v="745.71"/>
    <n v="661.29"/>
    <n v="47"/>
    <s v="December"/>
    <n v="12"/>
    <s v="2017-12"/>
    <x v="3"/>
  </r>
  <r>
    <s v="SO - 0003854"/>
    <d v="2017-12-22T00:00:00"/>
    <s v="Alembic Ltd"/>
    <s v="Export"/>
    <x v="7"/>
    <n v="9"/>
    <n v="1005"/>
    <n v="9045"/>
    <n v="814.05"/>
    <s v="TN"/>
    <s v="Tennessee"/>
    <s v="South"/>
    <n v="3050087.5649999999"/>
    <n v="7326.45"/>
    <n v="1718.54999999999"/>
    <n v="18.999999999999901"/>
    <s v="December"/>
    <n v="12"/>
    <s v="2017-12"/>
    <x v="3"/>
  </r>
  <r>
    <s v="SO - 0005015"/>
    <d v="2017-12-22T00:00:00"/>
    <s v="Kaymbo Company"/>
    <s v="Wholesale"/>
    <x v="6"/>
    <n v="11"/>
    <n v="1688.4"/>
    <n v="18572.400000000001"/>
    <n v="894.85199999999998"/>
    <s v="NC"/>
    <s v="North Carolina"/>
    <s v="South"/>
    <n v="3925424.5419999999"/>
    <n v="9843.3719999999994"/>
    <n v="8729.0280000000002"/>
    <n v="47"/>
    <s v="December"/>
    <n v="12"/>
    <s v="2017-12"/>
    <x v="3"/>
  </r>
  <r>
    <s v="SO - 0007873"/>
    <d v="2017-12-22T00:00:00"/>
    <s v="Zoovu Corp"/>
    <s v="Wholesale"/>
    <x v="27"/>
    <n v="8"/>
    <n v="3906.1"/>
    <n v="31248.799999999999"/>
    <n v="1718.684"/>
    <s v="IL"/>
    <s v="Illinois"/>
    <s v="Midwest"/>
    <n v="2067108.1199999901"/>
    <n v="13749.472"/>
    <n v="17499.328000000001"/>
    <n v="56"/>
    <s v="December"/>
    <n v="12"/>
    <s v="2017-12"/>
    <x v="3"/>
  </r>
  <r>
    <s v="SO - 0008723"/>
    <d v="2017-12-22T00:00:00"/>
    <s v="Safeway Ltd"/>
    <s v="Wholesale"/>
    <x v="14"/>
    <n v="9"/>
    <n v="234.5"/>
    <n v="2110.5"/>
    <n v="194.63499999999999"/>
    <s v="MA"/>
    <s v="Massachusetts"/>
    <s v="Northeast"/>
    <n v="2119616.824"/>
    <n v="1751.7149999999999"/>
    <n v="358.78500000000003"/>
    <n v="17"/>
    <s v="December"/>
    <n v="12"/>
    <s v="2017-12"/>
    <x v="3"/>
  </r>
  <r>
    <s v="SO - 0010522"/>
    <d v="2017-12-22T00:00:00"/>
    <s v="Holston Company"/>
    <s v="Export"/>
    <x v="1"/>
    <n v="9"/>
    <n v="3142.3"/>
    <n v="28280.7"/>
    <n v="1445.4580000000001"/>
    <s v="CO"/>
    <s v="Colorado"/>
    <s v="West"/>
    <n v="5342315.4840000002"/>
    <n v="13009.121999999999"/>
    <n v="15271.578"/>
    <n v="53.999999999999901"/>
    <s v="December"/>
    <n v="12"/>
    <s v="2017-12"/>
    <x v="3"/>
  </r>
  <r>
    <s v="SO - 000916"/>
    <d v="2017-12-22T00:00:00"/>
    <s v="Skiptube Ltd"/>
    <s v="Wholesale"/>
    <x v="6"/>
    <n v="7"/>
    <n v="1051.9000000000001"/>
    <n v="7363.3000000000011"/>
    <n v="441.798"/>
    <s v="AR"/>
    <s v="Arkansas"/>
    <s v="South"/>
    <n v="3925424.5419999999"/>
    <n v="3092.5859999999998"/>
    <n v="4270.7139999999999"/>
    <n v="58"/>
    <s v="December"/>
    <n v="12"/>
    <s v="2017-12"/>
    <x v="3"/>
  </r>
  <r>
    <s v="SO - 0001216"/>
    <d v="2017-12-22T00:00:00"/>
    <s v="Wordware Company"/>
    <s v="Distributor"/>
    <x v="7"/>
    <n v="8"/>
    <n v="1118.9000000000001"/>
    <n v="8951.2000000000007"/>
    <n v="581.82799999999997"/>
    <s v="CT"/>
    <s v="Connecticut"/>
    <s v="Northeast"/>
    <n v="3050087.5649999999"/>
    <n v="4654.6239999999998"/>
    <n v="4296.576"/>
    <n v="48"/>
    <s v="December"/>
    <n v="12"/>
    <s v="2017-12"/>
    <x v="3"/>
  </r>
  <r>
    <s v="SO - 0002368"/>
    <d v="2017-12-22T00:00:00"/>
    <s v="Realpoint Corp"/>
    <s v="Distributor"/>
    <x v="14"/>
    <n v="11"/>
    <n v="5279.6"/>
    <n v="58075.600000000006"/>
    <n v="2375.8200000000002"/>
    <s v="VA"/>
    <s v="Virginia"/>
    <s v="South"/>
    <n v="2119616.824"/>
    <n v="26134.02"/>
    <n v="31941.58"/>
    <n v="55"/>
    <s v="December"/>
    <n v="12"/>
    <s v="2017-12"/>
    <x v="3"/>
  </r>
  <r>
    <s v="SO - 0003459"/>
    <d v="2017-12-22T00:00:00"/>
    <s v="Internatio Company"/>
    <s v="Export"/>
    <x v="15"/>
    <n v="9"/>
    <n v="1058.5999999999999"/>
    <n v="9527.4"/>
    <n v="539.88599999999997"/>
    <s v="CA"/>
    <s v="California"/>
    <s v="West"/>
    <n v="2062061.1440000001"/>
    <n v="4858.9740000000002"/>
    <n v="4668.4260000000004"/>
    <n v="49"/>
    <s v="December"/>
    <n v="12"/>
    <s v="2017-12"/>
    <x v="3"/>
  </r>
  <r>
    <s v="SO - 0007724"/>
    <d v="2017-12-22T00:00:00"/>
    <s v="Accudial Company"/>
    <s v="Wholesale"/>
    <x v="1"/>
    <n v="11"/>
    <n v="261.3"/>
    <n v="2874.3"/>
    <n v="138.489"/>
    <s v="TN"/>
    <s v="Tennessee"/>
    <s v="South"/>
    <n v="5342315.4840000002"/>
    <n v="1523.3789999999999"/>
    <n v="1350.921"/>
    <n v="47"/>
    <s v="December"/>
    <n v="12"/>
    <s v="2017-12"/>
    <x v="3"/>
  </r>
  <r>
    <s v="SO - 0008848"/>
    <d v="2017-12-22T00:00:00"/>
    <s v="Z.H.T. Group"/>
    <s v="Wholesale"/>
    <x v="11"/>
    <n v="10"/>
    <n v="167.5"/>
    <n v="1675"/>
    <n v="117.24999999999901"/>
    <s v="CA"/>
    <s v="California"/>
    <s v="West"/>
    <n v="5685138.2699999996"/>
    <n v="1172.49999999999"/>
    <n v="502.5"/>
    <n v="30"/>
    <s v="December"/>
    <n v="12"/>
    <s v="2017-12"/>
    <x v="3"/>
  </r>
  <r>
    <s v="SO - 0010309"/>
    <d v="2017-12-22T00:00:00"/>
    <s v="Podcat Corp"/>
    <s v="Wholesale"/>
    <x v="15"/>
    <n v="11"/>
    <n v="1018.4"/>
    <n v="11202.4"/>
    <n v="824.904"/>
    <s v="NM"/>
    <s v="New Mexico"/>
    <s v="West"/>
    <n v="2062061.1440000001"/>
    <n v="9073.9439999999995"/>
    <n v="2128.4560000000001"/>
    <n v="19"/>
    <s v="December"/>
    <n v="12"/>
    <s v="2017-12"/>
    <x v="3"/>
  </r>
  <r>
    <s v="SO - 0009761"/>
    <d v="2017-12-22T00:00:00"/>
    <s v="Avamba Company"/>
    <s v="Wholesale"/>
    <x v="27"/>
    <n v="5"/>
    <n v="1232.8"/>
    <n v="6164"/>
    <n v="875.28799999999899"/>
    <s v="CT"/>
    <s v="Connecticut"/>
    <s v="Northeast"/>
    <n v="2067108.1199999901"/>
    <n v="4376.4399999999996"/>
    <n v="1787.56"/>
    <n v="29"/>
    <s v="December"/>
    <n v="12"/>
    <s v="2017-12"/>
    <x v="3"/>
  </r>
  <r>
    <s v="SO - 0009782"/>
    <d v="2017-12-22T00:00:00"/>
    <s v="Linklinks Ltd"/>
    <s v="Wholesale"/>
    <x v="6"/>
    <n v="7"/>
    <n v="2700.1"/>
    <n v="18900.7"/>
    <n v="1107.0409999999999"/>
    <s v="TX"/>
    <s v="Texas"/>
    <s v="South"/>
    <n v="3925424.5419999999"/>
    <n v="7749.2869999999903"/>
    <n v="11151.413"/>
    <n v="59"/>
    <s v="December"/>
    <n v="12"/>
    <s v="2017-12"/>
    <x v="3"/>
  </r>
  <r>
    <s v="SO - 0003889"/>
    <d v="2017-12-22T00:00:00"/>
    <s v="Dazzlesphe Corp"/>
    <s v="Wholesale"/>
    <x v="13"/>
    <n v="5"/>
    <n v="1882.7"/>
    <n v="9413.5"/>
    <n v="903.69600000000003"/>
    <s v="CA"/>
    <s v="California"/>
    <s v="West"/>
    <n v="3299478.3149999999"/>
    <n v="4518.4799999999996"/>
    <n v="4895.0199999999904"/>
    <n v="51.999999999999901"/>
    <s v="December"/>
    <n v="12"/>
    <s v="2017-12"/>
    <x v="3"/>
  </r>
  <r>
    <s v="SO - 0005583"/>
    <d v="2017-12-22T00:00:00"/>
    <s v="Mydeo Ltd"/>
    <s v="Wholesale"/>
    <x v="6"/>
    <n v="7"/>
    <n v="810.7"/>
    <n v="5674.9000000000005"/>
    <n v="567.49"/>
    <s v="MI"/>
    <s v="Michigan"/>
    <s v="Midwest"/>
    <n v="3925424.5419999999"/>
    <n v="3972.43"/>
    <n v="1702.47"/>
    <n v="30"/>
    <s v="December"/>
    <n v="12"/>
    <s v="2017-12"/>
    <x v="3"/>
  </r>
  <r>
    <s v="SO - 0006299"/>
    <d v="2017-12-22T00:00:00"/>
    <s v="Voolia Ltd"/>
    <s v="Distributor"/>
    <x v="13"/>
    <n v="6"/>
    <n v="3705.1"/>
    <n v="22230.6"/>
    <n v="2482.4169999999999"/>
    <s v="IN"/>
    <s v="Indiana"/>
    <s v="Midwest"/>
    <n v="3299478.3149999999"/>
    <n v="14894.502"/>
    <n v="7336.09799999999"/>
    <n v="32.999999999999901"/>
    <s v="December"/>
    <n v="12"/>
    <s v="2017-12"/>
    <x v="3"/>
  </r>
  <r>
    <s v="SO - 0002534"/>
    <d v="2017-12-22T00:00:00"/>
    <s v="Natures Group"/>
    <s v="Wholesale"/>
    <x v="19"/>
    <n v="7"/>
    <n v="1815.7"/>
    <n v="12709.9"/>
    <n v="1325.461"/>
    <s v="TX"/>
    <s v="Texas"/>
    <s v="South"/>
    <n v="2885560.824"/>
    <n v="9278.2270000000008"/>
    <n v="3431.6729999999902"/>
    <n v="26.999999999999901"/>
    <s v="December"/>
    <n v="12"/>
    <s v="2017-12"/>
    <x v="3"/>
  </r>
  <r>
    <s v="SO - 0003487"/>
    <d v="2017-12-22T00:00:00"/>
    <s v="Zoonder Group"/>
    <s v="Export"/>
    <x v="13"/>
    <n v="5"/>
    <n v="3993.2"/>
    <n v="19966"/>
    <n v="3234.4920000000002"/>
    <s v="IL"/>
    <s v="Illinois"/>
    <s v="Midwest"/>
    <n v="3299478.3149999999"/>
    <n v="16172.46"/>
    <n v="3793.53999999999"/>
    <n v="18.999999999999901"/>
    <s v="December"/>
    <n v="12"/>
    <s v="2017-12"/>
    <x v="3"/>
  </r>
  <r>
    <s v="SO - 0003809"/>
    <d v="2017-12-22T00:00:00"/>
    <s v="Vinte Group"/>
    <s v="Export"/>
    <x v="12"/>
    <n v="8"/>
    <n v="897.8"/>
    <n v="7182.4"/>
    <n v="664.37199999999996"/>
    <s v="PA"/>
    <s v="Pennsylvania"/>
    <s v="Northeast"/>
    <n v="959899.21799999999"/>
    <n v="5314.9759999999997"/>
    <n v="1867.424"/>
    <n v="25.999999999999901"/>
    <s v="December"/>
    <n v="12"/>
    <s v="2017-12"/>
    <x v="3"/>
  </r>
  <r>
    <s v="SO - 0005333"/>
    <d v="2017-12-22T00:00:00"/>
    <s v="Voolia Ltd"/>
    <s v="Wholesale"/>
    <x v="25"/>
    <n v="7"/>
    <n v="2405.3000000000002"/>
    <n v="16837.100000000002"/>
    <n v="1154.5440000000001"/>
    <s v="PA"/>
    <s v="Pennsylvania"/>
    <s v="Northeast"/>
    <n v="889737.55500000005"/>
    <n v="8081.808"/>
    <n v="8755.2919999999995"/>
    <n v="52"/>
    <s v="December"/>
    <n v="12"/>
    <s v="2017-12"/>
    <x v="3"/>
  </r>
  <r>
    <s v="SO - 0005438"/>
    <d v="2017-12-22T00:00:00"/>
    <s v="Realbridge Corp"/>
    <s v="Distributor"/>
    <x v="1"/>
    <n v="6"/>
    <n v="944.7"/>
    <n v="5668.2000000000007"/>
    <n v="699.07799999999997"/>
    <s v="CA"/>
    <s v="California"/>
    <s v="West"/>
    <n v="5342315.4840000002"/>
    <n v="4194.4679999999998"/>
    <n v="1473.732"/>
    <n v="26"/>
    <s v="December"/>
    <n v="12"/>
    <s v="2017-12"/>
    <x v="3"/>
  </r>
  <r>
    <s v="SO - 0008050"/>
    <d v="2017-12-22T00:00:00"/>
    <s v="Zoovu Corp"/>
    <s v="Distributor"/>
    <x v="13"/>
    <n v="11"/>
    <n v="2318.1999999999998"/>
    <n v="25500.199999999997"/>
    <n v="1483.6479999999999"/>
    <s v="MD"/>
    <s v="Maryland"/>
    <s v="South"/>
    <n v="3299478.3149999999"/>
    <n v="16320.128000000001"/>
    <n v="9180.0720000000001"/>
    <n v="36"/>
    <s v="December"/>
    <n v="12"/>
    <s v="2017-12"/>
    <x v="3"/>
  </r>
  <r>
    <s v="SO - 0009704"/>
    <d v="2017-12-22T00:00:00"/>
    <s v="Talane Group"/>
    <s v="Wholesale"/>
    <x v="19"/>
    <n v="11"/>
    <n v="1132.3"/>
    <n v="12455.3"/>
    <n v="713.34899999999902"/>
    <s v="IN"/>
    <s v="Indiana"/>
    <s v="Midwest"/>
    <n v="2885560.824"/>
    <n v="7846.8389999999899"/>
    <n v="4608.4610000000002"/>
    <n v="37"/>
    <s v="December"/>
    <n v="12"/>
    <s v="2017-12"/>
    <x v="3"/>
  </r>
  <r>
    <s v="SO - 0009635"/>
    <d v="2017-12-22T00:00:00"/>
    <s v="Bb17 Company"/>
    <s v="Export"/>
    <x v="13"/>
    <n v="12"/>
    <n v="3912.8"/>
    <n v="46953.600000000006"/>
    <n v="1995.528"/>
    <s v="OH"/>
    <s v="Ohio"/>
    <s v="Midwest"/>
    <n v="3299478.3149999999"/>
    <n v="23946.335999999999"/>
    <n v="23007.263999999999"/>
    <n v="49"/>
    <s v="December"/>
    <n v="12"/>
    <s v="2017-12"/>
    <x v="3"/>
  </r>
  <r>
    <s v="SO - 0001143"/>
    <d v="2017-12-22T00:00:00"/>
    <s v="Chatterbri Ltd"/>
    <s v="Distributor"/>
    <x v="8"/>
    <n v="11"/>
    <n v="3892.7"/>
    <n v="42819.7"/>
    <n v="2296.6930000000002"/>
    <s v="IL"/>
    <s v="Illinois"/>
    <s v="Midwest"/>
    <n v="663601.902"/>
    <n v="25263.623"/>
    <n v="17556.077000000001"/>
    <n v="41"/>
    <s v="December"/>
    <n v="12"/>
    <s v="2017-12"/>
    <x v="3"/>
  </r>
  <r>
    <s v="SO - 0001840"/>
    <d v="2017-12-22T00:00:00"/>
    <s v="Gigabox Group"/>
    <s v="Wholesale"/>
    <x v="9"/>
    <n v="12"/>
    <n v="884.4"/>
    <n v="10612.8"/>
    <n v="636.76799999999901"/>
    <s v="WA"/>
    <s v="Washington"/>
    <s v="West"/>
    <n v="3720639.645"/>
    <n v="7641.2159999999903"/>
    <n v="2971.5839999999998"/>
    <n v="28"/>
    <s v="December"/>
    <n v="12"/>
    <s v="2017-12"/>
    <x v="3"/>
  </r>
  <r>
    <s v="SO - 0003522"/>
    <d v="2017-12-22T00:00:00"/>
    <s v="Flipstorm Group"/>
    <s v="Distributor"/>
    <x v="1"/>
    <n v="12"/>
    <n v="3604.6"/>
    <n v="43255.199999999997"/>
    <n v="2270.8980000000001"/>
    <s v="CA"/>
    <s v="California"/>
    <s v="West"/>
    <n v="5342315.4840000002"/>
    <n v="27250.776000000002"/>
    <n v="16004.423999999901"/>
    <n v="36.999999999999901"/>
    <s v="December"/>
    <n v="12"/>
    <s v="2017-12"/>
    <x v="3"/>
  </r>
  <r>
    <s v="SO - 0004210"/>
    <d v="2017-12-22T00:00:00"/>
    <s v="Deseret Group"/>
    <s v="Wholesale"/>
    <x v="9"/>
    <n v="10"/>
    <n v="3510.8"/>
    <n v="35108"/>
    <n v="1966.048"/>
    <s v="ND"/>
    <s v="North Dakota"/>
    <s v="Midwest"/>
    <n v="3720639.645"/>
    <n v="19660.48"/>
    <n v="15447.5199999999"/>
    <n v="43.999999999999901"/>
    <s v="December"/>
    <n v="12"/>
    <s v="2017-12"/>
    <x v="3"/>
  </r>
  <r>
    <s v="SO - 0005687"/>
    <d v="2017-12-22T00:00:00"/>
    <s v="Blogtags Ltd"/>
    <s v="Wholesale"/>
    <x v="14"/>
    <n v="7"/>
    <n v="2398.6"/>
    <n v="16790.2"/>
    <n v="1439.1599999999901"/>
    <s v="NJ"/>
    <s v="New Jersey"/>
    <s v="Northeast"/>
    <n v="2119616.824"/>
    <n v="10074.119999999901"/>
    <n v="6716.08"/>
    <n v="40"/>
    <s v="December"/>
    <n v="12"/>
    <s v="2017-12"/>
    <x v="3"/>
  </r>
  <r>
    <s v="SO - 0005817"/>
    <d v="2017-12-22T00:00:00"/>
    <s v="State Ltd"/>
    <s v="Wholesale"/>
    <x v="19"/>
    <n v="12"/>
    <n v="3959.7"/>
    <n v="47516.399999999994"/>
    <n v="3167.76"/>
    <s v="NY"/>
    <s v="New York"/>
    <s v="Northeast"/>
    <n v="2885560.824"/>
    <n v="38013.120000000003"/>
    <n v="9503.2799999999897"/>
    <n v="19.999999999999901"/>
    <s v="December"/>
    <n v="12"/>
    <s v="2017-12"/>
    <x v="3"/>
  </r>
  <r>
    <s v="SO - 0006568"/>
    <d v="2017-12-22T00:00:00"/>
    <s v="Zava Group"/>
    <s v="Wholesale"/>
    <x v="11"/>
    <n v="9"/>
    <n v="234.5"/>
    <n v="2110.5"/>
    <n v="194.63499999999999"/>
    <s v="IN"/>
    <s v="Indiana"/>
    <s v="Midwest"/>
    <n v="5685138.2699999996"/>
    <n v="1751.7149999999999"/>
    <n v="358.78500000000003"/>
    <n v="17"/>
    <s v="December"/>
    <n v="12"/>
    <s v="2017-12"/>
    <x v="3"/>
  </r>
  <r>
    <s v="SO - 0006825"/>
    <d v="2017-12-22T00:00:00"/>
    <s v="Aimbo Corp"/>
    <s v="Distributor"/>
    <x v="5"/>
    <n v="11"/>
    <n v="2398.6"/>
    <n v="26384.6"/>
    <n v="1199.3"/>
    <s v="WI"/>
    <s v="Wisconsin"/>
    <s v="Midwest"/>
    <n v="1003867.767"/>
    <n v="13192.3"/>
    <n v="13192.3"/>
    <n v="50"/>
    <s v="December"/>
    <n v="12"/>
    <s v="2017-12"/>
    <x v="3"/>
  </r>
  <r>
    <s v="SO - 0010472"/>
    <d v="2017-12-22T00:00:00"/>
    <s v="State Ltd"/>
    <s v="Distributor"/>
    <x v="13"/>
    <n v="11"/>
    <n v="1125.5999999999999"/>
    <n v="12381.599999999999"/>
    <n v="506.52"/>
    <s v="TN"/>
    <s v="Tennessee"/>
    <s v="South"/>
    <n v="3299478.3149999999"/>
    <n v="5571.72"/>
    <n v="6809.88"/>
    <n v="54.999999999999901"/>
    <s v="December"/>
    <n v="12"/>
    <s v="2017-12"/>
    <x v="3"/>
  </r>
  <r>
    <s v="SO - 0008632"/>
    <d v="2017-12-22T00:00:00"/>
    <s v="Alembic Ltd"/>
    <s v="Export"/>
    <x v="6"/>
    <n v="6"/>
    <n v="3229.4"/>
    <n v="19376.400000000001"/>
    <n v="2389.7559999999999"/>
    <s v="CA"/>
    <s v="California"/>
    <s v="West"/>
    <n v="3925424.5419999999"/>
    <n v="14338.536"/>
    <n v="5037.8639999999996"/>
    <n v="26"/>
    <s v="December"/>
    <n v="12"/>
    <s v="2017-12"/>
    <x v="3"/>
  </r>
  <r>
    <s v="SO - 000794"/>
    <d v="2017-12-22T00:00:00"/>
    <s v="Flipstorm Group"/>
    <s v="Distributor"/>
    <x v="7"/>
    <n v="6"/>
    <n v="1675"/>
    <n v="10050"/>
    <n v="954.74999999999898"/>
    <s v="NC"/>
    <s v="North Carolina"/>
    <s v="South"/>
    <n v="3050087.5649999999"/>
    <n v="5728.49999999999"/>
    <n v="4321.5"/>
    <n v="43"/>
    <s v="December"/>
    <n v="12"/>
    <s v="2017-12"/>
    <x v="3"/>
  </r>
  <r>
    <s v="SO - 0001014"/>
    <d v="2017-12-22T00:00:00"/>
    <s v="Organon Corp"/>
    <s v="Wholesale"/>
    <x v="27"/>
    <n v="11"/>
    <n v="3912.8"/>
    <n v="43040.800000000003"/>
    <n v="3286.752"/>
    <s v="CT"/>
    <s v="Connecticut"/>
    <s v="Northeast"/>
    <n v="2067108.1199999901"/>
    <n v="36154.271999999997"/>
    <n v="6886.5280000000002"/>
    <n v="16"/>
    <s v="December"/>
    <n v="12"/>
    <s v="2017-12"/>
    <x v="3"/>
  </r>
  <r>
    <s v="SO - 0001381"/>
    <d v="2017-12-22T00:00:00"/>
    <s v="Chatterpoi Corp"/>
    <s v="Distributor"/>
    <x v="26"/>
    <n v="10"/>
    <n v="254.6"/>
    <n v="2546"/>
    <n v="124.753999999999"/>
    <s v="TX"/>
    <s v="Texas"/>
    <s v="South"/>
    <n v="1356976.996"/>
    <n v="1247.54"/>
    <n v="1298.46"/>
    <n v="51"/>
    <s v="December"/>
    <n v="12"/>
    <s v="2017-12"/>
    <x v="3"/>
  </r>
  <r>
    <s v="SO - 0001921"/>
    <d v="2017-12-22T00:00:00"/>
    <s v="Rochester Group"/>
    <s v="Distributor"/>
    <x v="14"/>
    <n v="11"/>
    <n v="1326.6"/>
    <n v="14592.599999999999"/>
    <n v="822.49199999999996"/>
    <s v="NY"/>
    <s v="New York"/>
    <s v="Northeast"/>
    <n v="2119616.824"/>
    <n v="9047.4120000000003"/>
    <n v="5545.1880000000001"/>
    <n v="38"/>
    <s v="December"/>
    <n v="12"/>
    <s v="2017-12"/>
    <x v="3"/>
  </r>
  <r>
    <s v="SO - 0007814"/>
    <d v="2017-12-22T00:00:00"/>
    <s v="Aibox Company"/>
    <s v="Distributor"/>
    <x v="11"/>
    <n v="9"/>
    <n v="6338.2"/>
    <n v="57043.799999999996"/>
    <n v="3993.0659999999998"/>
    <s v="IL"/>
    <s v="Illinois"/>
    <s v="Midwest"/>
    <n v="5685138.2699999996"/>
    <n v="35937.593999999997"/>
    <n v="21106.205999999998"/>
    <n v="37"/>
    <s v="December"/>
    <n v="12"/>
    <s v="2017-12"/>
    <x v="3"/>
  </r>
  <r>
    <s v="SO - 0008204"/>
    <d v="2017-12-22T00:00:00"/>
    <s v="Eayo Company"/>
    <s v="Distributor"/>
    <x v="25"/>
    <n v="5"/>
    <n v="254.6"/>
    <n v="1273"/>
    <n v="106.93199999999899"/>
    <s v="CA"/>
    <s v="California"/>
    <s v="West"/>
    <n v="889737.55500000005"/>
    <n v="534.66"/>
    <n v="738.34"/>
    <n v="58"/>
    <s v="December"/>
    <n v="12"/>
    <s v="2017-12"/>
    <x v="3"/>
  </r>
  <r>
    <s v="SO - 0009376"/>
    <d v="2017-12-22T00:00:00"/>
    <s v="Zoonder Group"/>
    <s v="Wholesale"/>
    <x v="1"/>
    <n v="9"/>
    <n v="3912.8"/>
    <n v="35215.200000000004"/>
    <n v="2738.96"/>
    <s v="MN"/>
    <s v="Minnesota"/>
    <s v="Midwest"/>
    <n v="5342315.4840000002"/>
    <n v="24650.639999999999"/>
    <n v="10564.56"/>
    <n v="30"/>
    <s v="December"/>
    <n v="12"/>
    <s v="2017-12"/>
    <x v="3"/>
  </r>
  <r>
    <s v="SO - 0001327"/>
    <d v="2017-12-23T00:00:00"/>
    <s v="Army Group"/>
    <s v="Wholesale"/>
    <x v="17"/>
    <n v="10"/>
    <n v="1159.0999999999999"/>
    <n v="11591"/>
    <n v="834.55200000000002"/>
    <s v="CA"/>
    <s v="California"/>
    <s v="West"/>
    <n v="2642352.432"/>
    <n v="8345.52"/>
    <n v="3245.48"/>
    <n v="28"/>
    <s v="December"/>
    <n v="12"/>
    <s v="2017-12"/>
    <x v="3"/>
  </r>
  <r>
    <s v="SO - 0003166"/>
    <d v="2017-12-23T00:00:00"/>
    <s v="Oba Company"/>
    <s v="Wholesale"/>
    <x v="13"/>
    <n v="6"/>
    <n v="864.3"/>
    <n v="5185.7999999999993"/>
    <n v="449.43599999999998"/>
    <s v="ND"/>
    <s v="North Dakota"/>
    <s v="Midwest"/>
    <n v="3299478.3149999999"/>
    <n v="2696.616"/>
    <n v="2489.1840000000002"/>
    <n v="48"/>
    <s v="December"/>
    <n v="12"/>
    <s v="2017-12"/>
    <x v="3"/>
  </r>
  <r>
    <s v="SO - 0004708"/>
    <d v="2017-12-23T00:00:00"/>
    <s v="Vimbo Company"/>
    <s v="Wholesale"/>
    <x v="9"/>
    <n v="11"/>
    <n v="5728.5"/>
    <n v="63013.5"/>
    <n v="3207.96"/>
    <s v="FL"/>
    <s v="Florida"/>
    <s v="South"/>
    <n v="3720639.645"/>
    <n v="35287.56"/>
    <n v="27725.9399999999"/>
    <n v="43.999999999999901"/>
    <s v="December"/>
    <n v="12"/>
    <s v="2017-12"/>
    <x v="3"/>
  </r>
  <r>
    <s v="SO - 0005832"/>
    <d v="2017-12-23T00:00:00"/>
    <s v="Zooxo Ltd"/>
    <s v="Distributor"/>
    <x v="15"/>
    <n v="12"/>
    <n v="2244.5"/>
    <n v="26934"/>
    <n v="1122.25"/>
    <s v="CA"/>
    <s v="California"/>
    <s v="West"/>
    <n v="2062061.1440000001"/>
    <n v="13467"/>
    <n v="13467"/>
    <n v="50"/>
    <s v="December"/>
    <n v="12"/>
    <s v="2017-12"/>
    <x v="3"/>
  </r>
  <r>
    <s v="SO - 0010496"/>
    <d v="2017-12-23T00:00:00"/>
    <s v="Rhynoodle Ltd"/>
    <s v="Export"/>
    <x v="23"/>
    <n v="6"/>
    <n v="1031.8"/>
    <n v="6190.7999999999993"/>
    <n v="433.35599999999903"/>
    <s v="MN"/>
    <s v="Minnesota"/>
    <s v="Midwest"/>
    <n v="1645841.6"/>
    <n v="2600.13599999999"/>
    <n v="3590.6639999999902"/>
    <n v="58"/>
    <s v="December"/>
    <n v="12"/>
    <s v="2017-12"/>
    <x v="3"/>
  </r>
  <r>
    <s v="SO - 000596"/>
    <d v="2017-12-23T00:00:00"/>
    <s v="Cantrell Company"/>
    <s v="Distributor"/>
    <x v="13"/>
    <n v="6"/>
    <n v="3859.2"/>
    <n v="23155.199999999997"/>
    <n v="3125.9520000000002"/>
    <s v="MA"/>
    <s v="Massachusetts"/>
    <s v="Northeast"/>
    <n v="3299478.3149999999"/>
    <n v="18755.712"/>
    <n v="4399.4880000000003"/>
    <n v="19"/>
    <s v="December"/>
    <n v="12"/>
    <s v="2017-12"/>
    <x v="3"/>
  </r>
  <r>
    <s v="SO - 0002034"/>
    <d v="2017-12-23T00:00:00"/>
    <s v="Viva Ltd"/>
    <s v="Wholesale"/>
    <x v="25"/>
    <n v="8"/>
    <n v="1065.3"/>
    <n v="8522.4"/>
    <n v="681.79200000000003"/>
    <s v="MD"/>
    <s v="Maryland"/>
    <s v="South"/>
    <n v="889737.55500000005"/>
    <n v="5454.3360000000002"/>
    <n v="3068.0639999999898"/>
    <n v="35.999999999999901"/>
    <s v="December"/>
    <n v="12"/>
    <s v="2017-12"/>
    <x v="3"/>
  </r>
  <r>
    <s v="SO - 0003554"/>
    <d v="2017-12-23T00:00:00"/>
    <s v="Unit Ltd"/>
    <s v="Export"/>
    <x v="0"/>
    <n v="10"/>
    <n v="3986.5"/>
    <n v="39865"/>
    <n v="2232.44"/>
    <s v="SC"/>
    <s v="South Carolina"/>
    <s v="South"/>
    <n v="1011609.684"/>
    <n v="22324.400000000001"/>
    <n v="17540.599999999999"/>
    <n v="43.999999999999901"/>
    <s v="December"/>
    <n v="12"/>
    <s v="2017-12"/>
    <x v="3"/>
  </r>
  <r>
    <s v="SO - 0004597"/>
    <d v="2017-12-23T00:00:00"/>
    <s v="Brainspher Ltd"/>
    <s v="Wholesale"/>
    <x v="12"/>
    <n v="9"/>
    <n v="3785.5"/>
    <n v="34069.5"/>
    <n v="1968.46"/>
    <s v="UT"/>
    <s v="Utah"/>
    <s v="West"/>
    <n v="959899.21799999999"/>
    <n v="17716.14"/>
    <n v="16353.36"/>
    <n v="48"/>
    <s v="December"/>
    <n v="12"/>
    <s v="2017-12"/>
    <x v="3"/>
  </r>
  <r>
    <s v="SO - 0007474"/>
    <d v="2017-12-23T00:00:00"/>
    <s v="Tekfly Group"/>
    <s v="Wholesale"/>
    <x v="29"/>
    <n v="10"/>
    <n v="2646.5"/>
    <n v="26465"/>
    <n v="1482.04"/>
    <s v="CA"/>
    <s v="California"/>
    <s v="West"/>
    <n v="864331.62399999995"/>
    <n v="14820.4"/>
    <n v="11644.5999999999"/>
    <n v="43.999999999999901"/>
    <s v="December"/>
    <n v="12"/>
    <s v="2017-12"/>
    <x v="3"/>
  </r>
  <r>
    <s v="SO - 0010551"/>
    <d v="2017-12-23T00:00:00"/>
    <s v="Kare Corp"/>
    <s v="Wholesale"/>
    <x v="21"/>
    <n v="9"/>
    <n v="5440.4"/>
    <n v="48963.6"/>
    <n v="4461.1279999999997"/>
    <s v="CA"/>
    <s v="California"/>
    <s v="West"/>
    <n v="1230458.4839999999"/>
    <n v="40150.152000000002"/>
    <n v="8813.4480000000003"/>
    <n v="18"/>
    <s v="December"/>
    <n v="12"/>
    <s v="2017-12"/>
    <x v="3"/>
  </r>
  <r>
    <s v="SO - 0010507"/>
    <d v="2017-12-23T00:00:00"/>
    <s v="Realcube Company"/>
    <s v="Wholesale"/>
    <x v="26"/>
    <n v="6"/>
    <n v="6009.9"/>
    <n v="36059.399999999994"/>
    <n v="4928.1180000000004"/>
    <s v="NJ"/>
    <s v="New Jersey"/>
    <s v="Northeast"/>
    <n v="1356976.996"/>
    <n v="29568.707999999999"/>
    <n v="6490.69199999999"/>
    <n v="17.999999999999901"/>
    <s v="December"/>
    <n v="12"/>
    <s v="2017-12"/>
    <x v="3"/>
  </r>
  <r>
    <s v="SO - 000596"/>
    <d v="2017-12-23T00:00:00"/>
    <s v="Cantrell Company"/>
    <s v="Distributor"/>
    <x v="13"/>
    <n v="6"/>
    <n v="3859.2"/>
    <n v="23155.199999999997"/>
    <n v="3125.9520000000002"/>
    <s v="OR"/>
    <s v="Oregon"/>
    <s v="West"/>
    <n v="3299478.3149999999"/>
    <n v="18755.712"/>
    <n v="4399.4880000000003"/>
    <n v="19"/>
    <s v="December"/>
    <n v="12"/>
    <s v="2017-12"/>
    <x v="3"/>
  </r>
  <r>
    <s v="SO - 0001646"/>
    <d v="2017-12-23T00:00:00"/>
    <s v="Voolia Ltd"/>
    <s v="Distributor"/>
    <x v="1"/>
    <n v="11"/>
    <n v="227.8"/>
    <n v="2505.8000000000002"/>
    <n v="186.79599999999999"/>
    <s v="FL"/>
    <s v="Florida"/>
    <s v="South"/>
    <n v="5342315.4840000002"/>
    <n v="2054.7559999999999"/>
    <n v="451.04399999999998"/>
    <n v="18"/>
    <s v="December"/>
    <n v="12"/>
    <s v="2017-12"/>
    <x v="3"/>
  </r>
  <r>
    <s v="SO - 0004077"/>
    <d v="2017-12-23T00:00:00"/>
    <s v="Amerisourc Corp"/>
    <s v="Wholesale"/>
    <x v="26"/>
    <n v="12"/>
    <n v="214.4"/>
    <n v="2572.8000000000002"/>
    <n v="96.48"/>
    <s v="TN"/>
    <s v="Tennessee"/>
    <s v="South"/>
    <n v="1356976.996"/>
    <n v="1157.76"/>
    <n v="1415.04"/>
    <n v="55"/>
    <s v="December"/>
    <n v="12"/>
    <s v="2017-12"/>
    <x v="3"/>
  </r>
  <r>
    <s v="SO - 0004197"/>
    <d v="2017-12-23T00:00:00"/>
    <s v="Quimm Company"/>
    <s v="Distributor"/>
    <x v="19"/>
    <n v="8"/>
    <n v="2659.9"/>
    <n v="21279.200000000001"/>
    <n v="1728.9349999999999"/>
    <s v="OH"/>
    <s v="Ohio"/>
    <s v="Midwest"/>
    <n v="2885560.824"/>
    <n v="13831.48"/>
    <n v="7447.7199999999903"/>
    <n v="35"/>
    <s v="December"/>
    <n v="12"/>
    <s v="2017-12"/>
    <x v="3"/>
  </r>
  <r>
    <s v="SO - 0006389"/>
    <d v="2017-12-23T00:00:00"/>
    <s v="Zoonoodle Ltd"/>
    <s v="Wholesale"/>
    <x v="0"/>
    <n v="7"/>
    <n v="1139"/>
    <n v="7973"/>
    <n v="455.6"/>
    <s v="ID"/>
    <s v="Idaho"/>
    <s v="West"/>
    <n v="1011609.684"/>
    <n v="3189.2"/>
    <n v="4783.7999999999902"/>
    <n v="59.999999999999901"/>
    <s v="December"/>
    <n v="12"/>
    <s v="2017-12"/>
    <x v="3"/>
  </r>
  <r>
    <s v="SO - 0006607"/>
    <d v="2017-12-23T00:00:00"/>
    <s v="Internatio Company"/>
    <s v="Wholesale"/>
    <x v="16"/>
    <n v="10"/>
    <n v="1795.6"/>
    <n v="17956"/>
    <n v="1113.2719999999999"/>
    <s v="MI"/>
    <s v="Michigan"/>
    <s v="Midwest"/>
    <n v="3016489.2089999998"/>
    <n v="11132.72"/>
    <n v="6823.2799999999897"/>
    <n v="37.999999999999901"/>
    <s v="December"/>
    <n v="12"/>
    <s v="2017-12"/>
    <x v="3"/>
  </r>
  <r>
    <s v="SO - 0007200"/>
    <d v="2017-12-23T00:00:00"/>
    <s v="Browsetype Corp"/>
    <s v="Distributor"/>
    <x v="11"/>
    <n v="5"/>
    <n v="254.6"/>
    <n v="1273"/>
    <n v="175.67399999999901"/>
    <s v="IA"/>
    <s v="Iowa"/>
    <s v="Midwest"/>
    <n v="5685138.2699999996"/>
    <n v="878.36999999999898"/>
    <n v="394.63"/>
    <n v="31"/>
    <s v="December"/>
    <n v="12"/>
    <s v="2017-12"/>
    <x v="3"/>
  </r>
  <r>
    <s v="SO - 0007412"/>
    <d v="2017-12-23T00:00:00"/>
    <s v="Nars Group"/>
    <s v="Wholesale"/>
    <x v="16"/>
    <n v="12"/>
    <n v="2452.1999999999998"/>
    <n v="29426.399999999998"/>
    <n v="1814.6279999999999"/>
    <s v="KS"/>
    <s v="Kansas"/>
    <s v="Midwest"/>
    <n v="3016489.2089999998"/>
    <n v="21775.536"/>
    <n v="7650.8639999999996"/>
    <n v="26"/>
    <s v="December"/>
    <n v="12"/>
    <s v="2017-12"/>
    <x v="3"/>
  </r>
  <r>
    <s v="SO - 0008264"/>
    <d v="2017-12-23T00:00:00"/>
    <s v="Safecor Corp"/>
    <s v="Wholesale"/>
    <x v="11"/>
    <n v="9"/>
    <n v="1701.8"/>
    <n v="15316.199999999999"/>
    <n v="935.99"/>
    <s v="IN"/>
    <s v="Indiana"/>
    <s v="Midwest"/>
    <n v="5685138.2699999996"/>
    <n v="8423.91"/>
    <n v="6892.28999999999"/>
    <n v="44.999999999999901"/>
    <s v="December"/>
    <n v="12"/>
    <s v="2017-12"/>
    <x v="3"/>
  </r>
  <r>
    <s v="SO - 000783"/>
    <d v="2017-12-23T00:00:00"/>
    <s v="Deseret Group"/>
    <s v="Wholesale"/>
    <x v="1"/>
    <n v="11"/>
    <n v="3865.9"/>
    <n v="42524.9"/>
    <n v="3092.72"/>
    <s v="MI"/>
    <s v="Michigan"/>
    <s v="Midwest"/>
    <n v="5342315.4840000002"/>
    <n v="34019.919999999998"/>
    <n v="8504.9799999999905"/>
    <n v="19.999999999999901"/>
    <s v="December"/>
    <n v="12"/>
    <s v="2017-12"/>
    <x v="3"/>
  </r>
  <r>
    <s v="SO - 0002567"/>
    <d v="2017-12-23T00:00:00"/>
    <s v="Blogtags Ltd"/>
    <s v="Distributor"/>
    <x v="16"/>
    <n v="5"/>
    <n v="5453.8"/>
    <n v="27269"/>
    <n v="3163.2039999999902"/>
    <s v="NY"/>
    <s v="New York"/>
    <s v="Northeast"/>
    <n v="3016489.2089999998"/>
    <n v="15816.0199999999"/>
    <n v="11452.98"/>
    <n v="42"/>
    <s v="December"/>
    <n v="12"/>
    <s v="2017-12"/>
    <x v="3"/>
  </r>
  <r>
    <s v="SO - 0003570"/>
    <d v="2017-12-23T00:00:00"/>
    <s v="Nlounge Ltd"/>
    <s v="Wholesale"/>
    <x v="1"/>
    <n v="5"/>
    <n v="1072"/>
    <n v="5360"/>
    <n v="686.08"/>
    <s v="FL"/>
    <s v="Florida"/>
    <s v="South"/>
    <n v="5342315.4840000002"/>
    <n v="3430.4"/>
    <n v="1929.6"/>
    <n v="36"/>
    <s v="December"/>
    <n v="12"/>
    <s v="2017-12"/>
    <x v="3"/>
  </r>
  <r>
    <s v="SO - 0004146"/>
    <d v="2017-12-23T00:00:00"/>
    <s v="Brightdog Corp"/>
    <s v="Export"/>
    <x v="6"/>
    <n v="11"/>
    <n v="3725.2"/>
    <n v="40977.199999999997"/>
    <n v="2458.6320000000001"/>
    <s v="CT"/>
    <s v="Connecticut"/>
    <s v="Northeast"/>
    <n v="3925424.5419999999"/>
    <n v="27044.952000000001"/>
    <n v="13932.248"/>
    <n v="34"/>
    <s v="December"/>
    <n v="12"/>
    <s v="2017-12"/>
    <x v="3"/>
  </r>
  <r>
    <s v="SO - 0005017"/>
    <d v="2017-12-23T00:00:00"/>
    <s v="Woonsocket Corp"/>
    <s v="Wholesale"/>
    <x v="13"/>
    <n v="7"/>
    <n v="1728.6"/>
    <n v="12100.199999999999"/>
    <n v="1400.1659999999999"/>
    <s v="TX"/>
    <s v="Texas"/>
    <s v="South"/>
    <n v="3299478.3149999999"/>
    <n v="9801.1620000000003"/>
    <n v="2299.038"/>
    <n v="19"/>
    <s v="December"/>
    <n v="12"/>
    <s v="2017-12"/>
    <x v="3"/>
  </r>
  <r>
    <s v="SO - 0005917"/>
    <d v="2017-12-23T00:00:00"/>
    <s v="Liberty Group"/>
    <s v="Wholesale"/>
    <x v="2"/>
    <n v="6"/>
    <n v="194.3"/>
    <n v="1165.8000000000002"/>
    <n v="126.295"/>
    <s v="CT"/>
    <s v="Connecticut"/>
    <s v="Northeast"/>
    <n v="4028698.409"/>
    <n v="757.77"/>
    <n v="408.03"/>
    <n v="35"/>
    <s v="December"/>
    <n v="12"/>
    <s v="2017-12"/>
    <x v="3"/>
  </r>
  <r>
    <s v="SO - 0009250"/>
    <d v="2017-12-23T00:00:00"/>
    <s v="Gigabox Group"/>
    <s v="Distributor"/>
    <x v="2"/>
    <n v="7"/>
    <n v="2345"/>
    <n v="16415"/>
    <n v="1899.45"/>
    <s v="CA"/>
    <s v="California"/>
    <s v="West"/>
    <n v="4028698.409"/>
    <n v="13296.15"/>
    <n v="3118.85"/>
    <n v="19"/>
    <s v="December"/>
    <n v="12"/>
    <s v="2017-12"/>
    <x v="3"/>
  </r>
  <r>
    <s v="SO - 0009970"/>
    <d v="2017-12-23T00:00:00"/>
    <s v="Internatio Company"/>
    <s v="Wholesale"/>
    <x v="17"/>
    <n v="9"/>
    <n v="3879.3"/>
    <n v="34913.700000000004"/>
    <n v="2521.5450000000001"/>
    <s v="CA"/>
    <s v="California"/>
    <s v="West"/>
    <n v="2642352.432"/>
    <n v="22693.904999999999"/>
    <n v="12219.795"/>
    <n v="35"/>
    <s v="December"/>
    <n v="12"/>
    <s v="2017-12"/>
    <x v="3"/>
  </r>
  <r>
    <s v="SO - 0009700"/>
    <d v="2017-12-23T00:00:00"/>
    <s v="Twinte Group"/>
    <s v="Wholesale"/>
    <x v="13"/>
    <n v="5"/>
    <n v="194.3"/>
    <n v="971.5"/>
    <n v="102.979"/>
    <s v="CO"/>
    <s v="Colorado"/>
    <s v="West"/>
    <n v="3299478.3149999999"/>
    <n v="514.89499999999998"/>
    <n v="456.604999999999"/>
    <n v="46.999999999999901"/>
    <s v="December"/>
    <n v="12"/>
    <s v="2017-12"/>
    <x v="3"/>
  </r>
  <r>
    <s v="SO - 0001869"/>
    <d v="2017-12-23T00:00:00"/>
    <s v="Natures Group"/>
    <s v="Distributor"/>
    <x v="11"/>
    <n v="12"/>
    <n v="6545.9"/>
    <n v="78550.799999999988"/>
    <n v="2749.2779999999998"/>
    <s v="CA"/>
    <s v="California"/>
    <s v="West"/>
    <n v="5685138.2699999996"/>
    <n v="32991.336000000003"/>
    <n v="45559.464"/>
    <n v="57.999999999999901"/>
    <s v="December"/>
    <n v="12"/>
    <s v="2017-12"/>
    <x v="3"/>
  </r>
  <r>
    <s v="SO - 0003825"/>
    <d v="2017-12-23T00:00:00"/>
    <s v="Zoovu Corp"/>
    <s v="Wholesale"/>
    <x v="2"/>
    <n v="11"/>
    <n v="1058.5999999999999"/>
    <n v="11644.599999999999"/>
    <n v="899.81"/>
    <s v="KS"/>
    <s v="Kansas"/>
    <s v="Midwest"/>
    <n v="4028698.409"/>
    <n v="9897.91"/>
    <n v="1746.69"/>
    <n v="15"/>
    <s v="December"/>
    <n v="12"/>
    <s v="2017-12"/>
    <x v="3"/>
  </r>
  <r>
    <s v="SO - 0010375"/>
    <d v="2017-12-23T00:00:00"/>
    <s v="Jayo Company"/>
    <s v="Distributor"/>
    <x v="1"/>
    <n v="6"/>
    <n v="2010"/>
    <n v="12060"/>
    <n v="964.8"/>
    <s v="WA"/>
    <s v="Washington"/>
    <s v="West"/>
    <n v="5342315.4840000002"/>
    <n v="5788.7999999999902"/>
    <n v="6271.2"/>
    <n v="52"/>
    <s v="December"/>
    <n v="12"/>
    <s v="2017-12"/>
    <x v="3"/>
  </r>
  <r>
    <s v="SO - 0008692"/>
    <d v="2017-12-23T00:00:00"/>
    <s v="Good Ltd"/>
    <s v="Distributor"/>
    <x v="11"/>
    <n v="10"/>
    <n v="1721.9"/>
    <n v="17219"/>
    <n v="774.85500000000002"/>
    <s v="IL"/>
    <s v="Illinois"/>
    <s v="Midwest"/>
    <n v="5685138.2699999996"/>
    <n v="7748.55"/>
    <n v="9470.4500000000007"/>
    <n v="55"/>
    <s v="December"/>
    <n v="12"/>
    <s v="2017-12"/>
    <x v="3"/>
  </r>
  <r>
    <s v="SO - 0009199"/>
    <d v="2017-12-23T00:00:00"/>
    <s v="Zava Group"/>
    <s v="Wholesale"/>
    <x v="14"/>
    <n v="6"/>
    <n v="6277.9"/>
    <n v="37667.399999999994"/>
    <n v="4959.5410000000002"/>
    <s v="FL"/>
    <s v="Florida"/>
    <s v="South"/>
    <n v="2119616.824"/>
    <n v="29757.245999999999"/>
    <n v="7910.1539999999904"/>
    <n v="20.999999999999901"/>
    <s v="December"/>
    <n v="12"/>
    <s v="2017-12"/>
    <x v="3"/>
  </r>
  <r>
    <s v="SO - 0001655"/>
    <d v="2017-12-23T00:00:00"/>
    <s v="Safeway Ltd"/>
    <s v="Distributor"/>
    <x v="1"/>
    <n v="10"/>
    <n v="1105.5"/>
    <n v="11055"/>
    <n v="563.80499999999995"/>
    <s v="ND"/>
    <s v="North Dakota"/>
    <s v="Midwest"/>
    <n v="5342315.4840000002"/>
    <n v="5638.05"/>
    <n v="5416.9499999999898"/>
    <n v="48.999999999999901"/>
    <s v="December"/>
    <n v="12"/>
    <s v="2017-12"/>
    <x v="3"/>
  </r>
  <r>
    <s v="SO - 0002960"/>
    <d v="2017-12-23T00:00:00"/>
    <s v="Thoughtmix Ltd"/>
    <s v="Export"/>
    <x v="11"/>
    <n v="5"/>
    <n v="1232.8"/>
    <n v="6164"/>
    <n v="653.38400000000001"/>
    <s v="CO"/>
    <s v="Colorado"/>
    <s v="West"/>
    <n v="5685138.2699999996"/>
    <n v="3266.92"/>
    <n v="2897.08"/>
    <n v="47"/>
    <s v="December"/>
    <n v="12"/>
    <s v="2017-12"/>
    <x v="3"/>
  </r>
  <r>
    <s v="SO - 0003053"/>
    <d v="2017-12-23T00:00:00"/>
    <s v="Centizu Company"/>
    <s v="Distributor"/>
    <x v="9"/>
    <n v="7"/>
    <n v="844.2"/>
    <n v="5909.4000000000005"/>
    <n v="354.56400000000002"/>
    <s v="NJ"/>
    <s v="New Jersey"/>
    <s v="Northeast"/>
    <n v="3720639.645"/>
    <n v="2481.9479999999999"/>
    <n v="3427.4520000000002"/>
    <n v="57.999999999999901"/>
    <s v="December"/>
    <n v="12"/>
    <s v="2017-12"/>
    <x v="3"/>
  </r>
  <r>
    <s v="SO - 0005445"/>
    <d v="2017-12-23T00:00:00"/>
    <s v="Blogtags Ltd"/>
    <s v="Export"/>
    <x v="17"/>
    <n v="5"/>
    <n v="2599.6"/>
    <n v="12998"/>
    <n v="1039.8399999999999"/>
    <s v="FL"/>
    <s v="Florida"/>
    <s v="South"/>
    <n v="2642352.432"/>
    <n v="5199.2"/>
    <n v="7798.8"/>
    <n v="60"/>
    <s v="December"/>
    <n v="12"/>
    <s v="2017-12"/>
    <x v="3"/>
  </r>
  <r>
    <s v="SO - 0005637"/>
    <d v="2017-12-23T00:00:00"/>
    <s v="Skidoo Company"/>
    <s v="Wholesale"/>
    <x v="13"/>
    <n v="7"/>
    <n v="1065.3"/>
    <n v="7457.0999999999995"/>
    <n v="767.01599999999996"/>
    <s v="CA"/>
    <s v="California"/>
    <s v="West"/>
    <n v="3299478.3149999999"/>
    <n v="5369.1120000000001"/>
    <n v="2087.9879999999898"/>
    <n v="27.999999999999901"/>
    <s v="December"/>
    <n v="12"/>
    <s v="2017-12"/>
    <x v="3"/>
  </r>
  <r>
    <s v="SO - 0006676"/>
    <d v="2017-12-23T00:00:00"/>
    <s v="Neutrogena Ltd"/>
    <s v="Export"/>
    <x v="13"/>
    <n v="12"/>
    <n v="1092.0999999999999"/>
    <n v="13105.199999999999"/>
    <n v="655.26"/>
    <s v="VA"/>
    <s v="Virginia"/>
    <s v="South"/>
    <n v="3299478.3149999999"/>
    <n v="7863.12"/>
    <n v="5242.08"/>
    <n v="40"/>
    <s v="December"/>
    <n v="12"/>
    <s v="2017-12"/>
    <x v="3"/>
  </r>
  <r>
    <s v="SO - 0007151"/>
    <d v="2017-12-23T00:00:00"/>
    <s v="Avavee Group"/>
    <s v="Export"/>
    <x v="3"/>
    <n v="9"/>
    <n v="964.8"/>
    <n v="8683.1999999999989"/>
    <n v="520.99199999999996"/>
    <s v="CT"/>
    <s v="Connecticut"/>
    <s v="Northeast"/>
    <n v="1085037.3289999999"/>
    <n v="4688.9279999999999"/>
    <n v="3994.2719999999999"/>
    <n v="46"/>
    <s v="December"/>
    <n v="12"/>
    <s v="2017-12"/>
    <x v="3"/>
  </r>
  <r>
    <s v="SO - 0007637"/>
    <d v="2017-12-23T00:00:00"/>
    <s v="Ncs Group"/>
    <s v="Distributor"/>
    <x v="7"/>
    <n v="12"/>
    <n v="234.5"/>
    <n v="2814"/>
    <n v="126.63"/>
    <s v="NE"/>
    <s v="Nebraska"/>
    <s v="Midwest"/>
    <n v="3050087.5649999999"/>
    <n v="1519.56"/>
    <n v="1294.4399999999901"/>
    <n v="46"/>
    <s v="December"/>
    <n v="12"/>
    <s v="2017-12"/>
    <x v="3"/>
  </r>
  <r>
    <s v="SO - 0010001"/>
    <d v="2017-12-23T00:00:00"/>
    <s v="Twinte Group"/>
    <s v="Wholesale"/>
    <x v="11"/>
    <n v="8"/>
    <n v="3899.4"/>
    <n v="31195.200000000001"/>
    <n v="2573.6039999999998"/>
    <s v="WY"/>
    <s v="Wyoming"/>
    <s v="West"/>
    <n v="5685138.2699999996"/>
    <n v="20588.831999999999"/>
    <n v="10606.3679999999"/>
    <n v="34"/>
    <s v="December"/>
    <n v="12"/>
    <s v="2017-12"/>
    <x v="3"/>
  </r>
  <r>
    <s v="SO - 0008272"/>
    <d v="2017-12-23T00:00:00"/>
    <s v="Eidel Corp"/>
    <s v="Wholesale"/>
    <x v="15"/>
    <n v="7"/>
    <n v="5540.9"/>
    <n v="38786.299999999996"/>
    <n v="2437.9960000000001"/>
    <s v="IA"/>
    <s v="Iowa"/>
    <s v="Midwest"/>
    <n v="2062061.1440000001"/>
    <n v="17065.972000000002"/>
    <n v="21720.328000000001"/>
    <n v="55.999999999999901"/>
    <s v="December"/>
    <n v="12"/>
    <s v="2017-12"/>
    <x v="3"/>
  </r>
  <r>
    <s v="SO - 000467"/>
    <d v="2017-12-24T00:00:00"/>
    <s v="Remedy Ltd"/>
    <s v="Distributor"/>
    <x v="25"/>
    <n v="8"/>
    <n v="2653.2"/>
    <n v="21225.599999999999"/>
    <n v="1857.24"/>
    <s v="GA"/>
    <s v="Georgia"/>
    <s v="South"/>
    <n v="889737.55500000005"/>
    <n v="14857.92"/>
    <n v="6367.68"/>
    <n v="30"/>
    <s v="December"/>
    <n v="12"/>
    <s v="2017-12"/>
    <x v="3"/>
  </r>
  <r>
    <s v="SO - 0006118"/>
    <d v="2017-12-24T00:00:00"/>
    <s v="Skiptube Ltd"/>
    <s v="Distributor"/>
    <x v="19"/>
    <n v="6"/>
    <n v="2485.6999999999998"/>
    <n v="14914.199999999999"/>
    <n v="1292.5640000000001"/>
    <s v="IL"/>
    <s v="Illinois"/>
    <s v="Midwest"/>
    <n v="2885560.824"/>
    <n v="7755.384"/>
    <n v="7158.8159999999998"/>
    <n v="48"/>
    <s v="December"/>
    <n v="12"/>
    <s v="2017-12"/>
    <x v="3"/>
  </r>
  <r>
    <s v="SO - 0006181"/>
    <d v="2017-12-24T00:00:00"/>
    <s v="Avamba Company"/>
    <s v="Wholesale"/>
    <x v="16"/>
    <n v="7"/>
    <n v="227.8"/>
    <n v="1594.6000000000001"/>
    <n v="175.40600000000001"/>
    <s v="NM"/>
    <s v="New Mexico"/>
    <s v="West"/>
    <n v="3016489.2089999998"/>
    <n v="1227.8420000000001"/>
    <n v="366.75799999999998"/>
    <n v="23"/>
    <s v="December"/>
    <n v="12"/>
    <s v="2017-12"/>
    <x v="3"/>
  </r>
  <r>
    <s v="SO - 0006609"/>
    <d v="2017-12-24T00:00:00"/>
    <s v="H Ltd"/>
    <s v="Distributor"/>
    <x v="10"/>
    <n v="7"/>
    <n v="2566.1"/>
    <n v="17962.7"/>
    <n v="1103.423"/>
    <s v="CT"/>
    <s v="Connecticut"/>
    <s v="Northeast"/>
    <n v="1672229.416"/>
    <n v="7723.9610000000002"/>
    <n v="10238.739"/>
    <n v="57"/>
    <s v="December"/>
    <n v="12"/>
    <s v="2017-12"/>
    <x v="3"/>
  </r>
  <r>
    <s v="SO - 0008065"/>
    <d v="2017-12-24T00:00:00"/>
    <s v="Jaxbean Group"/>
    <s v="Wholesale"/>
    <x v="18"/>
    <n v="10"/>
    <n v="984.9"/>
    <n v="9849"/>
    <n v="778.07100000000003"/>
    <s v="TX"/>
    <s v="Texas"/>
    <s v="South"/>
    <n v="1135815.7579999999"/>
    <n v="7780.71"/>
    <n v="2068.29"/>
    <n v="21"/>
    <s v="December"/>
    <n v="12"/>
    <s v="2017-12"/>
    <x v="3"/>
  </r>
  <r>
    <s v="SO - 000221"/>
    <d v="2017-12-24T00:00:00"/>
    <s v="Skippad Ltd"/>
    <s v="Wholesale"/>
    <x v="9"/>
    <n v="11"/>
    <n v="5058.5"/>
    <n v="55643.5"/>
    <n v="3591.5349999999999"/>
    <s v="OH"/>
    <s v="Ohio"/>
    <s v="Midwest"/>
    <n v="3720639.645"/>
    <n v="39506.8849999999"/>
    <n v="16136.615"/>
    <n v="29"/>
    <s v="December"/>
    <n v="12"/>
    <s v="2017-12"/>
    <x v="3"/>
  </r>
  <r>
    <s v="SO - 0001430"/>
    <d v="2017-12-24T00:00:00"/>
    <s v="Skyvu Group"/>
    <s v="Wholesale"/>
    <x v="1"/>
    <n v="8"/>
    <n v="221.1"/>
    <n v="1768.8"/>
    <n v="181.30199999999999"/>
    <s v="IL"/>
    <s v="Illinois"/>
    <s v="Midwest"/>
    <n v="5342315.4840000002"/>
    <n v="1450.4159999999999"/>
    <n v="318.38400000000001"/>
    <n v="18"/>
    <s v="December"/>
    <n v="12"/>
    <s v="2017-12"/>
    <x v="3"/>
  </r>
  <r>
    <s v="SO - 0002083"/>
    <d v="2017-12-24T00:00:00"/>
    <s v="Bluezoom Group"/>
    <s v="Wholesale"/>
    <x v="4"/>
    <n v="11"/>
    <n v="3242.8"/>
    <n v="35670.800000000003"/>
    <n v="2594.2399999999998"/>
    <s v="CA"/>
    <s v="California"/>
    <s v="West"/>
    <n v="2309499.0449999999"/>
    <n v="28536.639999999999"/>
    <n v="7134.16"/>
    <n v="20"/>
    <s v="December"/>
    <n v="12"/>
    <s v="2017-12"/>
    <x v="3"/>
  </r>
  <r>
    <s v="SO - 0002318"/>
    <d v="2017-12-24T00:00:00"/>
    <s v="Lazzy Group"/>
    <s v="Wholesale"/>
    <x v="9"/>
    <n v="9"/>
    <n v="2793.9"/>
    <n v="25145.100000000002"/>
    <n v="1201.377"/>
    <s v="CA"/>
    <s v="California"/>
    <s v="West"/>
    <n v="3720639.645"/>
    <n v="10812.393"/>
    <n v="14332.707"/>
    <n v="57"/>
    <s v="December"/>
    <n v="12"/>
    <s v="2017-12"/>
    <x v="3"/>
  </r>
  <r>
    <s v="SO - 0003696"/>
    <d v="2017-12-24T00:00:00"/>
    <s v="Deseret Group"/>
    <s v="Distributor"/>
    <x v="16"/>
    <n v="5"/>
    <n v="3986.5"/>
    <n v="19932.5"/>
    <n v="3149.335"/>
    <s v="CT"/>
    <s v="Connecticut"/>
    <s v="Northeast"/>
    <n v="3016489.2089999998"/>
    <n v="15746.674999999999"/>
    <n v="4185.8249999999998"/>
    <n v="21"/>
    <s v="December"/>
    <n v="12"/>
    <s v="2017-12"/>
    <x v="3"/>
  </r>
  <r>
    <s v="SO - 0008492"/>
    <d v="2017-12-24T00:00:00"/>
    <s v="Aromaticos Company"/>
    <s v="Distributor"/>
    <x v="8"/>
    <n v="10"/>
    <n v="1902.8"/>
    <n v="19028"/>
    <n v="1046.54"/>
    <s v="WI"/>
    <s v="Wisconsin"/>
    <s v="Midwest"/>
    <n v="663601.902"/>
    <n v="10465.4"/>
    <n v="8562.6"/>
    <n v="45"/>
    <s v="December"/>
    <n v="12"/>
    <s v="2017-12"/>
    <x v="3"/>
  </r>
  <r>
    <s v="SO - 0009928"/>
    <d v="2017-12-24T00:00:00"/>
    <s v="Jayo Company"/>
    <s v="Wholesale"/>
    <x v="1"/>
    <n v="11"/>
    <n v="1172.5"/>
    <n v="12897.5"/>
    <n v="492.45"/>
    <s v="AR"/>
    <s v="Arkansas"/>
    <s v="South"/>
    <n v="5342315.4840000002"/>
    <n v="5416.95"/>
    <n v="7480.55"/>
    <n v="57.999999999999901"/>
    <s v="December"/>
    <n v="12"/>
    <s v="2017-12"/>
    <x v="3"/>
  </r>
  <r>
    <s v="SO - 0009059"/>
    <d v="2017-12-24T00:00:00"/>
    <s v="Ozu Ltd"/>
    <s v="Wholesale"/>
    <x v="11"/>
    <n v="8"/>
    <n v="1045.2"/>
    <n v="8361.6"/>
    <n v="742.09199999999998"/>
    <s v="FL"/>
    <s v="Florida"/>
    <s v="South"/>
    <n v="5685138.2699999996"/>
    <n v="5936.7359999999999"/>
    <n v="2424.864"/>
    <n v="29"/>
    <s v="December"/>
    <n v="12"/>
    <s v="2017-12"/>
    <x v="3"/>
  </r>
  <r>
    <s v="SO - 000509"/>
    <d v="2017-12-24T00:00:00"/>
    <s v="Deseret Group"/>
    <s v="Distributor"/>
    <x v="1"/>
    <n v="10"/>
    <n v="241.2"/>
    <n v="2412"/>
    <n v="154.36799999999999"/>
    <s v="NJ"/>
    <s v="New Jersey"/>
    <s v="Northeast"/>
    <n v="5342315.4840000002"/>
    <n v="1543.68"/>
    <n v="868.31999999999903"/>
    <n v="35.999999999999901"/>
    <s v="December"/>
    <n v="12"/>
    <s v="2017-12"/>
    <x v="3"/>
  </r>
  <r>
    <s v="SO - 000733"/>
    <d v="2017-12-24T00:00:00"/>
    <s v="Voonyx Group"/>
    <s v="Export"/>
    <x v="19"/>
    <n v="7"/>
    <n v="1072"/>
    <n v="7504"/>
    <n v="836.16"/>
    <s v="FL"/>
    <s v="Florida"/>
    <s v="South"/>
    <n v="2885560.824"/>
    <n v="5853.12"/>
    <n v="1650.8799999999901"/>
    <n v="21.999999999999901"/>
    <s v="December"/>
    <n v="12"/>
    <s v="2017-12"/>
    <x v="3"/>
  </r>
  <r>
    <s v="SO - 000957"/>
    <d v="2017-12-24T00:00:00"/>
    <s v="Tekfly Group"/>
    <s v="Distributor"/>
    <x v="5"/>
    <n v="12"/>
    <n v="1098.8"/>
    <n v="13185.599999999999"/>
    <n v="681.25599999999997"/>
    <s v="FL"/>
    <s v="Florida"/>
    <s v="South"/>
    <n v="1003867.767"/>
    <n v="8175.0720000000001"/>
    <n v="5010.5279999999902"/>
    <n v="37.999999999999901"/>
    <s v="December"/>
    <n v="12"/>
    <s v="2017-12"/>
    <x v="3"/>
  </r>
  <r>
    <s v="SO - 0001450"/>
    <d v="2017-12-24T00:00:00"/>
    <s v="American Corp"/>
    <s v="Wholesale"/>
    <x v="21"/>
    <n v="9"/>
    <n v="750.4"/>
    <n v="6753.5999999999995"/>
    <n v="405.21600000000001"/>
    <s v="CA"/>
    <s v="California"/>
    <s v="West"/>
    <n v="1230458.4839999999"/>
    <n v="3646.944"/>
    <n v="3106.6559999999899"/>
    <n v="46"/>
    <s v="December"/>
    <n v="12"/>
    <s v="2017-12"/>
    <x v="3"/>
  </r>
  <r>
    <s v="SO - 0004669"/>
    <d v="2017-12-24T00:00:00"/>
    <s v="Alk-Abello Ltd"/>
    <s v="Distributor"/>
    <x v="12"/>
    <n v="10"/>
    <n v="6210.9"/>
    <n v="62109"/>
    <n v="2857.0140000000001"/>
    <s v="FL"/>
    <s v="Florida"/>
    <s v="South"/>
    <n v="959899.21799999999"/>
    <n v="28570.14"/>
    <n v="33538.86"/>
    <n v="53.999999999999901"/>
    <s v="December"/>
    <n v="12"/>
    <s v="2017-12"/>
    <x v="3"/>
  </r>
  <r>
    <s v="SO - 0004693"/>
    <d v="2017-12-24T00:00:00"/>
    <s v="Quimm Company"/>
    <s v="Wholesale"/>
    <x v="11"/>
    <n v="5"/>
    <n v="3986.5"/>
    <n v="19932.5"/>
    <n v="2910.145"/>
    <s v="IN"/>
    <s v="Indiana"/>
    <s v="Midwest"/>
    <n v="5685138.2699999996"/>
    <n v="14550.725"/>
    <n v="5381.7749999999996"/>
    <n v="26.999999999999901"/>
    <s v="December"/>
    <n v="12"/>
    <s v="2017-12"/>
    <x v="3"/>
  </r>
  <r>
    <s v="SO - 0006625"/>
    <d v="2017-12-24T00:00:00"/>
    <s v="Buzzbean Group"/>
    <s v="Distributor"/>
    <x v="12"/>
    <n v="7"/>
    <n v="1139"/>
    <n v="7973"/>
    <n v="877.03"/>
    <s v="TX"/>
    <s v="Texas"/>
    <s v="South"/>
    <n v="959899.21799999999"/>
    <n v="6139.21"/>
    <n v="1833.79"/>
    <n v="23"/>
    <s v="December"/>
    <n v="12"/>
    <s v="2017-12"/>
    <x v="3"/>
  </r>
  <r>
    <s v="SO - 0009281"/>
    <d v="2017-12-24T00:00:00"/>
    <s v="Mylan Corp"/>
    <s v="Wholesale"/>
    <x v="11"/>
    <n v="12"/>
    <n v="2512.5"/>
    <n v="30150"/>
    <n v="1231.125"/>
    <s v="CA"/>
    <s v="California"/>
    <s v="West"/>
    <n v="5685138.2699999996"/>
    <n v="14773.5"/>
    <n v="15376.5"/>
    <n v="51"/>
    <s v="December"/>
    <n v="12"/>
    <s v="2017-12"/>
    <x v="3"/>
  </r>
  <r>
    <s v="SO - 0008192"/>
    <d v="2017-12-24T00:00:00"/>
    <s v="Walgreen Corp"/>
    <s v="Wholesale"/>
    <x v="6"/>
    <n v="8"/>
    <n v="1031.8"/>
    <n v="8254.4"/>
    <n v="825.44"/>
    <s v="NY"/>
    <s v="New York"/>
    <s v="Northeast"/>
    <n v="3925424.5419999999"/>
    <n v="6603.52"/>
    <n v="1650.8799999999901"/>
    <n v="19.999999999999901"/>
    <s v="December"/>
    <n v="12"/>
    <s v="2017-12"/>
    <x v="3"/>
  </r>
  <r>
    <s v="SO - 0010162"/>
    <d v="2017-12-24T00:00:00"/>
    <s v="Wordtune Company"/>
    <s v="Distributor"/>
    <x v="1"/>
    <n v="12"/>
    <n v="3993.2"/>
    <n v="47918.399999999994"/>
    <n v="3034.8319999999999"/>
    <s v="CA"/>
    <s v="California"/>
    <s v="West"/>
    <n v="5342315.4840000002"/>
    <n v="36417.983999999997"/>
    <n v="11500.415999999899"/>
    <n v="23.999999999999901"/>
    <s v="December"/>
    <n v="12"/>
    <s v="2017-12"/>
    <x v="3"/>
  </r>
  <r>
    <s v="SO - 000404"/>
    <d v="2017-12-24T00:00:00"/>
    <s v="Safeway Ltd"/>
    <s v="Wholesale"/>
    <x v="4"/>
    <n v="11"/>
    <n v="3886"/>
    <n v="42746"/>
    <n v="2020.72"/>
    <s v="MN"/>
    <s v="Minnesota"/>
    <s v="Midwest"/>
    <n v="2309499.0449999999"/>
    <n v="22227.919999999998"/>
    <n v="20518.0799999999"/>
    <n v="48"/>
    <s v="December"/>
    <n v="12"/>
    <s v="2017-12"/>
    <x v="3"/>
  </r>
  <r>
    <s v="SO - 000838"/>
    <d v="2017-12-24T00:00:00"/>
    <s v="Brightdog Corp"/>
    <s v="Distributor"/>
    <x v="2"/>
    <n v="8"/>
    <n v="1809"/>
    <n v="14472"/>
    <n v="1465.29"/>
    <s v="NJ"/>
    <s v="New Jersey"/>
    <s v="Northeast"/>
    <n v="4028698.409"/>
    <n v="11722.32"/>
    <n v="2749.6799999999898"/>
    <n v="18.999999999999901"/>
    <s v="December"/>
    <n v="12"/>
    <s v="2017-12"/>
    <x v="3"/>
  </r>
  <r>
    <s v="SO - 0004279"/>
    <d v="2017-12-24T00:00:00"/>
    <s v="Browsebug Company"/>
    <s v="Distributor"/>
    <x v="9"/>
    <n v="6"/>
    <n v="3678.3"/>
    <n v="22069.800000000003"/>
    <n v="3052.989"/>
    <s v="OH"/>
    <s v="Ohio"/>
    <s v="Midwest"/>
    <n v="3720639.645"/>
    <n v="18317.934000000001"/>
    <n v="3751.866"/>
    <n v="17"/>
    <s v="December"/>
    <n v="12"/>
    <s v="2017-12"/>
    <x v="3"/>
  </r>
  <r>
    <s v="SO - 0004543"/>
    <d v="2017-12-24T00:00:00"/>
    <s v="Flipbug Ltd"/>
    <s v="Wholesale"/>
    <x v="4"/>
    <n v="12"/>
    <n v="6184.1"/>
    <n v="74209.200000000012"/>
    <n v="3772.3009999999999"/>
    <s v="IL"/>
    <s v="Illinois"/>
    <s v="Midwest"/>
    <n v="2309499.0449999999"/>
    <n v="45267.612000000001"/>
    <n v="28941.588"/>
    <n v="39"/>
    <s v="December"/>
    <n v="12"/>
    <s v="2017-12"/>
    <x v="3"/>
  </r>
  <r>
    <s v="SO - 0005188"/>
    <d v="2017-12-24T00:00:00"/>
    <s v="Centizu Company"/>
    <s v="Wholesale"/>
    <x v="15"/>
    <n v="7"/>
    <n v="3926.2"/>
    <n v="27483.399999999998"/>
    <n v="2002.3620000000001"/>
    <s v="NY"/>
    <s v="New York"/>
    <s v="Northeast"/>
    <n v="2062061.1440000001"/>
    <n v="14016.534"/>
    <n v="13466.866"/>
    <n v="49"/>
    <s v="December"/>
    <n v="12"/>
    <s v="2017-12"/>
    <x v="3"/>
  </r>
  <r>
    <s v="SO - 0005565"/>
    <d v="2017-12-24T00:00:00"/>
    <s v="Colgate-Pa Group"/>
    <s v="Wholesale"/>
    <x v="4"/>
    <n v="12"/>
    <n v="3993.2"/>
    <n v="47918.399999999994"/>
    <n v="1916.7360000000001"/>
    <s v="CA"/>
    <s v="California"/>
    <s v="West"/>
    <n v="2309499.0449999999"/>
    <n v="23000.831999999999"/>
    <n v="24917.567999999999"/>
    <n v="52"/>
    <s v="December"/>
    <n v="12"/>
    <s v="2017-12"/>
    <x v="3"/>
  </r>
  <r>
    <s v="SO - 0007111"/>
    <d v="2017-12-24T00:00:00"/>
    <s v="The Ltd"/>
    <s v="Export"/>
    <x v="22"/>
    <n v="12"/>
    <n v="1072"/>
    <n v="12864"/>
    <n v="439.52"/>
    <s v="UT"/>
    <s v="Utah"/>
    <s v="West"/>
    <n v="710415.40500000003"/>
    <n v="5274.24"/>
    <n v="7589.76"/>
    <n v="59"/>
    <s v="December"/>
    <n v="12"/>
    <s v="2017-12"/>
    <x v="3"/>
  </r>
  <r>
    <s v="SO - 0007448"/>
    <d v="2017-12-24T00:00:00"/>
    <s v="Oba Company"/>
    <s v="Export"/>
    <x v="20"/>
    <n v="8"/>
    <n v="2358.4"/>
    <n v="18867.2"/>
    <n v="1815.9680000000001"/>
    <s v="FL"/>
    <s v="Florida"/>
    <s v="South"/>
    <n v="964940.23100000003"/>
    <n v="14527.744000000001"/>
    <n v="4339.4560000000001"/>
    <n v="23"/>
    <s v="December"/>
    <n v="12"/>
    <s v="2017-12"/>
    <x v="3"/>
  </r>
  <r>
    <s v="SO - 0008807"/>
    <d v="2017-12-24T00:00:00"/>
    <s v="Janyx Group"/>
    <s v="Export"/>
    <x v="17"/>
    <n v="5"/>
    <n v="3001.6"/>
    <n v="15008"/>
    <n v="2251.1999999999998"/>
    <s v="CA"/>
    <s v="California"/>
    <s v="West"/>
    <n v="2642352.432"/>
    <n v="11256"/>
    <n v="3752"/>
    <n v="25"/>
    <s v="December"/>
    <n v="12"/>
    <s v="2017-12"/>
    <x v="3"/>
  </r>
  <r>
    <s v="SO - 000639"/>
    <d v="2017-12-24T00:00:00"/>
    <s v="Bath Group"/>
    <s v="Distributor"/>
    <x v="11"/>
    <n v="11"/>
    <n v="1031.8"/>
    <n v="11349.8"/>
    <n v="505.58199999999999"/>
    <s v="FL"/>
    <s v="Florida"/>
    <s v="South"/>
    <n v="5685138.2699999996"/>
    <n v="5561.402"/>
    <n v="5788.3979999999901"/>
    <n v="51"/>
    <s v="December"/>
    <n v="12"/>
    <s v="2017-12"/>
    <x v="3"/>
  </r>
  <r>
    <s v="SO - 0001560"/>
    <d v="2017-12-24T00:00:00"/>
    <s v="Viva Ltd"/>
    <s v="Wholesale"/>
    <x v="14"/>
    <n v="6"/>
    <n v="1809"/>
    <n v="10854"/>
    <n v="1266.3"/>
    <s v="MS"/>
    <s v="Mississippi"/>
    <s v="South"/>
    <n v="2119616.824"/>
    <n v="7597.7999999999902"/>
    <n v="3256.2"/>
    <n v="30"/>
    <s v="December"/>
    <n v="12"/>
    <s v="2017-12"/>
    <x v="3"/>
  </r>
  <r>
    <s v="SO - 0006115"/>
    <d v="2017-12-24T00:00:00"/>
    <s v="Johnson Ltd"/>
    <s v="Wholesale"/>
    <x v="7"/>
    <n v="6"/>
    <n v="1072"/>
    <n v="6432"/>
    <n v="825.44"/>
    <s v="CA"/>
    <s v="California"/>
    <s v="West"/>
    <n v="3050087.5649999999"/>
    <n v="4952.6400000000003"/>
    <n v="1479.3599999999899"/>
    <n v="22.999999999999901"/>
    <s v="December"/>
    <n v="12"/>
    <s v="2017-12"/>
    <x v="3"/>
  </r>
  <r>
    <s v="SO - 0006888"/>
    <d v="2017-12-24T00:00:00"/>
    <s v="Aibox Company"/>
    <s v="Wholesale"/>
    <x v="7"/>
    <n v="5"/>
    <n v="247.9"/>
    <n v="1239.5"/>
    <n v="185.92500000000001"/>
    <s v="TX"/>
    <s v="Texas"/>
    <s v="South"/>
    <n v="3050087.5649999999"/>
    <n v="929.625"/>
    <n v="309.875"/>
    <n v="25"/>
    <s v="December"/>
    <n v="12"/>
    <s v="2017-12"/>
    <x v="3"/>
  </r>
  <r>
    <s v="SO - 0007433"/>
    <d v="2017-12-24T00:00:00"/>
    <s v="Jayo Company"/>
    <s v="Export"/>
    <x v="2"/>
    <n v="7"/>
    <n v="241.2"/>
    <n v="1688.3999999999999"/>
    <n v="154.36799999999999"/>
    <s v="CA"/>
    <s v="California"/>
    <s v="West"/>
    <n v="4028698.409"/>
    <n v="1080.576"/>
    <n v="607.82399999999905"/>
    <n v="35.999999999999901"/>
    <s v="December"/>
    <n v="12"/>
    <s v="2017-12"/>
    <x v="3"/>
  </r>
  <r>
    <s v="SO - 0004610"/>
    <d v="2017-12-24T00:00:00"/>
    <s v="Fred'S Company"/>
    <s v="Export"/>
    <x v="16"/>
    <n v="7"/>
    <n v="3852.5"/>
    <n v="26967.5"/>
    <n v="3197.5749999999998"/>
    <s v="IL"/>
    <s v="Illinois"/>
    <s v="Midwest"/>
    <n v="3016489.2089999998"/>
    <n v="22383.0249999999"/>
    <n v="4584.4750000000004"/>
    <n v="17"/>
    <s v="December"/>
    <n v="12"/>
    <s v="2017-12"/>
    <x v="3"/>
  </r>
  <r>
    <s v="SO - 0004811"/>
    <d v="2017-12-24T00:00:00"/>
    <s v="Shuffledri Group"/>
    <s v="Wholesale"/>
    <x v="8"/>
    <n v="7"/>
    <n v="5085.3"/>
    <n v="35597.1"/>
    <n v="2695.2089999999998"/>
    <s v="TX"/>
    <s v="Texas"/>
    <s v="South"/>
    <n v="663601.902"/>
    <n v="18866.463"/>
    <n v="16730.636999999901"/>
    <n v="46.999999999999901"/>
    <s v="December"/>
    <n v="12"/>
    <s v="2017-12"/>
    <x v="3"/>
  </r>
  <r>
    <s v="SO - 0005520"/>
    <d v="2017-12-24T00:00:00"/>
    <s v="Safeway Ltd"/>
    <s v="Distributor"/>
    <x v="13"/>
    <n v="8"/>
    <n v="998.3"/>
    <n v="7986.4"/>
    <n v="848.55499999999995"/>
    <s v="IL"/>
    <s v="Illinois"/>
    <s v="Midwest"/>
    <n v="3299478.3149999999"/>
    <n v="6788.44"/>
    <n v="1197.96"/>
    <n v="15"/>
    <s v="December"/>
    <n v="12"/>
    <s v="2017-12"/>
    <x v="3"/>
  </r>
  <r>
    <s v="SO - 0005660"/>
    <d v="2017-12-24T00:00:00"/>
    <s v="Rochester Group"/>
    <s v="Wholesale"/>
    <x v="18"/>
    <n v="5"/>
    <n v="3852.5"/>
    <n v="19262.5"/>
    <n v="2080.35"/>
    <s v="WI"/>
    <s v="Wisconsin"/>
    <s v="Midwest"/>
    <n v="1135815.7579999999"/>
    <n v="10401.75"/>
    <n v="8860.7499999999909"/>
    <n v="45.999999999999901"/>
    <s v="December"/>
    <n v="12"/>
    <s v="2017-12"/>
    <x v="3"/>
  </r>
  <r>
    <s v="SO - 0006030"/>
    <d v="2017-12-24T00:00:00"/>
    <s v="Kare Corp"/>
    <s v="Wholesale"/>
    <x v="11"/>
    <n v="11"/>
    <n v="3685"/>
    <n v="40535"/>
    <n v="2395.25"/>
    <s v="IL"/>
    <s v="Illinois"/>
    <s v="Midwest"/>
    <n v="5685138.2699999996"/>
    <n v="26347.75"/>
    <n v="14187.25"/>
    <n v="35"/>
    <s v="December"/>
    <n v="12"/>
    <s v="2017-12"/>
    <x v="3"/>
  </r>
  <r>
    <s v="SO - 0009578"/>
    <d v="2017-12-24T00:00:00"/>
    <s v="Zoomdog Corp"/>
    <s v="Wholesale"/>
    <x v="9"/>
    <n v="12"/>
    <n v="241.2"/>
    <n v="2894.3999999999996"/>
    <n v="149.54400000000001"/>
    <s v="NY"/>
    <s v="New York"/>
    <s v="Northeast"/>
    <n v="3720639.645"/>
    <n v="1794.528"/>
    <n v="1099.8719999999901"/>
    <n v="37.999999999999901"/>
    <s v="December"/>
    <n v="12"/>
    <s v="2017-12"/>
    <x v="3"/>
  </r>
  <r>
    <s v="SO - 0008499"/>
    <d v="2017-12-24T00:00:00"/>
    <s v="Aveda Group"/>
    <s v="Wholesale"/>
    <x v="3"/>
    <n v="9"/>
    <n v="1051.9000000000001"/>
    <n v="9467.1"/>
    <n v="557.50699999999995"/>
    <s v="NJ"/>
    <s v="New Jersey"/>
    <s v="Northeast"/>
    <n v="1085037.3289999999"/>
    <n v="5017.5630000000001"/>
    <n v="4449.5370000000003"/>
    <n v="47"/>
    <s v="December"/>
    <n v="12"/>
    <s v="2017-12"/>
    <x v="3"/>
  </r>
  <r>
    <s v="SO - 0010507"/>
    <d v="2017-12-24T00:00:00"/>
    <s v="Realcube Company"/>
    <s v="Wholesale"/>
    <x v="26"/>
    <n v="6"/>
    <n v="6009.9"/>
    <n v="36059.399999999994"/>
    <n v="4928.1180000000004"/>
    <s v="CA"/>
    <s v="California"/>
    <s v="West"/>
    <n v="1356976.996"/>
    <n v="29568.707999999999"/>
    <n v="6490.69199999999"/>
    <n v="17.999999999999901"/>
    <s v="December"/>
    <n v="12"/>
    <s v="2017-12"/>
    <x v="3"/>
  </r>
  <r>
    <s v="SO - 000334"/>
    <d v="2017-12-25T00:00:00"/>
    <s v="Holston Company"/>
    <s v="Export"/>
    <x v="1"/>
    <n v="11"/>
    <n v="2586.1999999999998"/>
    <n v="28448.199999999997"/>
    <n v="1629.306"/>
    <s v="CA"/>
    <s v="California"/>
    <s v="West"/>
    <n v="5342315.4840000002"/>
    <n v="17922.366000000002"/>
    <n v="10525.834000000001"/>
    <n v="37"/>
    <s v="December"/>
    <n v="12"/>
    <s v="2017-12"/>
    <x v="3"/>
  </r>
  <r>
    <s v="SO - 0001026"/>
    <d v="2017-12-25T00:00:00"/>
    <s v="Browsetype Corp"/>
    <s v="Export"/>
    <x v="11"/>
    <n v="5"/>
    <n v="3470.6"/>
    <n v="17353"/>
    <n v="1561.77"/>
    <s v="NC"/>
    <s v="North Carolina"/>
    <s v="South"/>
    <n v="5685138.2699999996"/>
    <n v="7808.85"/>
    <n v="9544.15"/>
    <n v="54.999999999999901"/>
    <s v="December"/>
    <n v="12"/>
    <s v="2017-12"/>
    <x v="3"/>
  </r>
  <r>
    <s v="SO - 0001260"/>
    <d v="2017-12-25T00:00:00"/>
    <s v="Liberty Group"/>
    <s v="Wholesale"/>
    <x v="7"/>
    <n v="12"/>
    <n v="2814"/>
    <n v="33768"/>
    <n v="2166.7800000000002"/>
    <s v="WA"/>
    <s v="Washington"/>
    <s v="West"/>
    <n v="3050087.5649999999"/>
    <n v="26001.360000000001"/>
    <n v="7766.6399999999903"/>
    <n v="23"/>
    <s v="December"/>
    <n v="12"/>
    <s v="2017-12"/>
    <x v="3"/>
  </r>
  <r>
    <s v="SO - 0003373"/>
    <d v="2017-12-25T00:00:00"/>
    <s v="Browsebug Company"/>
    <s v="Wholesale"/>
    <x v="6"/>
    <n v="12"/>
    <n v="5534.2"/>
    <n v="66410.399999999994"/>
    <n v="4095.308"/>
    <s v="NY"/>
    <s v="New York"/>
    <s v="Northeast"/>
    <n v="3925424.5419999999"/>
    <n v="49143.695999999902"/>
    <n v="17266.7039999999"/>
    <n v="26"/>
    <s v="December"/>
    <n v="12"/>
    <s v="2017-12"/>
    <x v="3"/>
  </r>
  <r>
    <s v="SO - 0004087"/>
    <d v="2017-12-25T00:00:00"/>
    <s v="H Ltd"/>
    <s v="Export"/>
    <x v="27"/>
    <n v="8"/>
    <n v="1092.0999999999999"/>
    <n v="8736.7999999999993"/>
    <n v="775.39099999999996"/>
    <s v="MD"/>
    <s v="Maryland"/>
    <s v="South"/>
    <n v="2067108.1199999901"/>
    <n v="6203.1279999999997"/>
    <n v="2533.672"/>
    <n v="29"/>
    <s v="December"/>
    <n v="12"/>
    <s v="2017-12"/>
    <x v="3"/>
  </r>
  <r>
    <s v="SO - 0004469"/>
    <d v="2017-12-25T00:00:00"/>
    <s v="Sanofi-Ave Group"/>
    <s v="Wholesale"/>
    <x v="3"/>
    <n v="10"/>
    <n v="3872.6"/>
    <n v="38726"/>
    <n v="2284.8339999999998"/>
    <s v="ID"/>
    <s v="Idaho"/>
    <s v="West"/>
    <n v="1085037.3289999999"/>
    <n v="22848.339999999898"/>
    <n v="15877.66"/>
    <n v="41"/>
    <s v="December"/>
    <n v="12"/>
    <s v="2017-12"/>
    <x v="3"/>
  </r>
  <r>
    <s v="SO - 0004885"/>
    <d v="2017-12-25T00:00:00"/>
    <s v="Jaxbean Group"/>
    <s v="Distributor"/>
    <x v="7"/>
    <n v="8"/>
    <n v="1139"/>
    <n v="9112"/>
    <n v="501.16"/>
    <s v="CT"/>
    <s v="Connecticut"/>
    <s v="Northeast"/>
    <n v="3050087.5649999999"/>
    <n v="4009.28"/>
    <n v="5102.7199999999903"/>
    <n v="55.999999999999901"/>
    <s v="December"/>
    <n v="12"/>
    <s v="2017-12"/>
    <x v="3"/>
  </r>
  <r>
    <s v="SO - 0005309"/>
    <d v="2017-12-25T00:00:00"/>
    <s v="Skyble Corp"/>
    <s v="Export"/>
    <x v="13"/>
    <n v="6"/>
    <n v="3845.8"/>
    <n v="23074.800000000003"/>
    <n v="1653.694"/>
    <s v="NY"/>
    <s v="New York"/>
    <s v="Northeast"/>
    <n v="3299478.3149999999"/>
    <n v="9922.1640000000007"/>
    <n v="13152.636"/>
    <n v="57"/>
    <s v="December"/>
    <n v="12"/>
    <s v="2017-12"/>
    <x v="3"/>
  </r>
  <r>
    <s v="SO - 0006281"/>
    <d v="2017-12-25T00:00:00"/>
    <s v="Rhynoodle Ltd"/>
    <s v="Wholesale"/>
    <x v="16"/>
    <n v="5"/>
    <n v="1788.9"/>
    <n v="8944.5"/>
    <n v="983.89499999999998"/>
    <s v="CO"/>
    <s v="Colorado"/>
    <s v="West"/>
    <n v="3016489.2089999998"/>
    <n v="4919.4750000000004"/>
    <n v="4025.0249999999901"/>
    <n v="44.999999999999901"/>
    <s v="December"/>
    <n v="12"/>
    <s v="2017-12"/>
    <x v="3"/>
  </r>
  <r>
    <s v="SO - 0006855"/>
    <d v="2017-12-25T00:00:00"/>
    <s v="Rhynoodle Ltd"/>
    <s v="Wholesale"/>
    <x v="20"/>
    <n v="9"/>
    <n v="958.1"/>
    <n v="8622.9"/>
    <n v="814.38499999999999"/>
    <s v="NJ"/>
    <s v="New Jersey"/>
    <s v="Northeast"/>
    <n v="964940.23100000003"/>
    <n v="7329.4650000000001"/>
    <n v="1293.4349999999899"/>
    <n v="14.999999999999901"/>
    <s v="December"/>
    <n v="12"/>
    <s v="2017-12"/>
    <x v="3"/>
  </r>
  <r>
    <s v="SO - 0006920"/>
    <d v="2017-12-25T00:00:00"/>
    <s v="Podcat Corp"/>
    <s v="Wholesale"/>
    <x v="25"/>
    <n v="9"/>
    <n v="1018.4"/>
    <n v="9165.6"/>
    <n v="488.83199999999999"/>
    <s v="MI"/>
    <s v="Michigan"/>
    <s v="Midwest"/>
    <n v="889737.55500000005"/>
    <n v="4399.4880000000003"/>
    <n v="4766.1120000000001"/>
    <n v="52"/>
    <s v="December"/>
    <n v="12"/>
    <s v="2017-12"/>
    <x v="3"/>
  </r>
  <r>
    <s v="SO - 0007223"/>
    <d v="2017-12-25T00:00:00"/>
    <s v="Unit Ltd"/>
    <s v="Distributor"/>
    <x v="23"/>
    <n v="9"/>
    <n v="2539.3000000000002"/>
    <n v="22853.7"/>
    <n v="1472.7940000000001"/>
    <s v="CA"/>
    <s v="California"/>
    <s v="West"/>
    <n v="1645841.6"/>
    <n v="13255.146000000001"/>
    <n v="9598.5540000000001"/>
    <n v="42"/>
    <s v="December"/>
    <n v="12"/>
    <s v="2017-12"/>
    <x v="3"/>
  </r>
  <r>
    <s v="SO - 0010416"/>
    <d v="2017-12-25T00:00:00"/>
    <s v="Cantrell Company"/>
    <s v="Wholesale"/>
    <x v="17"/>
    <n v="10"/>
    <n v="3939.6"/>
    <n v="39396"/>
    <n v="2048.5920000000001"/>
    <s v="VA"/>
    <s v="Virginia"/>
    <s v="South"/>
    <n v="2642352.432"/>
    <n v="20485.919999999998"/>
    <n v="18910.0799999999"/>
    <n v="47.999999999999901"/>
    <s v="December"/>
    <n v="12"/>
    <s v="2017-12"/>
    <x v="3"/>
  </r>
  <r>
    <s v="SO - 0002020"/>
    <d v="2017-12-25T00:00:00"/>
    <s v="Blogspan Ltd"/>
    <s v="Wholesale"/>
    <x v="11"/>
    <n v="11"/>
    <n v="2572.8000000000002"/>
    <n v="28300.800000000003"/>
    <n v="1852.4159999999999"/>
    <s v="OR"/>
    <s v="Oregon"/>
    <s v="West"/>
    <n v="5685138.2699999996"/>
    <n v="20376.576000000001"/>
    <n v="7924.2240000000002"/>
    <n v="28"/>
    <s v="December"/>
    <n v="12"/>
    <s v="2017-12"/>
    <x v="3"/>
  </r>
  <r>
    <s v="SO - 0002126"/>
    <d v="2017-12-25T00:00:00"/>
    <s v="Aromaticos Company"/>
    <s v="Distributor"/>
    <x v="2"/>
    <n v="7"/>
    <n v="1038.5"/>
    <n v="7269.5"/>
    <n v="633.48500000000001"/>
    <s v="NC"/>
    <s v="North Carolina"/>
    <s v="South"/>
    <n v="4028698.409"/>
    <n v="4434.3950000000004"/>
    <n v="2835.10499999999"/>
    <n v="38.999999999999901"/>
    <s v="December"/>
    <n v="12"/>
    <s v="2017-12"/>
    <x v="3"/>
  </r>
  <r>
    <s v="SO - 0002196"/>
    <d v="2017-12-25T00:00:00"/>
    <s v="Mydo Corp"/>
    <s v="Wholesale"/>
    <x v="7"/>
    <n v="10"/>
    <n v="1681.7"/>
    <n v="16817"/>
    <n v="908.11800000000005"/>
    <s v="CA"/>
    <s v="California"/>
    <s v="West"/>
    <n v="3050087.5649999999"/>
    <n v="9081.18"/>
    <n v="7735.82"/>
    <n v="46"/>
    <s v="December"/>
    <n v="12"/>
    <s v="2017-12"/>
    <x v="3"/>
  </r>
  <r>
    <s v="SO - 0003643"/>
    <d v="2017-12-25T00:00:00"/>
    <s v="Valeant Corp"/>
    <s v="Wholesale"/>
    <x v="11"/>
    <n v="5"/>
    <n v="1051.9000000000001"/>
    <n v="5259.5"/>
    <n v="725.81100000000004"/>
    <s v="IL"/>
    <s v="Illinois"/>
    <s v="Midwest"/>
    <n v="5685138.2699999996"/>
    <n v="3629.0549999999998"/>
    <n v="1630.4449999999899"/>
    <n v="30.999999999999901"/>
    <s v="December"/>
    <n v="12"/>
    <s v="2017-12"/>
    <x v="3"/>
  </r>
  <r>
    <s v="SO - 0004591"/>
    <d v="2017-12-25T00:00:00"/>
    <s v="Z.H.T. Group"/>
    <s v="Distributor"/>
    <x v="27"/>
    <n v="7"/>
    <n v="6030"/>
    <n v="42210"/>
    <n v="2894.4"/>
    <s v="CA"/>
    <s v="California"/>
    <s v="West"/>
    <n v="2067108.1199999901"/>
    <n v="20260.8"/>
    <n v="21949.200000000001"/>
    <n v="52"/>
    <s v="December"/>
    <n v="12"/>
    <s v="2017-12"/>
    <x v="3"/>
  </r>
  <r>
    <s v="SO - 0004846"/>
    <d v="2017-12-25T00:00:00"/>
    <s v="Golden Corp"/>
    <s v="Export"/>
    <x v="27"/>
    <n v="7"/>
    <n v="1098.8"/>
    <n v="7691.5999999999995"/>
    <n v="791.13599999999997"/>
    <s v="NC"/>
    <s v="North Carolina"/>
    <s v="South"/>
    <n v="2067108.1199999901"/>
    <n v="5537.9519999999902"/>
    <n v="2153.6480000000001"/>
    <n v="28"/>
    <s v="December"/>
    <n v="12"/>
    <s v="2017-12"/>
    <x v="3"/>
  </r>
  <r>
    <s v="SO - 0007078"/>
    <d v="2017-12-25T00:00:00"/>
    <s v="Zoomzone Corp"/>
    <s v="Distributor"/>
    <x v="29"/>
    <n v="7"/>
    <n v="241.2"/>
    <n v="1688.3999999999999"/>
    <n v="202.608"/>
    <s v="OH"/>
    <s v="Ohio"/>
    <s v="Midwest"/>
    <n v="864331.62399999995"/>
    <n v="1418.2560000000001"/>
    <n v="270.14400000000001"/>
    <n v="16"/>
    <s v="December"/>
    <n v="12"/>
    <s v="2017-12"/>
    <x v="3"/>
  </r>
  <r>
    <s v="SO - 0009877"/>
    <d v="2017-12-25T00:00:00"/>
    <s v="Aromaticos Company"/>
    <s v="Wholesale"/>
    <x v="7"/>
    <n v="5"/>
    <n v="6231"/>
    <n v="31155"/>
    <n v="4174.7700000000004"/>
    <s v="IL"/>
    <s v="Illinois"/>
    <s v="Midwest"/>
    <n v="3050087.5649999999"/>
    <n v="20873.849999999999"/>
    <n v="10281.1499999999"/>
    <n v="32.999999999999901"/>
    <s v="December"/>
    <n v="12"/>
    <s v="2017-12"/>
    <x v="3"/>
  </r>
  <r>
    <s v="SO - 000132"/>
    <d v="2017-12-25T00:00:00"/>
    <s v="Yombu Corp"/>
    <s v="Distributor"/>
    <x v="6"/>
    <n v="6"/>
    <n v="5735.2"/>
    <n v="34411.199999999997"/>
    <n v="4186.6959999999999"/>
    <s v="AL"/>
    <s v="Alabama"/>
    <s v="South"/>
    <n v="3925424.5419999999"/>
    <n v="25120.175999999999"/>
    <n v="9291.0239999999903"/>
    <n v="26.999999999999901"/>
    <s v="December"/>
    <n v="12"/>
    <s v="2017-12"/>
    <x v="3"/>
  </r>
  <r>
    <s v="SO - 0001073"/>
    <d v="2017-12-25T00:00:00"/>
    <s v="Revitol Company"/>
    <s v="Wholesale"/>
    <x v="9"/>
    <n v="8"/>
    <n v="1165.8"/>
    <n v="9326.4"/>
    <n v="524.61"/>
    <s v="KY"/>
    <s v="Kentucky"/>
    <s v="South"/>
    <n v="3720639.645"/>
    <n v="4196.88"/>
    <n v="5129.5199999999904"/>
    <n v="54.999999999999901"/>
    <s v="December"/>
    <n v="12"/>
    <s v="2017-12"/>
    <x v="3"/>
  </r>
  <r>
    <s v="SO - 0001771"/>
    <d v="2017-12-25T00:00:00"/>
    <s v="Omba Group"/>
    <s v="Wholesale"/>
    <x v="10"/>
    <n v="10"/>
    <n v="1246.2"/>
    <n v="12462"/>
    <n v="847.41600000000005"/>
    <s v="MI"/>
    <s v="Michigan"/>
    <s v="Midwest"/>
    <n v="1672229.416"/>
    <n v="8474.16"/>
    <n v="3987.84"/>
    <n v="32"/>
    <s v="December"/>
    <n v="12"/>
    <s v="2017-12"/>
    <x v="3"/>
  </r>
  <r>
    <s v="SO - 0002325"/>
    <d v="2017-12-25T00:00:00"/>
    <s v="Nlounge Ltd"/>
    <s v="Wholesale"/>
    <x v="29"/>
    <n v="12"/>
    <n v="978.2"/>
    <n v="11738.400000000001"/>
    <n v="674.95799999999997"/>
    <s v="TX"/>
    <s v="Texas"/>
    <s v="South"/>
    <n v="864331.62399999995"/>
    <n v="8099.4959999999901"/>
    <n v="3638.904"/>
    <n v="31"/>
    <s v="December"/>
    <n v="12"/>
    <s v="2017-12"/>
    <x v="3"/>
  </r>
  <r>
    <s v="SO - 0002762"/>
    <d v="2017-12-25T00:00:00"/>
    <s v="Sanum-Kehl Group"/>
    <s v="Wholesale"/>
    <x v="16"/>
    <n v="12"/>
    <n v="1098.8"/>
    <n v="13185.599999999999"/>
    <n v="813.11199999999997"/>
    <s v="FL"/>
    <s v="Florida"/>
    <s v="South"/>
    <n v="3016489.2089999998"/>
    <n v="9757.3439999999991"/>
    <n v="3428.2559999999899"/>
    <n v="26"/>
    <s v="December"/>
    <n v="12"/>
    <s v="2017-12"/>
    <x v="3"/>
  </r>
  <r>
    <s v="SO - 0005078"/>
    <d v="2017-12-25T00:00:00"/>
    <s v="Vimbo Company"/>
    <s v="Wholesale"/>
    <x v="11"/>
    <n v="5"/>
    <n v="3859.2"/>
    <n v="19296"/>
    <n v="2662.848"/>
    <s v="FL"/>
    <s v="Florida"/>
    <s v="South"/>
    <n v="5685138.2699999996"/>
    <n v="13314.24"/>
    <n v="5981.76"/>
    <n v="31"/>
    <s v="December"/>
    <n v="12"/>
    <s v="2017-12"/>
    <x v="3"/>
  </r>
  <r>
    <s v="SO - 0010546"/>
    <d v="2017-12-25T00:00:00"/>
    <s v="Nars Group"/>
    <s v="Wholesale"/>
    <x v="16"/>
    <n v="12"/>
    <n v="2452.1999999999998"/>
    <n v="29426.399999999998"/>
    <n v="1814.6279999999999"/>
    <s v="MI"/>
    <s v="Michigan"/>
    <s v="Midwest"/>
    <n v="3016489.2089999998"/>
    <n v="21775.536"/>
    <n v="7650.8639999999996"/>
    <n v="26"/>
    <s v="December"/>
    <n v="12"/>
    <s v="2017-12"/>
    <x v="3"/>
  </r>
  <r>
    <s v="SO - 0010146"/>
    <d v="2017-12-25T00:00:00"/>
    <s v="Wise Company"/>
    <s v="Distributor"/>
    <x v="26"/>
    <n v="7"/>
    <n v="2324.9"/>
    <n v="16274.300000000001"/>
    <n v="1069.454"/>
    <s v="GA"/>
    <s v="Georgia"/>
    <s v="South"/>
    <n v="1356976.996"/>
    <n v="7486.1779999999999"/>
    <n v="8788.1219999999994"/>
    <n v="53.999999999999901"/>
    <s v="December"/>
    <n v="12"/>
    <s v="2017-12"/>
    <x v="3"/>
  </r>
  <r>
    <s v="SO - 0009374"/>
    <d v="2017-12-25T00:00:00"/>
    <s v="Blogtags Ltd"/>
    <s v="Export"/>
    <x v="25"/>
    <n v="11"/>
    <n v="2278"/>
    <n v="25058"/>
    <n v="956.76"/>
    <s v="MA"/>
    <s v="Massachusetts"/>
    <s v="Northeast"/>
    <n v="889737.55500000005"/>
    <n v="10524.36"/>
    <n v="14533.64"/>
    <n v="57.999999999999901"/>
    <s v="December"/>
    <n v="12"/>
    <s v="2017-12"/>
    <x v="3"/>
  </r>
  <r>
    <s v="SO - 0009276"/>
    <d v="2017-12-25T00:00:00"/>
    <s v="Shiseido Ltd"/>
    <s v="Distributor"/>
    <x v="17"/>
    <n v="7"/>
    <n v="1688.4"/>
    <n v="11818.800000000001"/>
    <n v="1215.6479999999999"/>
    <s v="MO"/>
    <s v="Missouri"/>
    <s v="Midwest"/>
    <n v="2642352.432"/>
    <n v="8509.5360000000001"/>
    <n v="3309.2640000000001"/>
    <n v="28"/>
    <s v="December"/>
    <n v="12"/>
    <s v="2017-12"/>
    <x v="3"/>
  </r>
  <r>
    <s v="SO - 0010215"/>
    <d v="2017-12-25T00:00:00"/>
    <s v="Zoonder Group"/>
    <s v="Wholesale"/>
    <x v="1"/>
    <n v="7"/>
    <n v="911.2"/>
    <n v="6378.4000000000005"/>
    <n v="646.952"/>
    <s v="NC"/>
    <s v="North Carolina"/>
    <s v="South"/>
    <n v="5342315.4840000002"/>
    <n v="4528.6639999999998"/>
    <n v="1849.7360000000001"/>
    <n v="29"/>
    <s v="December"/>
    <n v="12"/>
    <s v="2017-12"/>
    <x v="3"/>
  </r>
  <r>
    <s v="SO - 000879"/>
    <d v="2017-12-25T00:00:00"/>
    <s v="Good Ltd"/>
    <s v="Wholesale"/>
    <x v="17"/>
    <n v="11"/>
    <n v="3926.2"/>
    <n v="43188.2"/>
    <n v="1766.79"/>
    <s v="CA"/>
    <s v="California"/>
    <s v="West"/>
    <n v="2642352.432"/>
    <n v="19434.689999999999"/>
    <n v="23753.51"/>
    <n v="55"/>
    <s v="December"/>
    <n v="12"/>
    <s v="2017-12"/>
    <x v="3"/>
  </r>
  <r>
    <s v="SO - 0002448"/>
    <d v="2017-12-25T00:00:00"/>
    <s v="Safeway Ltd"/>
    <s v="Distributor"/>
    <x v="10"/>
    <n v="10"/>
    <n v="3953"/>
    <n v="39530"/>
    <n v="2569.4499999999998"/>
    <s v="NJ"/>
    <s v="New Jersey"/>
    <s v="Northeast"/>
    <n v="1672229.416"/>
    <n v="25694.5"/>
    <n v="13835.4999999999"/>
    <n v="34.999999999999901"/>
    <s v="December"/>
    <n v="12"/>
    <s v="2017-12"/>
    <x v="3"/>
  </r>
  <r>
    <s v="SO - 0005521"/>
    <d v="2017-12-25T00:00:00"/>
    <s v="Skyble Corp"/>
    <s v="Export"/>
    <x v="4"/>
    <n v="6"/>
    <n v="1125.5999999999999"/>
    <n v="6753.5999999999995"/>
    <n v="934.24800000000005"/>
    <s v="VA"/>
    <s v="Virginia"/>
    <s v="South"/>
    <n v="2309499.0449999999"/>
    <n v="5605.4880000000003"/>
    <n v="1148.1120000000001"/>
    <n v="17"/>
    <s v="December"/>
    <n v="12"/>
    <s v="2017-12"/>
    <x v="3"/>
  </r>
  <r>
    <s v="SO - 0007546"/>
    <d v="2017-12-25T00:00:00"/>
    <s v="Podcat Corp"/>
    <s v="Distributor"/>
    <x v="12"/>
    <n v="10"/>
    <n v="1748.7"/>
    <n v="17487"/>
    <n v="1381.473"/>
    <s v="NY"/>
    <s v="New York"/>
    <s v="Northeast"/>
    <n v="959899.21799999999"/>
    <n v="13814.73"/>
    <n v="3672.26999999999"/>
    <n v="20.999999999999901"/>
    <s v="December"/>
    <n v="12"/>
    <s v="2017-12"/>
    <x v="3"/>
  </r>
  <r>
    <s v="SO - 0007785"/>
    <d v="2017-12-25T00:00:00"/>
    <s v="Seindni Corp"/>
    <s v="Wholesale"/>
    <x v="1"/>
    <n v="10"/>
    <n v="1139"/>
    <n v="11390"/>
    <n v="672.01"/>
    <s v="VA"/>
    <s v="Virginia"/>
    <s v="South"/>
    <n v="5342315.4840000002"/>
    <n v="6720.1"/>
    <n v="4669.8999999999996"/>
    <n v="41"/>
    <s v="December"/>
    <n v="12"/>
    <s v="2017-12"/>
    <x v="3"/>
  </r>
  <r>
    <s v="SO - 0001508"/>
    <d v="2017-12-25T00:00:00"/>
    <s v="Good Ltd"/>
    <s v="Wholesale"/>
    <x v="1"/>
    <n v="8"/>
    <n v="3959.7"/>
    <n v="31677.599999999999"/>
    <n v="2652.9989999999998"/>
    <s v="CA"/>
    <s v="California"/>
    <s v="West"/>
    <n v="5342315.4840000002"/>
    <n v="21223.991999999998"/>
    <n v="10453.608"/>
    <n v="32.999999999999901"/>
    <s v="December"/>
    <n v="12"/>
    <s v="2017-12"/>
    <x v="3"/>
  </r>
  <r>
    <s v="SO - 0005802"/>
    <d v="2017-12-25T00:00:00"/>
    <s v="Aveda Group"/>
    <s v="Export"/>
    <x v="12"/>
    <n v="7"/>
    <n v="971.5"/>
    <n v="6800.5"/>
    <n v="573.18499999999995"/>
    <s v="FL"/>
    <s v="Florida"/>
    <s v="South"/>
    <n v="959899.21799999999"/>
    <n v="4012.2949999999901"/>
    <n v="2788.2049999999999"/>
    <n v="41"/>
    <s v="December"/>
    <n v="12"/>
    <s v="2017-12"/>
    <x v="3"/>
  </r>
  <r>
    <s v="SO - 0005855"/>
    <d v="2017-12-25T00:00:00"/>
    <s v="Divanoodle Ltd"/>
    <s v="Distributor"/>
    <x v="2"/>
    <n v="11"/>
    <n v="3899.4"/>
    <n v="42893.4"/>
    <n v="2456.6219999999998"/>
    <s v="NV"/>
    <s v="Nevada"/>
    <s v="West"/>
    <n v="4028698.409"/>
    <n v="27022.842000000001"/>
    <n v="15870.557999999901"/>
    <n v="36.999999999999901"/>
    <s v="December"/>
    <n v="12"/>
    <s v="2017-12"/>
    <x v="3"/>
  </r>
  <r>
    <s v="SO - 0006745"/>
    <d v="2017-12-25T00:00:00"/>
    <s v="Clinique Ltd"/>
    <s v="Wholesale"/>
    <x v="19"/>
    <n v="11"/>
    <n v="1802.3"/>
    <n v="19825.3"/>
    <n v="1063.357"/>
    <s v="CT"/>
    <s v="Connecticut"/>
    <s v="Northeast"/>
    <n v="2885560.824"/>
    <n v="11696.927"/>
    <n v="8128.3729999999996"/>
    <n v="41"/>
    <s v="December"/>
    <n v="12"/>
    <s v="2017-12"/>
    <x v="3"/>
  </r>
  <r>
    <s v="SO - 0008037"/>
    <d v="2017-12-25T00:00:00"/>
    <s v="Vinte Group"/>
    <s v="Distributor"/>
    <x v="4"/>
    <n v="11"/>
    <n v="1715.2"/>
    <n v="18867.2"/>
    <n v="1166.336"/>
    <s v="VA"/>
    <s v="Virginia"/>
    <s v="South"/>
    <n v="2309499.0449999999"/>
    <n v="12829.696"/>
    <n v="6037.5039999999999"/>
    <n v="32"/>
    <s v="December"/>
    <n v="12"/>
    <s v="2017-12"/>
    <x v="3"/>
  </r>
  <r>
    <s v="SO - 0009845"/>
    <d v="2017-12-25T00:00:00"/>
    <s v="Linklinks Ltd"/>
    <s v="Export"/>
    <x v="1"/>
    <n v="8"/>
    <n v="3886"/>
    <n v="31088"/>
    <n v="2331.6"/>
    <s v="VA"/>
    <s v="Virginia"/>
    <s v="South"/>
    <n v="5342315.4840000002"/>
    <n v="18652.8"/>
    <n v="12435.2"/>
    <n v="40"/>
    <s v="December"/>
    <n v="12"/>
    <s v="2017-12"/>
    <x v="3"/>
  </r>
  <r>
    <s v="SO - 0010053"/>
    <d v="2017-12-25T00:00:00"/>
    <s v="Vimbo Company"/>
    <s v="Wholesale"/>
    <x v="1"/>
    <n v="9"/>
    <n v="998.3"/>
    <n v="8984.6999999999989"/>
    <n v="838.572"/>
    <s v="TN"/>
    <s v="Tennessee"/>
    <s v="South"/>
    <n v="5342315.4840000002"/>
    <n v="7547.1480000000001"/>
    <n v="1437.5519999999999"/>
    <n v="16"/>
    <s v="December"/>
    <n v="12"/>
    <s v="2017-12"/>
    <x v="3"/>
  </r>
  <r>
    <s v="SO - 0001700"/>
    <d v="2017-12-25T00:00:00"/>
    <s v="Zoovu Corp"/>
    <s v="Wholesale"/>
    <x v="16"/>
    <n v="8"/>
    <n v="857.6"/>
    <n v="6860.8"/>
    <n v="686.08"/>
    <s v="TX"/>
    <s v="Texas"/>
    <s v="South"/>
    <n v="3016489.2089999998"/>
    <n v="5488.64"/>
    <n v="1372.1599999999901"/>
    <n v="20"/>
    <s v="December"/>
    <n v="12"/>
    <s v="2017-12"/>
    <x v="3"/>
  </r>
  <r>
    <s v="SO - 0002062"/>
    <d v="2017-12-25T00:00:00"/>
    <s v="Rochester Group"/>
    <s v="Distributor"/>
    <x v="19"/>
    <n v="7"/>
    <n v="5587.8"/>
    <n v="39114.6"/>
    <n v="2682.1439999999998"/>
    <s v="CA"/>
    <s v="California"/>
    <s v="West"/>
    <n v="2885560.824"/>
    <n v="18775.0079999999"/>
    <n v="20339.592000000001"/>
    <n v="52"/>
    <s v="December"/>
    <n v="12"/>
    <s v="2017-12"/>
    <x v="3"/>
  </r>
  <r>
    <s v="SO - 0004304"/>
    <d v="2017-12-25T00:00:00"/>
    <s v="Liberty Group"/>
    <s v="Export"/>
    <x v="11"/>
    <n v="6"/>
    <n v="1011.7"/>
    <n v="6070.2000000000007"/>
    <n v="455.26499999999999"/>
    <s v="TX"/>
    <s v="Texas"/>
    <s v="South"/>
    <n v="5685138.2699999996"/>
    <n v="2731.59"/>
    <n v="3338.61"/>
    <n v="55"/>
    <s v="December"/>
    <n v="12"/>
    <s v="2017-12"/>
    <x v="3"/>
  </r>
  <r>
    <s v="SO - 0004342"/>
    <d v="2017-12-25T00:00:00"/>
    <s v="Shiseido Ltd"/>
    <s v="Wholesale"/>
    <x v="7"/>
    <n v="7"/>
    <n v="6405.2"/>
    <n v="44836.4"/>
    <n v="4163.38"/>
    <s v="CA"/>
    <s v="California"/>
    <s v="West"/>
    <n v="3050087.5649999999"/>
    <n v="29143.66"/>
    <n v="15692.74"/>
    <n v="35"/>
    <s v="December"/>
    <n v="12"/>
    <s v="2017-12"/>
    <x v="3"/>
  </r>
  <r>
    <s v="SO - 0004646"/>
    <d v="2017-12-25T00:00:00"/>
    <s v="Jabbercube Corp"/>
    <s v="Wholesale"/>
    <x v="1"/>
    <n v="5"/>
    <n v="3859.2"/>
    <n v="19296"/>
    <n v="2855.808"/>
    <s v="OH"/>
    <s v="Ohio"/>
    <s v="Midwest"/>
    <n v="5342315.4840000002"/>
    <n v="14279.04"/>
    <n v="5016.95999999999"/>
    <n v="25.999999999999901"/>
    <s v="December"/>
    <n v="12"/>
    <s v="2017-12"/>
    <x v="3"/>
  </r>
  <r>
    <s v="SO - 0005137"/>
    <d v="2017-12-25T00:00:00"/>
    <s v="Rochester Group"/>
    <s v="Wholesale"/>
    <x v="2"/>
    <n v="5"/>
    <n v="1058.5999999999999"/>
    <n v="5293"/>
    <n v="698.67600000000004"/>
    <s v="NV"/>
    <s v="Nevada"/>
    <s v="West"/>
    <n v="4028698.409"/>
    <n v="3493.38"/>
    <n v="1799.62"/>
    <n v="33.999999999999901"/>
    <s v="December"/>
    <n v="12"/>
    <s v="2017-12"/>
    <x v="3"/>
  </r>
  <r>
    <s v="SO - 0005903"/>
    <d v="2017-12-25T00:00:00"/>
    <s v="Centizu Company"/>
    <s v="Wholesale"/>
    <x v="1"/>
    <n v="7"/>
    <n v="2472.3000000000002"/>
    <n v="17306.100000000002"/>
    <n v="1236.1500000000001"/>
    <s v="UT"/>
    <s v="Utah"/>
    <s v="West"/>
    <n v="5342315.4840000002"/>
    <n v="8653.0499999999993"/>
    <n v="8653.0499999999993"/>
    <n v="50"/>
    <s v="December"/>
    <n v="12"/>
    <s v="2017-12"/>
    <x v="3"/>
  </r>
  <r>
    <s v="SO - 0006185"/>
    <d v="2017-12-25T00:00:00"/>
    <s v="Neutrogena Ltd"/>
    <s v="Distributor"/>
    <x v="17"/>
    <n v="8"/>
    <n v="1078.7"/>
    <n v="8629.6"/>
    <n v="442.267"/>
    <s v="IL"/>
    <s v="Illinois"/>
    <s v="Midwest"/>
    <n v="2642352.432"/>
    <n v="3538.136"/>
    <n v="5091.4639999999999"/>
    <n v="59"/>
    <s v="December"/>
    <n v="12"/>
    <s v="2017-12"/>
    <x v="3"/>
  </r>
  <r>
    <s v="SO - 0003356"/>
    <d v="2017-12-26T00:00:00"/>
    <s v="Zoomzone Corp"/>
    <s v="Wholesale"/>
    <x v="13"/>
    <n v="10"/>
    <n v="1011.7"/>
    <n v="10117"/>
    <n v="627.25400000000002"/>
    <s v="TX"/>
    <s v="Texas"/>
    <s v="South"/>
    <n v="3299478.3149999999"/>
    <n v="6272.54"/>
    <n v="3844.46"/>
    <n v="38"/>
    <s v="December"/>
    <n v="12"/>
    <s v="2017-12"/>
    <x v="3"/>
  </r>
  <r>
    <s v="SO - 0004229"/>
    <d v="2017-12-26T00:00:00"/>
    <s v="Alembic Ltd"/>
    <s v="Wholesale"/>
    <x v="17"/>
    <n v="6"/>
    <n v="1916.2"/>
    <n v="11497.2"/>
    <n v="1207.2059999999999"/>
    <s v="CA"/>
    <s v="California"/>
    <s v="West"/>
    <n v="2642352.432"/>
    <n v="7243.2359999999999"/>
    <n v="4253.9639999999999"/>
    <n v="37"/>
    <s v="December"/>
    <n v="12"/>
    <s v="2017-12"/>
    <x v="3"/>
  </r>
  <r>
    <s v="SO - 0006146"/>
    <d v="2017-12-26T00:00:00"/>
    <s v="Aldi Ltd"/>
    <s v="Distributor"/>
    <x v="19"/>
    <n v="8"/>
    <n v="1078.7"/>
    <n v="8629.6"/>
    <n v="442.267"/>
    <s v="IN"/>
    <s v="Indiana"/>
    <s v="Midwest"/>
    <n v="2885560.824"/>
    <n v="3538.136"/>
    <n v="5091.4639999999999"/>
    <n v="59"/>
    <s v="December"/>
    <n v="12"/>
    <s v="2017-12"/>
    <x v="3"/>
  </r>
  <r>
    <s v="SO - 0006894"/>
    <d v="2017-12-26T00:00:00"/>
    <s v="Epic Group"/>
    <s v="Wholesale"/>
    <x v="10"/>
    <n v="5"/>
    <n v="1018.4"/>
    <n v="5092"/>
    <n v="661.96"/>
    <s v="IA"/>
    <s v="Iowa"/>
    <s v="Midwest"/>
    <n v="1672229.416"/>
    <n v="3309.8"/>
    <n v="1782.19999999999"/>
    <n v="35"/>
    <s v="December"/>
    <n v="12"/>
    <s v="2017-12"/>
    <x v="3"/>
  </r>
  <r>
    <s v="SO - 0010467"/>
    <d v="2017-12-26T00:00:00"/>
    <s v="Terumo Corp"/>
    <s v="Distributor"/>
    <x v="11"/>
    <n v="6"/>
    <n v="1038.5"/>
    <n v="6231"/>
    <n v="768.49"/>
    <s v="MI"/>
    <s v="Michigan"/>
    <s v="Midwest"/>
    <n v="5685138.2699999996"/>
    <n v="4610.9399999999996"/>
    <n v="1620.0599999999899"/>
    <n v="25.999999999999901"/>
    <s v="December"/>
    <n v="12"/>
    <s v="2017-12"/>
    <x v="3"/>
  </r>
  <r>
    <s v="SO - 0009760"/>
    <d v="2017-12-26T00:00:00"/>
    <s v="Vimbo Company"/>
    <s v="Wholesale"/>
    <x v="19"/>
    <n v="8"/>
    <n v="2472.3000000000002"/>
    <n v="19778.400000000001"/>
    <n v="988.92"/>
    <s v="AZ"/>
    <s v="Arizona"/>
    <s v="West"/>
    <n v="2885560.824"/>
    <n v="7911.36"/>
    <n v="11867.04"/>
    <n v="60"/>
    <s v="December"/>
    <n v="12"/>
    <s v="2017-12"/>
    <x v="3"/>
  </r>
  <r>
    <s v="SO - 0002712"/>
    <d v="2017-12-26T00:00:00"/>
    <s v="Voolia Ltd"/>
    <s v="Export"/>
    <x v="7"/>
    <n v="10"/>
    <n v="3932.9"/>
    <n v="39329"/>
    <n v="2123.7660000000001"/>
    <s v="FL"/>
    <s v="Florida"/>
    <s v="South"/>
    <n v="3050087.5649999999"/>
    <n v="21237.66"/>
    <n v="18091.34"/>
    <n v="46"/>
    <s v="December"/>
    <n v="12"/>
    <s v="2017-12"/>
    <x v="3"/>
  </r>
  <r>
    <s v="SO - 0004997"/>
    <d v="2017-12-26T00:00:00"/>
    <s v="Mylan Corp"/>
    <s v="Wholesale"/>
    <x v="16"/>
    <n v="8"/>
    <n v="2231.1"/>
    <n v="17848.8"/>
    <n v="892.44"/>
    <s v="NV"/>
    <s v="Nevada"/>
    <s v="West"/>
    <n v="3016489.2089999998"/>
    <n v="7139.52"/>
    <n v="10709.279999999901"/>
    <n v="60"/>
    <s v="December"/>
    <n v="12"/>
    <s v="2017-12"/>
    <x v="3"/>
  </r>
  <r>
    <s v="SO - 0006064"/>
    <d v="2017-12-26T00:00:00"/>
    <s v="Aveda Group"/>
    <s v="Wholesale"/>
    <x v="16"/>
    <n v="10"/>
    <n v="3959.7"/>
    <n v="39597"/>
    <n v="2930.1779999999999"/>
    <s v="CA"/>
    <s v="California"/>
    <s v="West"/>
    <n v="3016489.2089999998"/>
    <n v="29301.78"/>
    <n v="10295.219999999899"/>
    <n v="25.999999999999901"/>
    <s v="December"/>
    <n v="12"/>
    <s v="2017-12"/>
    <x v="3"/>
  </r>
  <r>
    <s v="SO - 0007530"/>
    <d v="2017-12-26T00:00:00"/>
    <s v="Lazzy Group"/>
    <s v="Export"/>
    <x v="1"/>
    <n v="7"/>
    <n v="6291.3"/>
    <n v="44039.1"/>
    <n v="5158.866"/>
    <s v="CO"/>
    <s v="Colorado"/>
    <s v="West"/>
    <n v="5342315.4840000002"/>
    <n v="36112.061999999998"/>
    <n v="7927.0379999999996"/>
    <n v="18"/>
    <s v="December"/>
    <n v="12"/>
    <s v="2017-12"/>
    <x v="3"/>
  </r>
  <r>
    <s v="SO - 0008008"/>
    <d v="2017-12-26T00:00:00"/>
    <s v="Buzzshare Company"/>
    <s v="Wholesale"/>
    <x v="4"/>
    <n v="11"/>
    <n v="6210.9"/>
    <n v="68319.899999999994"/>
    <n v="3540.2130000000002"/>
    <s v="CA"/>
    <s v="California"/>
    <s v="West"/>
    <n v="2309499.0449999999"/>
    <n v="38942.343000000001"/>
    <n v="29377.557000000001"/>
    <n v="43"/>
    <s v="December"/>
    <n v="12"/>
    <s v="2017-12"/>
    <x v="3"/>
  </r>
  <r>
    <s v="SO - 0008648"/>
    <d v="2017-12-26T00:00:00"/>
    <s v="Rhynoodle Ltd"/>
    <s v="Distributor"/>
    <x v="2"/>
    <n v="6"/>
    <n v="3832.4"/>
    <n v="22994.400000000001"/>
    <n v="3104.2440000000001"/>
    <s v="PA"/>
    <s v="Pennsylvania"/>
    <s v="Northeast"/>
    <n v="4028698.409"/>
    <n v="18625.464"/>
    <n v="4368.9359999999997"/>
    <n v="19"/>
    <s v="December"/>
    <n v="12"/>
    <s v="2017-12"/>
    <x v="3"/>
  </r>
  <r>
    <s v="SO - 0009162"/>
    <d v="2017-12-26T00:00:00"/>
    <s v="Buzzbean Group"/>
    <s v="Export"/>
    <x v="7"/>
    <n v="12"/>
    <n v="3926.2"/>
    <n v="47114.399999999994"/>
    <n v="1845.3140000000001"/>
    <s v="CA"/>
    <s v="California"/>
    <s v="West"/>
    <n v="3050087.5649999999"/>
    <n v="22143.768"/>
    <n v="24970.632000000001"/>
    <n v="53"/>
    <s v="December"/>
    <n v="12"/>
    <s v="2017-12"/>
    <x v="3"/>
  </r>
  <r>
    <s v="SO - 0010410"/>
    <d v="2017-12-26T00:00:00"/>
    <s v="Aibox Company"/>
    <s v="Export"/>
    <x v="2"/>
    <n v="7"/>
    <n v="1755.4"/>
    <n v="12287.800000000001"/>
    <n v="1298.9960000000001"/>
    <s v="NY"/>
    <s v="New York"/>
    <s v="Northeast"/>
    <n v="4028698.409"/>
    <n v="9092.9719999999998"/>
    <n v="3194.82799999999"/>
    <n v="25.999999999999901"/>
    <s v="December"/>
    <n v="12"/>
    <s v="2017-12"/>
    <x v="3"/>
  </r>
  <r>
    <s v="SO - 000114"/>
    <d v="2017-12-26T00:00:00"/>
    <s v="Wise Company"/>
    <s v="Export"/>
    <x v="20"/>
    <n v="9"/>
    <n v="254.6"/>
    <n v="2291.4"/>
    <n v="216.41"/>
    <s v="WA"/>
    <s v="Washington"/>
    <s v="West"/>
    <n v="964940.23100000003"/>
    <n v="1947.69"/>
    <n v="343.71"/>
    <n v="15"/>
    <s v="December"/>
    <n v="12"/>
    <s v="2017-12"/>
    <x v="3"/>
  </r>
  <r>
    <s v="SO - 0001520"/>
    <d v="2017-12-26T00:00:00"/>
    <s v="Sanum-Kehl Group"/>
    <s v="Distributor"/>
    <x v="12"/>
    <n v="9"/>
    <n v="2579.5"/>
    <n v="23215.5"/>
    <n v="1599.29"/>
    <s v="OH"/>
    <s v="Ohio"/>
    <s v="Midwest"/>
    <n v="959899.21799999999"/>
    <n v="14393.61"/>
    <n v="8821.89"/>
    <n v="37.999999999999901"/>
    <s v="December"/>
    <n v="12"/>
    <s v="2017-12"/>
    <x v="3"/>
  </r>
  <r>
    <s v="SO - 0002739"/>
    <d v="2017-12-26T00:00:00"/>
    <s v="Trunyx Ltd"/>
    <s v="Distributor"/>
    <x v="1"/>
    <n v="12"/>
    <n v="3356.7"/>
    <n v="40280.399999999994"/>
    <n v="2316.123"/>
    <s v="IN"/>
    <s v="Indiana"/>
    <s v="Midwest"/>
    <n v="5342315.4840000002"/>
    <n v="27793.475999999999"/>
    <n v="12486.923999999901"/>
    <n v="30.999999999999901"/>
    <s v="December"/>
    <n v="12"/>
    <s v="2017-12"/>
    <x v="3"/>
  </r>
  <r>
    <s v="SO - 0003199"/>
    <d v="2017-12-26T00:00:00"/>
    <s v="Meejo Corp"/>
    <s v="Wholesale"/>
    <x v="1"/>
    <n v="7"/>
    <n v="3865.9"/>
    <n v="27061.3"/>
    <n v="1700.9960000000001"/>
    <s v="NJ"/>
    <s v="New Jersey"/>
    <s v="Northeast"/>
    <n v="5342315.4840000002"/>
    <n v="11906.972"/>
    <n v="15154.327999999899"/>
    <n v="55.999999999999901"/>
    <s v="December"/>
    <n v="12"/>
    <s v="2017-12"/>
    <x v="3"/>
  </r>
  <r>
    <s v="SO - 0004141"/>
    <d v="2017-12-26T00:00:00"/>
    <s v="Viva Ltd"/>
    <s v="Export"/>
    <x v="11"/>
    <n v="7"/>
    <n v="6485.6"/>
    <n v="45399.200000000004"/>
    <n v="2723.9520000000002"/>
    <s v="CT"/>
    <s v="Connecticut"/>
    <s v="Northeast"/>
    <n v="5685138.2699999996"/>
    <n v="19067.664000000001"/>
    <n v="26331.536"/>
    <n v="58"/>
    <s v="December"/>
    <n v="12"/>
    <s v="2017-12"/>
    <x v="3"/>
  </r>
  <r>
    <s v="SO - 0008348"/>
    <d v="2017-12-26T00:00:00"/>
    <s v="Supervalu Ltd"/>
    <s v="Wholesale"/>
    <x v="13"/>
    <n v="8"/>
    <n v="6485.6"/>
    <n v="51884.800000000003"/>
    <n v="4734.4880000000003"/>
    <s v="CA"/>
    <s v="California"/>
    <s v="West"/>
    <n v="3299478.3149999999"/>
    <n v="37875.904000000002"/>
    <n v="14008.896000000001"/>
    <n v="27"/>
    <s v="December"/>
    <n v="12"/>
    <s v="2017-12"/>
    <x v="3"/>
  </r>
  <r>
    <s v="SO - 0009428"/>
    <d v="2017-12-26T00:00:00"/>
    <s v="Browsetype Corp"/>
    <s v="Wholesale"/>
    <x v="11"/>
    <n v="6"/>
    <n v="1943"/>
    <n v="11658"/>
    <n v="1165.8"/>
    <s v="FL"/>
    <s v="Florida"/>
    <s v="South"/>
    <n v="5685138.2699999996"/>
    <n v="6994.7999999999902"/>
    <n v="4663.2"/>
    <n v="40"/>
    <s v="December"/>
    <n v="12"/>
    <s v="2017-12"/>
    <x v="3"/>
  </r>
  <r>
    <s v="SO - 0008533"/>
    <d v="2017-12-26T00:00:00"/>
    <s v="Yodoo Ltd"/>
    <s v="Distributor"/>
    <x v="13"/>
    <n v="7"/>
    <n v="2680"/>
    <n v="18760"/>
    <n v="2278"/>
    <s v="CO"/>
    <s v="Colorado"/>
    <s v="West"/>
    <n v="3299478.3149999999"/>
    <n v="15946"/>
    <n v="2814"/>
    <n v="15"/>
    <s v="December"/>
    <n v="12"/>
    <s v="2017-12"/>
    <x v="3"/>
  </r>
  <r>
    <s v="SO - 0010087"/>
    <d v="2017-12-26T00:00:00"/>
    <s v="Skyble Corp"/>
    <s v="Distributor"/>
    <x v="18"/>
    <n v="5"/>
    <n v="1005"/>
    <n v="5025"/>
    <n v="592.94999999999902"/>
    <s v="IL"/>
    <s v="Illinois"/>
    <s v="Midwest"/>
    <n v="1135815.7579999999"/>
    <n v="2964.74999999999"/>
    <n v="2060.25"/>
    <n v="41"/>
    <s v="December"/>
    <n v="12"/>
    <s v="2017-12"/>
    <x v="3"/>
  </r>
  <r>
    <s v="SO - 0008318"/>
    <d v="2017-12-26T00:00:00"/>
    <s v="Vitz Company"/>
    <s v="Wholesale"/>
    <x v="1"/>
    <n v="8"/>
    <n v="3845.8"/>
    <n v="30766.400000000001"/>
    <n v="2499.77"/>
    <s v="FL"/>
    <s v="Florida"/>
    <s v="South"/>
    <n v="5342315.4840000002"/>
    <n v="19998.16"/>
    <n v="10768.24"/>
    <n v="35"/>
    <s v="December"/>
    <n v="12"/>
    <s v="2017-12"/>
    <x v="3"/>
  </r>
  <r>
    <s v="SO - 000515"/>
    <d v="2017-12-26T00:00:00"/>
    <s v="Browsebug Company"/>
    <s v="Wholesale"/>
    <x v="1"/>
    <n v="7"/>
    <n v="1829.1"/>
    <n v="12803.699999999999"/>
    <n v="1463.28"/>
    <s v="MO"/>
    <s v="Missouri"/>
    <s v="Midwest"/>
    <n v="5342315.4840000002"/>
    <n v="10242.959999999999"/>
    <n v="2560.7399999999998"/>
    <n v="20"/>
    <s v="December"/>
    <n v="12"/>
    <s v="2017-12"/>
    <x v="3"/>
  </r>
  <r>
    <s v="SO - 0002755"/>
    <d v="2017-12-26T00:00:00"/>
    <s v="Natures Group"/>
    <s v="Distributor"/>
    <x v="9"/>
    <n v="10"/>
    <n v="904.5"/>
    <n v="9045"/>
    <n v="606.01499999999999"/>
    <s v="IL"/>
    <s v="Illinois"/>
    <s v="Midwest"/>
    <n v="3720639.645"/>
    <n v="6060.15"/>
    <n v="2984.85"/>
    <n v="33"/>
    <s v="December"/>
    <n v="12"/>
    <s v="2017-12"/>
    <x v="3"/>
  </r>
  <r>
    <s v="SO - 0004444"/>
    <d v="2017-12-26T00:00:00"/>
    <s v="Zooxo Ltd"/>
    <s v="Wholesale"/>
    <x v="6"/>
    <n v="5"/>
    <n v="1051.9000000000001"/>
    <n v="5259.5"/>
    <n v="746.84900000000005"/>
    <s v="SC"/>
    <s v="South Carolina"/>
    <s v="South"/>
    <n v="3925424.5419999999"/>
    <n v="3734.2449999999999"/>
    <n v="1525.2549999999901"/>
    <n v="28.999999999999901"/>
    <s v="December"/>
    <n v="12"/>
    <s v="2017-12"/>
    <x v="3"/>
  </r>
  <r>
    <s v="SO - 0006252"/>
    <d v="2017-12-26T00:00:00"/>
    <s v="Clinique Ltd"/>
    <s v="Wholesale"/>
    <x v="0"/>
    <n v="9"/>
    <n v="1326.6"/>
    <n v="11939.4"/>
    <n v="1061.28"/>
    <s v="IL"/>
    <s v="Illinois"/>
    <s v="Midwest"/>
    <n v="1011609.684"/>
    <n v="9551.52"/>
    <n v="2387.8799999999901"/>
    <n v="19.999999999999901"/>
    <s v="December"/>
    <n v="12"/>
    <s v="2017-12"/>
    <x v="3"/>
  </r>
  <r>
    <s v="SO - 0007542"/>
    <d v="2017-12-26T00:00:00"/>
    <s v="Walgreen Corp"/>
    <s v="Wholesale"/>
    <x v="24"/>
    <n v="9"/>
    <n v="3899.4"/>
    <n v="35094.6"/>
    <n v="3275.4960000000001"/>
    <s v="IL"/>
    <s v="Illinois"/>
    <s v="Midwest"/>
    <n v="594471.56999999995"/>
    <n v="29479.464"/>
    <n v="5615.1359999999904"/>
    <n v="15.999999999999901"/>
    <s v="December"/>
    <n v="12"/>
    <s v="2017-12"/>
    <x v="3"/>
  </r>
  <r>
    <s v="SO - 0007743"/>
    <d v="2017-12-26T00:00:00"/>
    <s v="Arbor Company"/>
    <s v="Wholesale"/>
    <x v="21"/>
    <n v="8"/>
    <n v="2398.6"/>
    <n v="19188.8"/>
    <n v="1151.328"/>
    <s v="MN"/>
    <s v="Minnesota"/>
    <s v="Midwest"/>
    <n v="1230458.4839999999"/>
    <n v="9210.6239999999998"/>
    <n v="9978.1759999999995"/>
    <n v="52"/>
    <s v="December"/>
    <n v="12"/>
    <s v="2017-12"/>
    <x v="3"/>
  </r>
  <r>
    <s v="SO - 0001225"/>
    <d v="2017-12-26T00:00:00"/>
    <s v="Liberty Group"/>
    <s v="Wholesale"/>
    <x v="2"/>
    <n v="12"/>
    <n v="3892.7"/>
    <n v="46712.399999999994"/>
    <n v="1868.4960000000001"/>
    <s v="ND"/>
    <s v="North Dakota"/>
    <s v="Midwest"/>
    <n v="4028698.409"/>
    <n v="22421.952000000001"/>
    <n v="24290.448"/>
    <n v="52"/>
    <s v="December"/>
    <n v="12"/>
    <s v="2017-12"/>
    <x v="3"/>
  </r>
  <r>
    <s v="SO - 0002311"/>
    <d v="2017-12-26T00:00:00"/>
    <s v="Unit Ltd"/>
    <s v="Wholesale"/>
    <x v="2"/>
    <n v="7"/>
    <n v="1922.9"/>
    <n v="13460.300000000001"/>
    <n v="1519.0909999999999"/>
    <s v="WY"/>
    <s v="Wyoming"/>
    <s v="West"/>
    <n v="4028698.409"/>
    <n v="10633.637000000001"/>
    <n v="2826.663"/>
    <n v="21"/>
    <s v="December"/>
    <n v="12"/>
    <s v="2017-12"/>
    <x v="3"/>
  </r>
  <r>
    <s v="SO - 0002432"/>
    <d v="2017-12-26T00:00:00"/>
    <s v="Linklinks Ltd"/>
    <s v="Distributor"/>
    <x v="9"/>
    <n v="7"/>
    <n v="3906.1"/>
    <n v="27342.7"/>
    <n v="1562.44"/>
    <s v="CA"/>
    <s v="California"/>
    <s v="West"/>
    <n v="3720639.645"/>
    <n v="10937.08"/>
    <n v="16405.62"/>
    <n v="60"/>
    <s v="December"/>
    <n v="12"/>
    <s v="2017-12"/>
    <x v="3"/>
  </r>
  <r>
    <s v="SO - 0003058"/>
    <d v="2017-12-26T00:00:00"/>
    <s v="Skyvu Group"/>
    <s v="Distributor"/>
    <x v="10"/>
    <n v="10"/>
    <n v="194.3"/>
    <n v="1943"/>
    <n v="163.21199999999999"/>
    <s v="MA"/>
    <s v="Massachusetts"/>
    <s v="Northeast"/>
    <n v="1672229.416"/>
    <n v="1632.12"/>
    <n v="310.87999999999897"/>
    <n v="15.999999999999901"/>
    <s v="December"/>
    <n v="12"/>
    <s v="2017-12"/>
    <x v="3"/>
  </r>
  <r>
    <s v="SO - 0008792"/>
    <d v="2017-12-26T00:00:00"/>
    <s v="Feednation Corp"/>
    <s v="Wholesale"/>
    <x v="9"/>
    <n v="11"/>
    <n v="3872.6"/>
    <n v="42598.6"/>
    <n v="2517.19"/>
    <s v="CA"/>
    <s v="California"/>
    <s v="West"/>
    <n v="3720639.645"/>
    <n v="27689.09"/>
    <n v="14909.5099999999"/>
    <n v="35"/>
    <s v="December"/>
    <n v="12"/>
    <s v="2017-12"/>
    <x v="3"/>
  </r>
  <r>
    <s v="SO - 0009455"/>
    <d v="2017-12-26T00:00:00"/>
    <s v="Cardinal Group"/>
    <s v="Distributor"/>
    <x v="6"/>
    <n v="9"/>
    <n v="3939.6"/>
    <n v="35456.400000000001"/>
    <n v="2481.9479999999999"/>
    <s v="MI"/>
    <s v="Michigan"/>
    <s v="Midwest"/>
    <n v="3925424.5419999999"/>
    <n v="22337.531999999999"/>
    <n v="13118.868"/>
    <n v="37"/>
    <s v="December"/>
    <n v="12"/>
    <s v="2017-12"/>
    <x v="3"/>
  </r>
  <r>
    <s v="SO - 0008662"/>
    <d v="2017-12-26T00:00:00"/>
    <s v="Twitterbri Ltd"/>
    <s v="Wholesale"/>
    <x v="19"/>
    <n v="9"/>
    <n v="730.3"/>
    <n v="6572.7"/>
    <n v="584.24"/>
    <s v="CA"/>
    <s v="California"/>
    <s v="West"/>
    <n v="2885560.824"/>
    <n v="5258.16"/>
    <n v="1314.54"/>
    <n v="20"/>
    <s v="December"/>
    <n v="12"/>
    <s v="2017-12"/>
    <x v="3"/>
  </r>
  <r>
    <s v="SO - 0009076"/>
    <d v="2017-12-26T00:00:00"/>
    <s v="Blogspan Ltd"/>
    <s v="Distributor"/>
    <x v="14"/>
    <n v="12"/>
    <n v="5822.3"/>
    <n v="69867.600000000006"/>
    <n v="4599.6170000000002"/>
    <s v="IN"/>
    <s v="Indiana"/>
    <s v="Midwest"/>
    <n v="2119616.824"/>
    <n v="55195.404000000002"/>
    <n v="14672.196"/>
    <n v="21"/>
    <s v="December"/>
    <n v="12"/>
    <s v="2017-12"/>
    <x v="3"/>
  </r>
  <r>
    <s v="SO - 0001220"/>
    <d v="2017-12-26T00:00:00"/>
    <s v="Shuffledri Group"/>
    <s v="Wholesale"/>
    <x v="21"/>
    <n v="7"/>
    <n v="3886"/>
    <n v="27202"/>
    <n v="2059.58"/>
    <s v="IL"/>
    <s v="Illinois"/>
    <s v="Midwest"/>
    <n v="1230458.4839999999"/>
    <n v="14417.06"/>
    <n v="12784.94"/>
    <n v="47"/>
    <s v="December"/>
    <n v="12"/>
    <s v="2017-12"/>
    <x v="3"/>
  </r>
  <r>
    <s v="SO - 0001867"/>
    <d v="2017-12-26T00:00:00"/>
    <s v="Browsebug Company"/>
    <s v="Wholesale"/>
    <x v="16"/>
    <n v="12"/>
    <n v="2566.1"/>
    <n v="30793.199999999997"/>
    <n v="1693.626"/>
    <s v="WI"/>
    <s v="Wisconsin"/>
    <s v="Midwest"/>
    <n v="3016489.2089999998"/>
    <n v="20323.511999999999"/>
    <n v="10469.6879999999"/>
    <n v="34"/>
    <s v="December"/>
    <n v="12"/>
    <s v="2017-12"/>
    <x v="3"/>
  </r>
  <r>
    <s v="SO - 0002641"/>
    <d v="2017-12-26T00:00:00"/>
    <s v="Camido Company"/>
    <s v="Wholesale"/>
    <x v="13"/>
    <n v="10"/>
    <n v="2613"/>
    <n v="26130"/>
    <n v="1620.06"/>
    <s v="MI"/>
    <s v="Michigan"/>
    <s v="Midwest"/>
    <n v="3299478.3149999999"/>
    <n v="16200.5999999999"/>
    <n v="9929.4"/>
    <n v="38"/>
    <s v="December"/>
    <n v="12"/>
    <s v="2017-12"/>
    <x v="3"/>
  </r>
  <r>
    <s v="SO - 0002935"/>
    <d v="2017-12-26T00:00:00"/>
    <s v="Alk-Abello Ltd"/>
    <s v="Wholesale"/>
    <x v="14"/>
    <n v="5"/>
    <n v="3926.2"/>
    <n v="19631"/>
    <n v="2237.9339999999902"/>
    <s v="NY"/>
    <s v="New York"/>
    <s v="Northeast"/>
    <n v="2119616.824"/>
    <n v="11189.6699999999"/>
    <n v="8441.33"/>
    <n v="43"/>
    <s v="December"/>
    <n v="12"/>
    <s v="2017-12"/>
    <x v="3"/>
  </r>
  <r>
    <s v="SO - 0004608"/>
    <d v="2017-12-26T00:00:00"/>
    <s v="Cantrell Company"/>
    <s v="Distributor"/>
    <x v="28"/>
    <n v="9"/>
    <n v="1085.4000000000001"/>
    <n v="9768.6"/>
    <n v="922.59"/>
    <s v="FL"/>
    <s v="Florida"/>
    <s v="South"/>
    <n v="756557.97"/>
    <n v="8303.31"/>
    <n v="1465.29"/>
    <n v="15"/>
    <s v="December"/>
    <n v="12"/>
    <s v="2017-12"/>
    <x v="3"/>
  </r>
  <r>
    <s v="SO - 0006923"/>
    <d v="2017-12-26T00:00:00"/>
    <s v="Realcube Company"/>
    <s v="Wholesale"/>
    <x v="9"/>
    <n v="5"/>
    <n v="3886"/>
    <n v="19430"/>
    <n v="2681.3399999999901"/>
    <s v="TX"/>
    <s v="Texas"/>
    <s v="South"/>
    <n v="3720639.645"/>
    <n v="13406.699999999901"/>
    <n v="6023.3"/>
    <n v="31"/>
    <s v="December"/>
    <n v="12"/>
    <s v="2017-12"/>
    <x v="3"/>
  </r>
  <r>
    <s v="SO - 0002303"/>
    <d v="2017-12-27T00:00:00"/>
    <s v="Topco Company"/>
    <s v="Wholesale"/>
    <x v="25"/>
    <n v="8"/>
    <n v="3953"/>
    <n v="31624"/>
    <n v="2529.92"/>
    <s v="SD"/>
    <s v="South Dakota"/>
    <s v="Midwest"/>
    <n v="889737.55500000005"/>
    <n v="20239.36"/>
    <n v="11384.64"/>
    <n v="36"/>
    <s v="December"/>
    <n v="12"/>
    <s v="2017-12"/>
    <x v="3"/>
  </r>
  <r>
    <s v="SO - 0003173"/>
    <d v="2017-12-27T00:00:00"/>
    <s v="Browsetype Corp"/>
    <s v="Wholesale"/>
    <x v="2"/>
    <n v="6"/>
    <n v="3470.6"/>
    <n v="20823.599999999999"/>
    <n v="1943.5360000000001"/>
    <s v="FL"/>
    <s v="Florida"/>
    <s v="South"/>
    <n v="4028698.409"/>
    <n v="11661.216"/>
    <n v="9162.3839999999891"/>
    <n v="43.999999999999901"/>
    <s v="December"/>
    <n v="12"/>
    <s v="2017-12"/>
    <x v="3"/>
  </r>
  <r>
    <s v="SO - 0005197"/>
    <d v="2017-12-27T00:00:00"/>
    <s v="Vinte Group"/>
    <s v="Export"/>
    <x v="12"/>
    <n v="10"/>
    <n v="174.2"/>
    <n v="1742"/>
    <n v="102.77800000000001"/>
    <s v="TX"/>
    <s v="Texas"/>
    <s v="South"/>
    <n v="959899.21799999999"/>
    <n v="1027.78"/>
    <n v="714.22"/>
    <n v="41"/>
    <s v="December"/>
    <n v="12"/>
    <s v="2017-12"/>
    <x v="3"/>
  </r>
  <r>
    <s v="SO - 0007180"/>
    <d v="2017-12-27T00:00:00"/>
    <s v="Cantrell Company"/>
    <s v="Wholesale"/>
    <x v="27"/>
    <n v="7"/>
    <n v="1051.9000000000001"/>
    <n v="7363.3000000000011"/>
    <n v="841.52"/>
    <s v="IN"/>
    <s v="Indiana"/>
    <s v="Midwest"/>
    <n v="2067108.1199999901"/>
    <n v="5890.64"/>
    <n v="1472.66"/>
    <n v="20"/>
    <s v="December"/>
    <n v="12"/>
    <s v="2017-12"/>
    <x v="3"/>
  </r>
  <r>
    <s v="SO - 000514"/>
    <d v="2017-12-27T00:00:00"/>
    <s v="Blogspan Ltd"/>
    <s v="Wholesale"/>
    <x v="2"/>
    <n v="7"/>
    <n v="3966.4"/>
    <n v="27764.799999999999"/>
    <n v="3054.1280000000002"/>
    <s v="CA"/>
    <s v="California"/>
    <s v="West"/>
    <n v="4028698.409"/>
    <n v="21378.896000000001"/>
    <n v="6385.9039999999904"/>
    <n v="22.999999999999901"/>
    <s v="December"/>
    <n v="12"/>
    <s v="2017-12"/>
    <x v="3"/>
  </r>
  <r>
    <s v="SO - 000833"/>
    <d v="2017-12-27T00:00:00"/>
    <s v="Aveda Group"/>
    <s v="Wholesale"/>
    <x v="19"/>
    <n v="11"/>
    <n v="1145.7"/>
    <n v="12602.7"/>
    <n v="687.42"/>
    <s v="TX"/>
    <s v="Texas"/>
    <s v="South"/>
    <n v="2885560.824"/>
    <n v="7561.62"/>
    <n v="5041.08"/>
    <n v="40"/>
    <s v="December"/>
    <n v="12"/>
    <s v="2017-12"/>
    <x v="3"/>
  </r>
  <r>
    <s v="SO - 0001775"/>
    <d v="2017-12-27T00:00:00"/>
    <s v="Cogilith Group"/>
    <s v="Wholesale"/>
    <x v="1"/>
    <n v="6"/>
    <n v="1159.0999999999999"/>
    <n v="6954.5999999999995"/>
    <n v="753.41499999999996"/>
    <s v="IN"/>
    <s v="Indiana"/>
    <s v="Midwest"/>
    <n v="5342315.4840000002"/>
    <n v="4520.49"/>
    <n v="2434.1099999999901"/>
    <n v="34.999999999999901"/>
    <s v="December"/>
    <n v="12"/>
    <s v="2017-12"/>
    <x v="3"/>
  </r>
  <r>
    <s v="SO - 0002084"/>
    <d v="2017-12-27T00:00:00"/>
    <s v="Internatio Company"/>
    <s v="Distributor"/>
    <x v="27"/>
    <n v="8"/>
    <n v="6445.4"/>
    <n v="51563.199999999997"/>
    <n v="4705.1419999999998"/>
    <s v="WA"/>
    <s v="Washington"/>
    <s v="West"/>
    <n v="2067108.1199999901"/>
    <n v="37641.135999999999"/>
    <n v="13922.0639999999"/>
    <n v="26.999999999999901"/>
    <s v="December"/>
    <n v="12"/>
    <s v="2017-12"/>
    <x v="3"/>
  </r>
  <r>
    <s v="SO - 0003654"/>
    <d v="2017-12-27T00:00:00"/>
    <s v="Cogilith Group"/>
    <s v="Export"/>
    <x v="23"/>
    <n v="12"/>
    <n v="737"/>
    <n v="8844"/>
    <n v="582.23"/>
    <s v="AZ"/>
    <s v="Arizona"/>
    <s v="West"/>
    <n v="1645841.6"/>
    <n v="6986.76"/>
    <n v="1857.23999999999"/>
    <n v="20.999999999999901"/>
    <s v="December"/>
    <n v="12"/>
    <s v="2017-12"/>
    <x v="3"/>
  </r>
  <r>
    <s v="SO - 0005217"/>
    <d v="2017-12-27T00:00:00"/>
    <s v="Gigabox Group"/>
    <s v="Distributor"/>
    <x v="20"/>
    <n v="7"/>
    <n v="1983.2"/>
    <n v="13882.4"/>
    <n v="1487.4"/>
    <s v="WA"/>
    <s v="Washington"/>
    <s v="West"/>
    <n v="964940.23100000003"/>
    <n v="10411.799999999999"/>
    <n v="3470.5999999999899"/>
    <n v="24.999999999999901"/>
    <s v="December"/>
    <n v="12"/>
    <s v="2017-12"/>
    <x v="3"/>
  </r>
  <r>
    <s v="SO - 0006198"/>
    <d v="2017-12-27T00:00:00"/>
    <s v="Mita Corp"/>
    <s v="Wholesale"/>
    <x v="21"/>
    <n v="8"/>
    <n v="1701.8"/>
    <n v="13614.4"/>
    <n v="1021.07999999999"/>
    <s v="TN"/>
    <s v="Tennessee"/>
    <s v="South"/>
    <n v="1230458.4839999999"/>
    <n v="8168.6399999999903"/>
    <n v="5445.76"/>
    <n v="40"/>
    <s v="December"/>
    <n v="12"/>
    <s v="2017-12"/>
    <x v="3"/>
  </r>
  <r>
    <s v="SO - 0006726"/>
    <d v="2017-12-27T00:00:00"/>
    <s v="Bluezoom Group"/>
    <s v="Wholesale"/>
    <x v="10"/>
    <n v="9"/>
    <n v="1018.4"/>
    <n v="9165.6"/>
    <n v="712.88"/>
    <s v="FL"/>
    <s v="Florida"/>
    <s v="South"/>
    <n v="1672229.416"/>
    <n v="6415.92"/>
    <n v="2749.68"/>
    <n v="30"/>
    <s v="December"/>
    <n v="12"/>
    <s v="2017-12"/>
    <x v="3"/>
  </r>
  <r>
    <s v="SO - 0008093"/>
    <d v="2017-12-27T00:00:00"/>
    <s v="General Company"/>
    <s v="Distributor"/>
    <x v="2"/>
    <n v="5"/>
    <n v="1011.7"/>
    <n v="5058.5"/>
    <n v="566.55200000000002"/>
    <s v="CA"/>
    <s v="California"/>
    <s v="West"/>
    <n v="4028698.409"/>
    <n v="2832.76"/>
    <n v="2225.7399999999898"/>
    <n v="43.999999999999901"/>
    <s v="December"/>
    <n v="12"/>
    <s v="2017-12"/>
    <x v="3"/>
  </r>
  <r>
    <s v="SO - 0008490"/>
    <d v="2017-12-27T00:00:00"/>
    <s v="Bb17 Company"/>
    <s v="Wholesale"/>
    <x v="4"/>
    <n v="8"/>
    <n v="2599.6"/>
    <n v="20796.8"/>
    <n v="2105.6759999999999"/>
    <s v="IL"/>
    <s v="Illinois"/>
    <s v="Midwest"/>
    <n v="2309499.0449999999"/>
    <n v="16845.407999999999"/>
    <n v="3951.3919999999998"/>
    <n v="19"/>
    <s v="December"/>
    <n v="12"/>
    <s v="2017-12"/>
    <x v="3"/>
  </r>
  <r>
    <s v="SO - 000816"/>
    <d v="2017-12-27T00:00:00"/>
    <s v="Divanoodle Ltd"/>
    <s v="Wholesale"/>
    <x v="4"/>
    <n v="11"/>
    <n v="5494"/>
    <n v="60434"/>
    <n v="3845.7999999999902"/>
    <s v="NJ"/>
    <s v="New Jersey"/>
    <s v="Northeast"/>
    <n v="2309499.0449999999"/>
    <n v="42303.799999999901"/>
    <n v="18130.2"/>
    <n v="30"/>
    <s v="December"/>
    <n v="12"/>
    <s v="2017-12"/>
    <x v="3"/>
  </r>
  <r>
    <s v="SO - 0001162"/>
    <d v="2017-12-27T00:00:00"/>
    <s v="Buzzbean Group"/>
    <s v="Export"/>
    <x v="17"/>
    <n v="6"/>
    <n v="6331.5"/>
    <n v="37989"/>
    <n v="2532.6"/>
    <s v="FL"/>
    <s v="Florida"/>
    <s v="South"/>
    <n v="2642352.432"/>
    <n v="15195.6"/>
    <n v="22793.3999999999"/>
    <n v="60"/>
    <s v="December"/>
    <n v="12"/>
    <s v="2017-12"/>
    <x v="3"/>
  </r>
  <r>
    <s v="SO - 0005495"/>
    <d v="2017-12-27T00:00:00"/>
    <s v="Sanum-Kehl Group"/>
    <s v="Distributor"/>
    <x v="16"/>
    <n v="5"/>
    <n v="2358.4"/>
    <n v="11792"/>
    <n v="990.52800000000002"/>
    <s v="WA"/>
    <s v="Washington"/>
    <s v="West"/>
    <n v="3016489.2089999998"/>
    <n v="4952.6400000000003"/>
    <n v="6839.36"/>
    <n v="57.999999999999901"/>
    <s v="December"/>
    <n v="12"/>
    <s v="2017-12"/>
    <x v="3"/>
  </r>
  <r>
    <s v="SO - 0009079"/>
    <d v="2017-12-27T00:00:00"/>
    <s v="Zoonoodle Ltd"/>
    <s v="Distributor"/>
    <x v="21"/>
    <n v="5"/>
    <n v="5956.3"/>
    <n v="29781.5"/>
    <n v="3216.402"/>
    <s v="CA"/>
    <s v="California"/>
    <s v="West"/>
    <n v="1230458.4839999999"/>
    <n v="16082.01"/>
    <n v="13699.4899999999"/>
    <n v="45.999999999999901"/>
    <s v="December"/>
    <n v="12"/>
    <s v="2017-12"/>
    <x v="3"/>
  </r>
  <r>
    <s v="SO - 0008498"/>
    <d v="2017-12-27T00:00:00"/>
    <s v="Realbuzz Ltd"/>
    <s v="Distributor"/>
    <x v="12"/>
    <n v="7"/>
    <n v="2726.9"/>
    <n v="19088.3"/>
    <n v="2045.175"/>
    <s v="NC"/>
    <s v="North Carolina"/>
    <s v="South"/>
    <n v="959899.21799999999"/>
    <n v="14316.225"/>
    <n v="4772.0749999999898"/>
    <n v="24.999999999999901"/>
    <s v="December"/>
    <n v="12"/>
    <s v="2017-12"/>
    <x v="3"/>
  </r>
  <r>
    <s v="SO - 0009481"/>
    <d v="2017-12-27T00:00:00"/>
    <s v="Skyvu Group"/>
    <s v="Export"/>
    <x v="13"/>
    <n v="11"/>
    <n v="1125.5999999999999"/>
    <n v="12381.599999999999"/>
    <n v="529.03200000000004"/>
    <s v="CA"/>
    <s v="California"/>
    <s v="West"/>
    <n v="3299478.3149999999"/>
    <n v="5819.3519999999999"/>
    <n v="6562.2479999999996"/>
    <n v="53"/>
    <s v="December"/>
    <n v="12"/>
    <s v="2017-12"/>
    <x v="3"/>
  </r>
  <r>
    <s v="SO - 000990"/>
    <d v="2017-12-27T00:00:00"/>
    <s v="Sanum-Kehl Group"/>
    <s v="Wholesale"/>
    <x v="29"/>
    <n v="5"/>
    <n v="1065.3"/>
    <n v="5326.5"/>
    <n v="649.83299999999997"/>
    <s v="TX"/>
    <s v="Texas"/>
    <s v="South"/>
    <n v="864331.62399999995"/>
    <n v="3249.165"/>
    <n v="2077.335"/>
    <n v="39"/>
    <s v="December"/>
    <n v="12"/>
    <s v="2017-12"/>
    <x v="3"/>
  </r>
  <r>
    <s v="SO - 0005136"/>
    <d v="2017-12-27T00:00:00"/>
    <s v="Actavis Company"/>
    <s v="Wholesale"/>
    <x v="4"/>
    <n v="11"/>
    <n v="1058.5999999999999"/>
    <n v="11644.599999999999"/>
    <n v="804.53599999999994"/>
    <s v="CA"/>
    <s v="California"/>
    <s v="West"/>
    <n v="2309499.0449999999"/>
    <n v="8849.8960000000006"/>
    <n v="2794.7040000000002"/>
    <n v="24"/>
    <s v="December"/>
    <n v="12"/>
    <s v="2017-12"/>
    <x v="3"/>
  </r>
  <r>
    <s v="SO - 0005770"/>
    <d v="2017-12-27T00:00:00"/>
    <s v="Zoomzone Corp"/>
    <s v="Export"/>
    <x v="14"/>
    <n v="12"/>
    <n v="6378.4"/>
    <n v="76540.799999999988"/>
    <n v="3508.12"/>
    <s v="IN"/>
    <s v="Indiana"/>
    <s v="Midwest"/>
    <n v="2119616.824"/>
    <n v="42097.440000000002"/>
    <n v="34443.359999999899"/>
    <n v="44.999999999999901"/>
    <s v="December"/>
    <n v="12"/>
    <s v="2017-12"/>
    <x v="3"/>
  </r>
  <r>
    <s v="SO - 0006210"/>
    <d v="2017-12-27T00:00:00"/>
    <s v="Brightdog Corp"/>
    <s v="Wholesale"/>
    <x v="10"/>
    <n v="9"/>
    <n v="1058.5999999999999"/>
    <n v="9527.4"/>
    <n v="762.19200000000001"/>
    <s v="IL"/>
    <s v="Illinois"/>
    <s v="Midwest"/>
    <n v="1672229.416"/>
    <n v="6859.7280000000001"/>
    <n v="2667.672"/>
    <n v="28"/>
    <s v="December"/>
    <n v="12"/>
    <s v="2017-12"/>
    <x v="3"/>
  </r>
  <r>
    <s v="SO - 0006950"/>
    <d v="2017-12-27T00:00:00"/>
    <s v="Vimbo Company"/>
    <s v="Distributor"/>
    <x v="15"/>
    <n v="10"/>
    <n v="2539.3000000000002"/>
    <n v="25393"/>
    <n v="1879.0820000000001"/>
    <s v="CA"/>
    <s v="California"/>
    <s v="West"/>
    <n v="2062061.1440000001"/>
    <n v="18790.82"/>
    <n v="6602.18"/>
    <n v="26"/>
    <s v="December"/>
    <n v="12"/>
    <s v="2017-12"/>
    <x v="3"/>
  </r>
  <r>
    <s v="SO - 0007045"/>
    <d v="2017-12-27T00:00:00"/>
    <s v="Walgreen Corp"/>
    <s v="Export"/>
    <x v="11"/>
    <n v="8"/>
    <n v="1896.1"/>
    <n v="15168.8"/>
    <n v="1611.6849999999999"/>
    <s v="CA"/>
    <s v="California"/>
    <s v="West"/>
    <n v="5685138.2699999996"/>
    <n v="12893.48"/>
    <n v="2275.3199999999902"/>
    <n v="14.999999999999901"/>
    <s v="December"/>
    <n v="12"/>
    <s v="2017-12"/>
    <x v="3"/>
  </r>
  <r>
    <s v="SO - 0009476"/>
    <d v="2017-12-27T00:00:00"/>
    <s v="Aromaticos Company"/>
    <s v="Wholesale"/>
    <x v="9"/>
    <n v="11"/>
    <n v="2626.4"/>
    <n v="28890.400000000001"/>
    <n v="1891.008"/>
    <s v="GA"/>
    <s v="Georgia"/>
    <s v="South"/>
    <n v="3720639.645"/>
    <n v="20801.088"/>
    <n v="8089.3119999999999"/>
    <n v="28"/>
    <s v="December"/>
    <n v="12"/>
    <s v="2017-12"/>
    <x v="3"/>
  </r>
  <r>
    <s v="SO - 0009382"/>
    <d v="2017-12-27T00:00:00"/>
    <s v="Twinte Group"/>
    <s v="Wholesale"/>
    <x v="9"/>
    <n v="11"/>
    <n v="1728.6"/>
    <n v="19014.599999999999"/>
    <n v="1175.4480000000001"/>
    <s v="CA"/>
    <s v="California"/>
    <s v="West"/>
    <n v="3720639.645"/>
    <n v="12929.928"/>
    <n v="6084.6719999999996"/>
    <n v="32"/>
    <s v="December"/>
    <n v="12"/>
    <s v="2017-12"/>
    <x v="3"/>
  </r>
  <r>
    <s v="SO - 0009048"/>
    <d v="2017-12-27T00:00:00"/>
    <s v="Tagfeed Ltd"/>
    <s v="Export"/>
    <x v="1"/>
    <n v="10"/>
    <n v="1212.7"/>
    <n v="12127"/>
    <n v="1006.54099999999"/>
    <s v="WA"/>
    <s v="Washington"/>
    <s v="West"/>
    <n v="5342315.4840000002"/>
    <n v="10065.41"/>
    <n v="2061.59"/>
    <n v="17"/>
    <s v="December"/>
    <n v="12"/>
    <s v="2017-12"/>
    <x v="3"/>
  </r>
  <r>
    <s v="SO - 0001825"/>
    <d v="2017-12-27T00:00:00"/>
    <s v="Nexus Group"/>
    <s v="Wholesale"/>
    <x v="17"/>
    <n v="12"/>
    <n v="897.8"/>
    <n v="10773.599999999999"/>
    <n v="619.48199999999997"/>
    <s v="WI"/>
    <s v="Wisconsin"/>
    <s v="Midwest"/>
    <n v="2642352.432"/>
    <n v="7433.7839999999997"/>
    <n v="3339.8159999999998"/>
    <n v="31"/>
    <s v="December"/>
    <n v="12"/>
    <s v="2017-12"/>
    <x v="3"/>
  </r>
  <r>
    <s v="SO - 0002423"/>
    <d v="2017-12-27T00:00:00"/>
    <s v="Tambee Company"/>
    <s v="Wholesale"/>
    <x v="11"/>
    <n v="8"/>
    <n v="221.1"/>
    <n v="1768.8"/>
    <n v="168.036"/>
    <s v="MD"/>
    <s v="Maryland"/>
    <s v="South"/>
    <n v="5685138.2699999996"/>
    <n v="1344.288"/>
    <n v="424.51199999999898"/>
    <n v="23.999999999999901"/>
    <s v="December"/>
    <n v="12"/>
    <s v="2017-12"/>
    <x v="3"/>
  </r>
  <r>
    <s v="SO - 0002498"/>
    <d v="2017-12-27T00:00:00"/>
    <s v="Valeant Corp"/>
    <s v="Wholesale"/>
    <x v="14"/>
    <n v="9"/>
    <n v="1909.5"/>
    <n v="17185.5"/>
    <n v="1413.03"/>
    <s v="AL"/>
    <s v="Alabama"/>
    <s v="South"/>
    <n v="2119616.824"/>
    <n v="12717.27"/>
    <n v="4468.2299999999996"/>
    <n v="25.999999999999901"/>
    <s v="December"/>
    <n v="12"/>
    <s v="2017-12"/>
    <x v="3"/>
  </r>
  <r>
    <s v="SO - 0002969"/>
    <d v="2017-12-27T00:00:00"/>
    <s v="Kare Corp"/>
    <s v="Distributor"/>
    <x v="2"/>
    <n v="11"/>
    <n v="2485.6999999999998"/>
    <n v="27342.699999999997"/>
    <n v="2063.1309999999999"/>
    <s v="MN"/>
    <s v="Minnesota"/>
    <s v="Midwest"/>
    <n v="4028698.409"/>
    <n v="22694.440999999999"/>
    <n v="4648.259"/>
    <n v="17"/>
    <s v="December"/>
    <n v="12"/>
    <s v="2017-12"/>
    <x v="3"/>
  </r>
  <r>
    <s v="SO - 0003295"/>
    <d v="2017-12-27T00:00:00"/>
    <s v="Thoughtmix Ltd"/>
    <s v="Wholesale"/>
    <x v="11"/>
    <n v="6"/>
    <n v="3872.6"/>
    <n v="23235.599999999999"/>
    <n v="2478.4639999999999"/>
    <s v="NY"/>
    <s v="New York"/>
    <s v="Northeast"/>
    <n v="5685138.2699999996"/>
    <n v="14870.784"/>
    <n v="8364.8159999999898"/>
    <n v="36"/>
    <s v="December"/>
    <n v="12"/>
    <s v="2017-12"/>
    <x v="3"/>
  </r>
  <r>
    <s v="SO - 0004073"/>
    <d v="2017-12-27T00:00:00"/>
    <s v="Epic Group"/>
    <s v="Distributor"/>
    <x v="1"/>
    <n v="8"/>
    <n v="5956.3"/>
    <n v="47650.400000000001"/>
    <n v="4050.2840000000001"/>
    <s v="IL"/>
    <s v="Illinois"/>
    <s v="Midwest"/>
    <n v="5342315.4840000002"/>
    <n v="32402.272000000001"/>
    <n v="15248.127999999901"/>
    <n v="31.999999999999901"/>
    <s v="December"/>
    <n v="12"/>
    <s v="2017-12"/>
    <x v="3"/>
  </r>
  <r>
    <s v="SO - 0005398"/>
    <d v="2017-12-27T00:00:00"/>
    <s v="Wordware Company"/>
    <s v="Wholesale"/>
    <x v="6"/>
    <n v="11"/>
    <n v="938"/>
    <n v="10318"/>
    <n v="675.36"/>
    <s v="MD"/>
    <s v="Maryland"/>
    <s v="South"/>
    <n v="3925424.5419999999"/>
    <n v="7428.96"/>
    <n v="2889.04"/>
    <n v="27.999999999999901"/>
    <s v="December"/>
    <n v="12"/>
    <s v="2017-12"/>
    <x v="3"/>
  </r>
  <r>
    <s v="SO - 0007797"/>
    <d v="2017-12-27T00:00:00"/>
    <s v="Nlounge Ltd"/>
    <s v="Wholesale"/>
    <x v="7"/>
    <n v="5"/>
    <n v="2894.4"/>
    <n v="14472"/>
    <n v="2026.08"/>
    <s v="CA"/>
    <s v="California"/>
    <s v="West"/>
    <n v="3050087.5649999999"/>
    <n v="10130.4"/>
    <n v="4341.6000000000004"/>
    <n v="30"/>
    <s v="December"/>
    <n v="12"/>
    <s v="2017-12"/>
    <x v="3"/>
  </r>
  <r>
    <s v="SO - 0008061"/>
    <d v="2017-12-27T00:00:00"/>
    <s v="Cogilith Group"/>
    <s v="Wholesale"/>
    <x v="17"/>
    <n v="12"/>
    <n v="1701.8"/>
    <n v="20421.599999999999"/>
    <n v="1191.26"/>
    <s v="NC"/>
    <s v="North Carolina"/>
    <s v="South"/>
    <n v="2642352.432"/>
    <n v="14295.119999999901"/>
    <n v="6126.48"/>
    <n v="30"/>
    <s v="December"/>
    <n v="12"/>
    <s v="2017-12"/>
    <x v="3"/>
  </r>
  <r>
    <s v="SO - 0008432"/>
    <d v="2017-12-27T00:00:00"/>
    <s v="Browsetype Corp"/>
    <s v="Distributor"/>
    <x v="15"/>
    <n v="7"/>
    <n v="2586.1999999999998"/>
    <n v="18103.399999999998"/>
    <n v="2068.96"/>
    <s v="CA"/>
    <s v="California"/>
    <s v="West"/>
    <n v="2062061.1440000001"/>
    <n v="14482.72"/>
    <n v="3620.6799999999898"/>
    <n v="19.999999999999901"/>
    <s v="December"/>
    <n v="12"/>
    <s v="2017-12"/>
    <x v="3"/>
  </r>
  <r>
    <s v="SO - 0002651"/>
    <d v="2017-12-27T00:00:00"/>
    <s v="Kare Corp"/>
    <s v="Distributor"/>
    <x v="13"/>
    <n v="12"/>
    <n v="3832.4"/>
    <n v="45988.800000000003"/>
    <n v="2835.9760000000001"/>
    <s v="MI"/>
    <s v="Michigan"/>
    <s v="Midwest"/>
    <n v="3299478.3149999999"/>
    <n v="34031.712"/>
    <n v="11957.088"/>
    <n v="26"/>
    <s v="December"/>
    <n v="12"/>
    <s v="2017-12"/>
    <x v="3"/>
  </r>
  <r>
    <s v="SO - 0002779"/>
    <d v="2017-12-27T00:00:00"/>
    <s v="Brightdog Corp"/>
    <s v="Wholesale"/>
    <x v="19"/>
    <n v="5"/>
    <n v="2264.6"/>
    <n v="11323"/>
    <n v="1585.21999999999"/>
    <s v="TN"/>
    <s v="Tennessee"/>
    <s v="South"/>
    <n v="2885560.824"/>
    <n v="7926.0999999999904"/>
    <n v="3396.9"/>
    <n v="30"/>
    <s v="December"/>
    <n v="12"/>
    <s v="2017-12"/>
    <x v="3"/>
  </r>
  <r>
    <s v="SO - 0005949"/>
    <d v="2017-12-27T00:00:00"/>
    <s v="Zoonoodle Ltd"/>
    <s v="Wholesale"/>
    <x v="9"/>
    <n v="11"/>
    <n v="2211"/>
    <n v="24321"/>
    <n v="950.73"/>
    <s v="MA"/>
    <s v="Massachusetts"/>
    <s v="Northeast"/>
    <n v="3720639.645"/>
    <n v="10458.030000000001"/>
    <n v="13862.97"/>
    <n v="56.999999999999901"/>
    <s v="December"/>
    <n v="12"/>
    <s v="2017-12"/>
    <x v="3"/>
  </r>
  <r>
    <s v="SO - 0006058"/>
    <d v="2017-12-27T00:00:00"/>
    <s v="Cantrell Company"/>
    <s v="Export"/>
    <x v="7"/>
    <n v="10"/>
    <n v="1728.6"/>
    <n v="17286"/>
    <n v="726.01199999999994"/>
    <s v="WA"/>
    <s v="Washington"/>
    <s v="West"/>
    <n v="3050087.5649999999"/>
    <n v="7260.12"/>
    <n v="10025.879999999999"/>
    <n v="57.999999999999901"/>
    <s v="December"/>
    <n v="12"/>
    <s v="2017-12"/>
    <x v="3"/>
  </r>
  <r>
    <s v="SO - 0006643"/>
    <d v="2017-12-27T00:00:00"/>
    <s v="Blogtags Ltd"/>
    <s v="Wholesale"/>
    <x v="2"/>
    <n v="8"/>
    <n v="1065.3"/>
    <n v="8522.4"/>
    <n v="681.79200000000003"/>
    <s v="IA"/>
    <s v="Iowa"/>
    <s v="Midwest"/>
    <n v="4028698.409"/>
    <n v="5454.3360000000002"/>
    <n v="3068.0639999999898"/>
    <n v="35.999999999999901"/>
    <s v="December"/>
    <n v="12"/>
    <s v="2017-12"/>
    <x v="3"/>
  </r>
  <r>
    <s v="SO - 0008403"/>
    <d v="2017-12-27T00:00:00"/>
    <s v="Skajo Ltd"/>
    <s v="Export"/>
    <x v="8"/>
    <n v="8"/>
    <n v="991.6"/>
    <n v="7932.8"/>
    <n v="545.38"/>
    <s v="MN"/>
    <s v="Minnesota"/>
    <s v="Midwest"/>
    <n v="663601.902"/>
    <n v="4363.04"/>
    <n v="3569.7599999999902"/>
    <n v="44.999999999999901"/>
    <s v="December"/>
    <n v="12"/>
    <s v="2017-12"/>
    <x v="3"/>
  </r>
  <r>
    <s v="SO - 0001512"/>
    <d v="2017-12-28T00:00:00"/>
    <s v="Realcube Company"/>
    <s v="Wholesale"/>
    <x v="6"/>
    <n v="12"/>
    <n v="1098.8"/>
    <n v="13185.599999999999"/>
    <n v="560.38800000000003"/>
    <s v="CA"/>
    <s v="California"/>
    <s v="West"/>
    <n v="3925424.5419999999"/>
    <n v="6724.6559999999999"/>
    <n v="6460.9439999999904"/>
    <n v="48.999999999999901"/>
    <s v="December"/>
    <n v="12"/>
    <s v="2017-12"/>
    <x v="3"/>
  </r>
  <r>
    <s v="SO - 0002161"/>
    <d v="2017-12-28T00:00:00"/>
    <s v="Quaxo Ltd"/>
    <s v="Wholesale"/>
    <x v="11"/>
    <n v="12"/>
    <n v="167.5"/>
    <n v="2010"/>
    <n v="113.9"/>
    <s v="NY"/>
    <s v="New York"/>
    <s v="Northeast"/>
    <n v="5685138.2699999996"/>
    <n v="1366.8"/>
    <n v="643.19999999999902"/>
    <n v="31.999999999999901"/>
    <s v="December"/>
    <n v="12"/>
    <s v="2017-12"/>
    <x v="3"/>
  </r>
  <r>
    <s v="SO - 0002274"/>
    <d v="2017-12-28T00:00:00"/>
    <s v="Roberts Company"/>
    <s v="Export"/>
    <x v="15"/>
    <n v="7"/>
    <n v="247.9"/>
    <n v="1735.3"/>
    <n v="148.74"/>
    <s v="NJ"/>
    <s v="New Jersey"/>
    <s v="Northeast"/>
    <n v="2062061.1440000001"/>
    <n v="1041.18"/>
    <n v="694.11999999999898"/>
    <n v="40"/>
    <s v="December"/>
    <n v="12"/>
    <s v="2017-12"/>
    <x v="3"/>
  </r>
  <r>
    <s v="SO - 0002734"/>
    <d v="2017-12-28T00:00:00"/>
    <s v="Meejo Corp"/>
    <s v="Wholesale"/>
    <x v="19"/>
    <n v="5"/>
    <n v="2539.3000000000002"/>
    <n v="12696.5"/>
    <n v="1828.296"/>
    <s v="TX"/>
    <s v="Texas"/>
    <s v="South"/>
    <n v="2885560.824"/>
    <n v="9141.48"/>
    <n v="3555.02"/>
    <n v="28"/>
    <s v="December"/>
    <n v="12"/>
    <s v="2017-12"/>
    <x v="3"/>
  </r>
  <r>
    <s v="SO - 0003649"/>
    <d v="2017-12-28T00:00:00"/>
    <s v="Omba Group"/>
    <s v="Wholesale"/>
    <x v="14"/>
    <n v="5"/>
    <n v="2385.1999999999998"/>
    <n v="11926"/>
    <n v="1311.86"/>
    <s v="OR"/>
    <s v="Oregon"/>
    <s v="West"/>
    <n v="2119616.824"/>
    <n v="6559.3"/>
    <n v="5366.7"/>
    <n v="44.999999999999901"/>
    <s v="December"/>
    <n v="12"/>
    <s v="2017-12"/>
    <x v="3"/>
  </r>
  <r>
    <s v="SO - 0007104"/>
    <d v="2017-12-28T00:00:00"/>
    <s v="Flipbug Ltd"/>
    <s v="Wholesale"/>
    <x v="9"/>
    <n v="11"/>
    <n v="234.5"/>
    <n v="2579.5"/>
    <n v="117.25"/>
    <s v="NC"/>
    <s v="North Carolina"/>
    <s v="South"/>
    <n v="3720639.645"/>
    <n v="1289.75"/>
    <n v="1289.75"/>
    <n v="50"/>
    <s v="December"/>
    <n v="12"/>
    <s v="2017-12"/>
    <x v="3"/>
  </r>
  <r>
    <s v="SO - 0008110"/>
    <d v="2017-12-28T00:00:00"/>
    <s v="Mydeo Ltd"/>
    <s v="Wholesale"/>
    <x v="6"/>
    <n v="10"/>
    <n v="1675"/>
    <n v="16750"/>
    <n v="1155.75"/>
    <s v="CT"/>
    <s v="Connecticut"/>
    <s v="Northeast"/>
    <n v="3925424.5419999999"/>
    <n v="11557.5"/>
    <n v="5192.5"/>
    <n v="31"/>
    <s v="December"/>
    <n v="12"/>
    <s v="2017-12"/>
    <x v="3"/>
  </r>
  <r>
    <s v="SO - 000173"/>
    <d v="2017-12-28T00:00:00"/>
    <s v="Wockhardt Group"/>
    <s v="Distributor"/>
    <x v="18"/>
    <n v="6"/>
    <n v="2485.6999999999998"/>
    <n v="14914.199999999999"/>
    <n v="1317.421"/>
    <s v="IL"/>
    <s v="Illinois"/>
    <s v="Midwest"/>
    <n v="1135815.7579999999"/>
    <n v="7904.5259999999998"/>
    <n v="7009.67399999999"/>
    <n v="46.999999999999901"/>
    <s v="December"/>
    <n v="12"/>
    <s v="2017-12"/>
    <x v="3"/>
  </r>
  <r>
    <s v="SO - 0002025"/>
    <d v="2017-12-28T00:00:00"/>
    <s v="Mylan Corp"/>
    <s v="Distributor"/>
    <x v="1"/>
    <n v="6"/>
    <n v="1085.4000000000001"/>
    <n v="6512.4000000000005"/>
    <n v="868.32"/>
    <s v="MI"/>
    <s v="Michigan"/>
    <s v="Midwest"/>
    <n v="5342315.4840000002"/>
    <n v="5209.92"/>
    <n v="1302.47999999999"/>
    <n v="19.999999999999901"/>
    <s v="December"/>
    <n v="12"/>
    <s v="2017-12"/>
    <x v="3"/>
  </r>
  <r>
    <s v="SO - 0005875"/>
    <d v="2017-12-28T00:00:00"/>
    <s v="Voonyx Group"/>
    <s v="Wholesale"/>
    <x v="13"/>
    <n v="5"/>
    <n v="2378.5"/>
    <n v="11892.5"/>
    <n v="1902.8"/>
    <s v="CA"/>
    <s v="California"/>
    <s v="West"/>
    <n v="3299478.3149999999"/>
    <n v="9514"/>
    <n v="2378.5"/>
    <n v="20"/>
    <s v="December"/>
    <n v="12"/>
    <s v="2017-12"/>
    <x v="3"/>
  </r>
  <r>
    <s v="SO - 0006788"/>
    <d v="2017-12-28T00:00:00"/>
    <s v="Pacific Ltd"/>
    <s v="Wholesale"/>
    <x v="1"/>
    <n v="11"/>
    <n v="2438.8000000000002"/>
    <n v="26826.800000000003"/>
    <n v="1195.0119999999999"/>
    <s v="CA"/>
    <s v="California"/>
    <s v="West"/>
    <n v="5342315.4840000002"/>
    <n v="13145.132"/>
    <n v="13681.668"/>
    <n v="51"/>
    <s v="December"/>
    <n v="12"/>
    <s v="2017-12"/>
    <x v="3"/>
  </r>
  <r>
    <s v="SO - 0009430"/>
    <d v="2017-12-28T00:00:00"/>
    <s v="Amerisourc Corp"/>
    <s v="Wholesale"/>
    <x v="23"/>
    <n v="12"/>
    <n v="3912.8"/>
    <n v="46953.600000000006"/>
    <n v="1643.376"/>
    <s v="VA"/>
    <s v="Virginia"/>
    <s v="South"/>
    <n v="1645841.6"/>
    <n v="19720.511999999999"/>
    <n v="27233.088"/>
    <n v="58"/>
    <s v="December"/>
    <n v="12"/>
    <s v="2017-12"/>
    <x v="3"/>
  </r>
  <r>
    <s v="SO - 0010220"/>
    <d v="2017-12-28T00:00:00"/>
    <s v="Aibox Company"/>
    <s v="Wholesale"/>
    <x v="11"/>
    <n v="7"/>
    <n v="2345"/>
    <n v="16415"/>
    <n v="1219.4000000000001"/>
    <s v="CT"/>
    <s v="Connecticut"/>
    <s v="Northeast"/>
    <n v="5685138.2699999996"/>
    <n v="8535.7999999999993"/>
    <n v="7879.1999999999898"/>
    <n v="47.999999999999901"/>
    <s v="December"/>
    <n v="12"/>
    <s v="2017-12"/>
    <x v="3"/>
  </r>
  <r>
    <s v="SO - 0009173"/>
    <d v="2017-12-28T00:00:00"/>
    <s v="True Ltd"/>
    <s v="Wholesale"/>
    <x v="6"/>
    <n v="7"/>
    <n v="3343.3"/>
    <n v="23403.100000000002"/>
    <n v="2407.1759999999999"/>
    <s v="TX"/>
    <s v="Texas"/>
    <s v="South"/>
    <n v="3925424.5419999999"/>
    <n v="16850.232"/>
    <n v="6552.8680000000004"/>
    <n v="28"/>
    <s v="December"/>
    <n v="12"/>
    <s v="2017-12"/>
    <x v="3"/>
  </r>
  <r>
    <s v="SO - 0009688"/>
    <d v="2017-12-28T00:00:00"/>
    <s v="Dazzlesphe Corp"/>
    <s v="Wholesale"/>
    <x v="17"/>
    <n v="5"/>
    <n v="2224.4"/>
    <n v="11122"/>
    <n v="1267.9079999999999"/>
    <s v="MD"/>
    <s v="Maryland"/>
    <s v="South"/>
    <n v="2642352.432"/>
    <n v="6339.53999999999"/>
    <n v="4782.46"/>
    <n v="43"/>
    <s v="December"/>
    <n v="12"/>
    <s v="2017-12"/>
    <x v="3"/>
  </r>
  <r>
    <s v="SO - 0010416"/>
    <d v="2017-12-28T00:00:00"/>
    <s v="Cantrell Company"/>
    <s v="Wholesale"/>
    <x v="17"/>
    <n v="10"/>
    <n v="3939.6"/>
    <n v="39396"/>
    <n v="2048.5920000000001"/>
    <s v="CA"/>
    <s v="California"/>
    <s v="West"/>
    <n v="2642352.432"/>
    <n v="20485.919999999998"/>
    <n v="18910.0799999999"/>
    <n v="47.999999999999901"/>
    <s v="December"/>
    <n v="12"/>
    <s v="2017-12"/>
    <x v="3"/>
  </r>
  <r>
    <s v="SO - 000343"/>
    <d v="2017-12-28T00:00:00"/>
    <s v="Cogidoo Company"/>
    <s v="Wholesale"/>
    <x v="1"/>
    <n v="11"/>
    <n v="6391.8"/>
    <n v="70309.8"/>
    <n v="4793.8500000000004"/>
    <s v="TX"/>
    <s v="Texas"/>
    <s v="South"/>
    <n v="5342315.4840000002"/>
    <n v="52732.35"/>
    <n v="17577.449999999899"/>
    <n v="24.999999999999901"/>
    <s v="December"/>
    <n v="12"/>
    <s v="2017-12"/>
    <x v="3"/>
  </r>
  <r>
    <s v="SO - 000695"/>
    <d v="2017-12-28T00:00:00"/>
    <s v="Jabbercube Corp"/>
    <s v="Wholesale"/>
    <x v="13"/>
    <n v="9"/>
    <n v="3852.5"/>
    <n v="34672.5"/>
    <n v="3043.4749999999999"/>
    <s v="CA"/>
    <s v="California"/>
    <s v="West"/>
    <n v="3299478.3149999999"/>
    <n v="27391.275000000001"/>
    <n v="7281.2249999999904"/>
    <n v="20.999999999999901"/>
    <s v="December"/>
    <n v="12"/>
    <s v="2017-12"/>
    <x v="3"/>
  </r>
  <r>
    <s v="SO - 0001549"/>
    <d v="2017-12-28T00:00:00"/>
    <s v="Brainspher Ltd"/>
    <s v="Distributor"/>
    <x v="2"/>
    <n v="11"/>
    <n v="261.3"/>
    <n v="2874.3"/>
    <n v="222.10499999999999"/>
    <s v="FL"/>
    <s v="Florida"/>
    <s v="South"/>
    <n v="4028698.409"/>
    <n v="2443.1549999999902"/>
    <n v="431.14499999999998"/>
    <n v="15"/>
    <s v="December"/>
    <n v="12"/>
    <s v="2017-12"/>
    <x v="3"/>
  </r>
  <r>
    <s v="SO - 0001996"/>
    <d v="2017-12-28T00:00:00"/>
    <s v="Emd Group"/>
    <s v="Wholesale"/>
    <x v="2"/>
    <n v="12"/>
    <n v="1065.3"/>
    <n v="12783.599999999999"/>
    <n v="745.70999999999901"/>
    <s v="CA"/>
    <s v="California"/>
    <s v="West"/>
    <n v="4028698.409"/>
    <n v="8948.5199999999895"/>
    <n v="3835.08"/>
    <n v="30"/>
    <s v="December"/>
    <n v="12"/>
    <s v="2017-12"/>
    <x v="3"/>
  </r>
  <r>
    <s v="SO - 0002900"/>
    <d v="2017-12-28T00:00:00"/>
    <s v="Sanum-Kehl Group"/>
    <s v="Distributor"/>
    <x v="9"/>
    <n v="10"/>
    <n v="904.5"/>
    <n v="9045"/>
    <n v="696.46500000000003"/>
    <s v="IL"/>
    <s v="Illinois"/>
    <s v="Midwest"/>
    <n v="3720639.645"/>
    <n v="6964.65"/>
    <n v="2080.3499999999899"/>
    <n v="22.999999999999901"/>
    <s v="December"/>
    <n v="12"/>
    <s v="2017-12"/>
    <x v="3"/>
  </r>
  <r>
    <s v="SO - 0004018"/>
    <d v="2017-12-28T00:00:00"/>
    <s v="Devpoint Group"/>
    <s v="Distributor"/>
    <x v="11"/>
    <n v="5"/>
    <n v="2519.1999999999998"/>
    <n v="12596"/>
    <n v="1410.752"/>
    <s v="FL"/>
    <s v="Florida"/>
    <s v="South"/>
    <n v="5685138.2699999996"/>
    <n v="7053.76"/>
    <n v="5542.24"/>
    <n v="44"/>
    <s v="December"/>
    <n v="12"/>
    <s v="2017-12"/>
    <x v="3"/>
  </r>
  <r>
    <s v="SO - 0004234"/>
    <d v="2017-12-28T00:00:00"/>
    <s v="Jabbercube Corp"/>
    <s v="Wholesale"/>
    <x v="6"/>
    <n v="6"/>
    <n v="1996.6"/>
    <n v="11979.599999999999"/>
    <n v="1257.8579999999999"/>
    <s v="MN"/>
    <s v="Minnesota"/>
    <s v="Midwest"/>
    <n v="3925424.5419999999"/>
    <n v="7547.1480000000001"/>
    <n v="4432.4519999999902"/>
    <n v="36.999999999999901"/>
    <s v="December"/>
    <n v="12"/>
    <s v="2017-12"/>
    <x v="3"/>
  </r>
  <r>
    <s v="SO - 0006099"/>
    <d v="2017-12-28T00:00:00"/>
    <s v="Omba Group"/>
    <s v="Distributor"/>
    <x v="21"/>
    <n v="5"/>
    <n v="1152.4000000000001"/>
    <n v="5762"/>
    <n v="691.44"/>
    <s v="IA"/>
    <s v="Iowa"/>
    <s v="Midwest"/>
    <n v="1230458.4839999999"/>
    <n v="3457.2"/>
    <n v="2304.7999999999902"/>
    <n v="40"/>
    <s v="December"/>
    <n v="12"/>
    <s v="2017-12"/>
    <x v="3"/>
  </r>
  <r>
    <s v="SO - 0006433"/>
    <d v="2017-12-28T00:00:00"/>
    <s v="Internatio Company"/>
    <s v="Wholesale"/>
    <x v="9"/>
    <n v="10"/>
    <n v="2974.8"/>
    <n v="29748"/>
    <n v="1784.88"/>
    <s v="UT"/>
    <s v="Utah"/>
    <s v="West"/>
    <n v="3720639.645"/>
    <n v="17848.8"/>
    <n v="11899.199999999901"/>
    <n v="39.999999999999901"/>
    <s v="December"/>
    <n v="12"/>
    <s v="2017-12"/>
    <x v="3"/>
  </r>
  <r>
    <s v="SO - 0008277"/>
    <d v="2017-12-28T00:00:00"/>
    <s v="Feednation Corp"/>
    <s v="Export"/>
    <x v="6"/>
    <n v="12"/>
    <n v="964.8"/>
    <n v="11577.599999999999"/>
    <n v="472.75200000000001"/>
    <s v="NV"/>
    <s v="Nevada"/>
    <s v="West"/>
    <n v="3925424.5419999999"/>
    <n v="5673.0240000000003"/>
    <n v="5904.576"/>
    <n v="51"/>
    <s v="December"/>
    <n v="12"/>
    <s v="2017-12"/>
    <x v="3"/>
  </r>
  <r>
    <s v="SO - 0010529"/>
    <d v="2017-12-28T00:00:00"/>
    <s v="Ascend Ltd"/>
    <s v="Distributor"/>
    <x v="17"/>
    <n v="10"/>
    <n v="1085.4000000000001"/>
    <n v="10854"/>
    <n v="651.24"/>
    <s v="CA"/>
    <s v="California"/>
    <s v="West"/>
    <n v="2642352.432"/>
    <n v="6512.4"/>
    <n v="4341.6000000000004"/>
    <n v="40"/>
    <s v="December"/>
    <n v="12"/>
    <s v="2017-12"/>
    <x v="3"/>
  </r>
  <r>
    <s v="SO - 0010110"/>
    <d v="2017-12-28T00:00:00"/>
    <s v="Buzzshare Company"/>
    <s v="Wholesale"/>
    <x v="4"/>
    <n v="9"/>
    <n v="5293"/>
    <n v="47637"/>
    <n v="3334.59"/>
    <s v="FL"/>
    <s v="Florida"/>
    <s v="South"/>
    <n v="2309499.0449999999"/>
    <n v="30011.31"/>
    <n v="17625.689999999999"/>
    <n v="37"/>
    <s v="December"/>
    <n v="12"/>
    <s v="2017-12"/>
    <x v="3"/>
  </r>
  <r>
    <s v="SO - 000259"/>
    <d v="2017-12-28T00:00:00"/>
    <s v="Jaxbean Group"/>
    <s v="Wholesale"/>
    <x v="13"/>
    <n v="11"/>
    <n v="2231.1"/>
    <n v="24542.1"/>
    <n v="1784.88"/>
    <s v="ID"/>
    <s v="Idaho"/>
    <s v="West"/>
    <n v="3299478.3149999999"/>
    <n v="19633.68"/>
    <n v="4908.4199999999901"/>
    <n v="19.999999999999901"/>
    <s v="December"/>
    <n v="12"/>
    <s v="2017-12"/>
    <x v="3"/>
  </r>
  <r>
    <s v="SO - 0001207"/>
    <d v="2017-12-28T00:00:00"/>
    <s v="Muxo Group"/>
    <s v="Wholesale"/>
    <x v="7"/>
    <n v="8"/>
    <n v="5145.6000000000004"/>
    <n v="41164.800000000003"/>
    <n v="3601.92"/>
    <s v="MD"/>
    <s v="Maryland"/>
    <s v="South"/>
    <n v="3050087.5649999999"/>
    <n v="28815.360000000001"/>
    <n v="12349.44"/>
    <n v="30"/>
    <s v="December"/>
    <n v="12"/>
    <s v="2017-12"/>
    <x v="3"/>
  </r>
  <r>
    <s v="SO - 0001742"/>
    <d v="2017-12-28T00:00:00"/>
    <s v="Dynazzy Company"/>
    <s v="Distributor"/>
    <x v="11"/>
    <n v="10"/>
    <n v="991.6"/>
    <n v="9916"/>
    <n v="545.38"/>
    <s v="CT"/>
    <s v="Connecticut"/>
    <s v="Northeast"/>
    <n v="5685138.2699999996"/>
    <n v="5453.8"/>
    <n v="4462.1999999999898"/>
    <n v="44.999999999999901"/>
    <s v="December"/>
    <n v="12"/>
    <s v="2017-12"/>
    <x v="3"/>
  </r>
  <r>
    <s v="SO - 0003489"/>
    <d v="2017-12-28T00:00:00"/>
    <s v="Aibox Company"/>
    <s v="Wholesale"/>
    <x v="20"/>
    <n v="12"/>
    <n v="1159.0999999999999"/>
    <n v="13909.199999999999"/>
    <n v="846.14300000000003"/>
    <s v="UT"/>
    <s v="Utah"/>
    <s v="West"/>
    <n v="964940.23100000003"/>
    <n v="10153.716"/>
    <n v="3755.4839999999999"/>
    <n v="27"/>
    <s v="December"/>
    <n v="12"/>
    <s v="2017-12"/>
    <x v="3"/>
  </r>
  <r>
    <s v="SO - 0005281"/>
    <d v="2017-12-28T00:00:00"/>
    <s v="Gabvine Ltd"/>
    <s v="Wholesale"/>
    <x v="1"/>
    <n v="7"/>
    <n v="2747"/>
    <n v="19229"/>
    <n v="1098.8"/>
    <s v="IL"/>
    <s v="Illinois"/>
    <s v="Midwest"/>
    <n v="5342315.4840000002"/>
    <n v="7691.5999999999904"/>
    <n v="11537.4"/>
    <n v="60"/>
    <s v="December"/>
    <n v="12"/>
    <s v="2017-12"/>
    <x v="3"/>
  </r>
  <r>
    <s v="SO - 0006697"/>
    <d v="2017-12-28T00:00:00"/>
    <s v="Browsebug Company"/>
    <s v="Export"/>
    <x v="2"/>
    <n v="10"/>
    <n v="1313.2"/>
    <n v="13132"/>
    <n v="577.80799999999999"/>
    <s v="FL"/>
    <s v="Florida"/>
    <s v="South"/>
    <n v="4028698.409"/>
    <n v="5778.08"/>
    <n v="7353.92"/>
    <n v="56"/>
    <s v="December"/>
    <n v="12"/>
    <s v="2017-12"/>
    <x v="3"/>
  </r>
  <r>
    <s v="SO - 000865"/>
    <d v="2017-12-28T00:00:00"/>
    <s v="Topiczoom Corp"/>
    <s v="Wholesale"/>
    <x v="27"/>
    <n v="11"/>
    <n v="2432.1"/>
    <n v="26753.1"/>
    <n v="1824.07499999999"/>
    <s v="TX"/>
    <s v="Texas"/>
    <s v="South"/>
    <n v="2067108.1199999901"/>
    <n v="20064.824999999899"/>
    <n v="6688.2749999999996"/>
    <n v="25"/>
    <s v="December"/>
    <n v="12"/>
    <s v="2017-12"/>
    <x v="3"/>
  </r>
  <r>
    <s v="SO - 0002086"/>
    <d v="2017-12-28T00:00:00"/>
    <s v="Holston Company"/>
    <s v="Export"/>
    <x v="10"/>
    <n v="7"/>
    <n v="3571.1"/>
    <n v="24997.7"/>
    <n v="1999.816"/>
    <s v="NJ"/>
    <s v="New Jersey"/>
    <s v="Northeast"/>
    <n v="1672229.416"/>
    <n v="13998.712"/>
    <n v="10998.987999999999"/>
    <n v="44"/>
    <s v="December"/>
    <n v="12"/>
    <s v="2017-12"/>
    <x v="3"/>
  </r>
  <r>
    <s v="SO - 0003566"/>
    <d v="2017-12-28T00:00:00"/>
    <s v="Bluezoom Group"/>
    <s v="Wholesale"/>
    <x v="29"/>
    <n v="6"/>
    <n v="1788.9"/>
    <n v="10733.400000000001"/>
    <n v="1431.12"/>
    <s v="UT"/>
    <s v="Utah"/>
    <s v="West"/>
    <n v="864331.62399999995"/>
    <n v="8586.7199999999993"/>
    <n v="2146.6799999999998"/>
    <n v="20"/>
    <s v="December"/>
    <n v="12"/>
    <s v="2017-12"/>
    <x v="3"/>
  </r>
  <r>
    <s v="SO - 0003732"/>
    <d v="2017-12-28T00:00:00"/>
    <s v="Cogidoo Company"/>
    <s v="Wholesale"/>
    <x v="5"/>
    <n v="12"/>
    <n v="2432.1"/>
    <n v="29185.199999999997"/>
    <n v="1580.865"/>
    <s v="IN"/>
    <s v="Indiana"/>
    <s v="Midwest"/>
    <n v="1003867.767"/>
    <n v="18970.38"/>
    <n v="10214.8199999999"/>
    <n v="34.999999999999901"/>
    <s v="December"/>
    <n v="12"/>
    <s v="2017-12"/>
    <x v="3"/>
  </r>
  <r>
    <s v="SO - 0001815"/>
    <d v="2017-12-28T00:00:00"/>
    <s v="Blogspan Ltd"/>
    <s v="Wholesale"/>
    <x v="23"/>
    <n v="9"/>
    <n v="1125.5999999999999"/>
    <n v="10130.4"/>
    <n v="821.68799999999999"/>
    <s v="FL"/>
    <s v="Florida"/>
    <s v="South"/>
    <n v="1645841.6"/>
    <n v="7395.192"/>
    <n v="2735.2080000000001"/>
    <n v="27"/>
    <s v="December"/>
    <n v="12"/>
    <s v="2017-12"/>
    <x v="3"/>
  </r>
  <r>
    <s v="SO - 0001840"/>
    <d v="2017-12-28T00:00:00"/>
    <s v="Gigabox Group"/>
    <s v="Wholesale"/>
    <x v="9"/>
    <n v="12"/>
    <n v="884.4"/>
    <n v="10612.8"/>
    <n v="636.76799999999901"/>
    <s v="OK"/>
    <s v="Oklahoma"/>
    <s v="South"/>
    <n v="3720639.645"/>
    <n v="7641.2159999999903"/>
    <n v="2971.5839999999998"/>
    <n v="28"/>
    <s v="December"/>
    <n v="12"/>
    <s v="2017-12"/>
    <x v="3"/>
  </r>
  <r>
    <s v="SO - 0002286"/>
    <d v="2017-12-28T00:00:00"/>
    <s v="Seindni Corp"/>
    <s v="Wholesale"/>
    <x v="26"/>
    <n v="5"/>
    <n v="221.1"/>
    <n v="1105.5"/>
    <n v="95.072999999999993"/>
    <s v="CA"/>
    <s v="California"/>
    <s v="West"/>
    <n v="1356976.996"/>
    <n v="475.36499999999899"/>
    <n v="630.13499999999999"/>
    <n v="56.999999999999901"/>
    <s v="December"/>
    <n v="12"/>
    <s v="2017-12"/>
    <x v="3"/>
  </r>
  <r>
    <s v="SO - 0002859"/>
    <d v="2017-12-28T00:00:00"/>
    <s v="Realcube Company"/>
    <s v="Distributor"/>
    <x v="3"/>
    <n v="11"/>
    <n v="1688.4"/>
    <n v="18572.400000000001"/>
    <n v="776.66399999999999"/>
    <s v="CA"/>
    <s v="California"/>
    <s v="West"/>
    <n v="1085037.3289999999"/>
    <n v="8543.3040000000001"/>
    <n v="10029.096"/>
    <n v="53.999999999999901"/>
    <s v="December"/>
    <n v="12"/>
    <s v="2017-12"/>
    <x v="3"/>
  </r>
  <r>
    <s v="SO - 0003350"/>
    <d v="2017-12-28T00:00:00"/>
    <s v="Jabbercube Corp"/>
    <s v="Wholesale"/>
    <x v="13"/>
    <n v="10"/>
    <n v="1688.4"/>
    <n v="16884"/>
    <n v="1063.692"/>
    <s v="NJ"/>
    <s v="New Jersey"/>
    <s v="Northeast"/>
    <n v="3299478.3149999999"/>
    <n v="10636.92"/>
    <n v="6247.08"/>
    <n v="37"/>
    <s v="December"/>
    <n v="12"/>
    <s v="2017-12"/>
    <x v="3"/>
  </r>
  <r>
    <s v="SO - 0005395"/>
    <d v="2017-12-28T00:00:00"/>
    <s v="Skiptube Ltd"/>
    <s v="Distributor"/>
    <x v="1"/>
    <n v="9"/>
    <n v="1011.7"/>
    <n v="9105.3000000000011"/>
    <n v="536.20100000000002"/>
    <s v="CA"/>
    <s v="California"/>
    <s v="West"/>
    <n v="5342315.4840000002"/>
    <n v="4825.8090000000002"/>
    <n v="4279.491"/>
    <n v="47"/>
    <s v="December"/>
    <n v="12"/>
    <s v="2017-12"/>
    <x v="3"/>
  </r>
  <r>
    <s v="SO - 0005982"/>
    <d v="2017-12-28T00:00:00"/>
    <s v="Aibox Company"/>
    <s v="Export"/>
    <x v="13"/>
    <n v="11"/>
    <n v="5554.3"/>
    <n v="61097.3"/>
    <n v="2777.15"/>
    <s v="GA"/>
    <s v="Georgia"/>
    <s v="South"/>
    <n v="3299478.3149999999"/>
    <n v="30548.65"/>
    <n v="30548.65"/>
    <n v="50"/>
    <s v="December"/>
    <n v="12"/>
    <s v="2017-12"/>
    <x v="3"/>
  </r>
  <r>
    <s v="SO - 0006234"/>
    <d v="2017-12-28T00:00:00"/>
    <s v="Camido Company"/>
    <s v="Wholesale"/>
    <x v="17"/>
    <n v="6"/>
    <n v="1983.2"/>
    <n v="11899.2"/>
    <n v="1269.248"/>
    <s v="NY"/>
    <s v="New York"/>
    <s v="Northeast"/>
    <n v="2642352.432"/>
    <n v="7615.4880000000003"/>
    <n v="4283.7120000000004"/>
    <n v="36"/>
    <s v="December"/>
    <n v="12"/>
    <s v="2017-12"/>
    <x v="3"/>
  </r>
  <r>
    <s v="SO - 0006266"/>
    <d v="2017-12-28T00:00:00"/>
    <s v="Yombu Corp"/>
    <s v="Wholesale"/>
    <x v="2"/>
    <n v="9"/>
    <n v="857.6"/>
    <n v="7718.4000000000005"/>
    <n v="728.96"/>
    <s v="CA"/>
    <s v="California"/>
    <s v="West"/>
    <n v="4028698.409"/>
    <n v="6560.64"/>
    <n v="1157.76"/>
    <n v="15"/>
    <s v="December"/>
    <n v="12"/>
    <s v="2017-12"/>
    <x v="3"/>
  </r>
  <r>
    <s v="SO - 0008670"/>
    <d v="2017-12-28T00:00:00"/>
    <s v="Dazzlesphe Corp"/>
    <s v="Wholesale"/>
    <x v="6"/>
    <n v="7"/>
    <n v="737"/>
    <n v="5159"/>
    <n v="390.61"/>
    <s v="FL"/>
    <s v="Florida"/>
    <s v="South"/>
    <n v="3925424.5419999999"/>
    <n v="2734.27"/>
    <n v="2424.73"/>
    <n v="47"/>
    <s v="December"/>
    <n v="12"/>
    <s v="2017-12"/>
    <x v="3"/>
  </r>
  <r>
    <s v="SO - 0008915"/>
    <d v="2017-12-28T00:00:00"/>
    <s v="Deseret Group"/>
    <s v="Wholesale"/>
    <x v="3"/>
    <n v="8"/>
    <n v="2291.4"/>
    <n v="18331.2"/>
    <n v="1260.27"/>
    <s v="DE"/>
    <s v="Delaware"/>
    <s v="South"/>
    <n v="1085037.3289999999"/>
    <n v="10082.16"/>
    <n v="8249.03999999999"/>
    <n v="44.999999999999901"/>
    <s v="December"/>
    <n v="12"/>
    <s v="2017-12"/>
    <x v="3"/>
  </r>
  <r>
    <s v="SO - 0010245"/>
    <d v="2017-12-28T00:00:00"/>
    <s v="The Ltd"/>
    <s v="Export"/>
    <x v="22"/>
    <n v="12"/>
    <n v="1072"/>
    <n v="12864"/>
    <n v="439.52"/>
    <s v="IN"/>
    <s v="Indiana"/>
    <s v="Midwest"/>
    <n v="710415.40500000003"/>
    <n v="5274.24"/>
    <n v="7589.76"/>
    <n v="59"/>
    <s v="December"/>
    <n v="12"/>
    <s v="2017-12"/>
    <x v="3"/>
  </r>
  <r>
    <s v="SO - 000377"/>
    <d v="2017-12-29T00:00:00"/>
    <s v="Z.H.T. Group"/>
    <s v="Distributor"/>
    <x v="9"/>
    <n v="10"/>
    <n v="1092.0999999999999"/>
    <n v="10921"/>
    <n v="786.31200000000001"/>
    <s v="WA"/>
    <s v="Washington"/>
    <s v="West"/>
    <n v="3720639.645"/>
    <n v="7863.12"/>
    <n v="3057.88"/>
    <n v="28"/>
    <s v="December"/>
    <n v="12"/>
    <s v="2017-12"/>
    <x v="4"/>
  </r>
  <r>
    <s v="SO - 0001053"/>
    <d v="2017-12-29T00:00:00"/>
    <s v="Brainspher Ltd"/>
    <s v="Distributor"/>
    <x v="17"/>
    <n v="7"/>
    <n v="1051.9000000000001"/>
    <n v="7363.3000000000011"/>
    <n v="452.31700000000001"/>
    <s v="NC"/>
    <s v="North Carolina"/>
    <s v="South"/>
    <n v="2642352.432"/>
    <n v="3166.2190000000001"/>
    <n v="4197.0810000000001"/>
    <n v="57"/>
    <s v="December"/>
    <n v="12"/>
    <s v="2017-12"/>
    <x v="4"/>
  </r>
  <r>
    <s v="SO - 0002245"/>
    <d v="2017-12-29T00:00:00"/>
    <s v="Kaymbo Company"/>
    <s v="Wholesale"/>
    <x v="4"/>
    <n v="9"/>
    <n v="174.2"/>
    <n v="1567.8"/>
    <n v="125.42400000000001"/>
    <s v="PA"/>
    <s v="Pennsylvania"/>
    <s v="Northeast"/>
    <n v="2309499.0449999999"/>
    <n v="1128.816"/>
    <n v="438.98399999999998"/>
    <n v="28"/>
    <s v="December"/>
    <n v="12"/>
    <s v="2017-12"/>
    <x v="4"/>
  </r>
  <r>
    <s v="SO - 0004276"/>
    <d v="2017-12-29T00:00:00"/>
    <s v="Pixoboo Corp"/>
    <s v="Export"/>
    <x v="9"/>
    <n v="7"/>
    <n v="3865.9"/>
    <n v="27061.3"/>
    <n v="2551.4940000000001"/>
    <s v="IL"/>
    <s v="Illinois"/>
    <s v="Midwest"/>
    <n v="3720639.645"/>
    <n v="17860.457999999999"/>
    <n v="9200.8419999999896"/>
    <n v="33.999999999999901"/>
    <s v="December"/>
    <n v="12"/>
    <s v="2017-12"/>
    <x v="4"/>
  </r>
  <r>
    <s v="SO - 0004549"/>
    <d v="2017-12-29T00:00:00"/>
    <s v="Family Corp"/>
    <s v="Export"/>
    <x v="2"/>
    <n v="8"/>
    <n v="4013.3"/>
    <n v="32106.400000000001"/>
    <n v="2046.7829999999999"/>
    <s v="FL"/>
    <s v="Florida"/>
    <s v="South"/>
    <n v="4028698.409"/>
    <n v="16374.263999999999"/>
    <n v="15732.136"/>
    <n v="49"/>
    <s v="December"/>
    <n v="12"/>
    <s v="2017-12"/>
    <x v="4"/>
  </r>
  <r>
    <s v="SO - 0009934"/>
    <d v="2017-12-29T00:00:00"/>
    <s v="Cadila Ltd"/>
    <s v="Export"/>
    <x v="17"/>
    <n v="11"/>
    <n v="2519.1999999999998"/>
    <n v="27711.199999999997"/>
    <n v="1058.0640000000001"/>
    <s v="TX"/>
    <s v="Texas"/>
    <s v="South"/>
    <n v="2642352.432"/>
    <n v="11638.704"/>
    <n v="16072.495999999999"/>
    <n v="57.999999999999901"/>
    <s v="December"/>
    <n v="12"/>
    <s v="2017-12"/>
    <x v="4"/>
  </r>
  <r>
    <s v="SO - 0010616"/>
    <d v="2017-12-29T00:00:00"/>
    <s v="Devpoint Group"/>
    <s v="Wholesale"/>
    <x v="27"/>
    <n v="7"/>
    <n v="3068.6"/>
    <n v="21480.2"/>
    <n v="2454.88"/>
    <s v="MI"/>
    <s v="Michigan"/>
    <s v="Midwest"/>
    <n v="2067108.1199999901"/>
    <n v="17184.16"/>
    <n v="4296.04"/>
    <n v="20"/>
    <s v="December"/>
    <n v="12"/>
    <s v="2017-12"/>
    <x v="4"/>
  </r>
  <r>
    <s v="SO - 0008573"/>
    <d v="2017-12-29T00:00:00"/>
    <s v="Natures Group"/>
    <s v="Wholesale"/>
    <x v="11"/>
    <n v="6"/>
    <n v="180.9"/>
    <n v="1085.4000000000001"/>
    <n v="139.29300000000001"/>
    <s v="FL"/>
    <s v="Florida"/>
    <s v="South"/>
    <n v="5685138.2699999996"/>
    <n v="835.75800000000004"/>
    <n v="249.642"/>
    <n v="23"/>
    <s v="December"/>
    <n v="12"/>
    <s v="2017-12"/>
    <x v="4"/>
  </r>
  <r>
    <s v="SO - 0008957"/>
    <d v="2017-12-29T00:00:00"/>
    <s v="Trunyx Ltd"/>
    <s v="Wholesale"/>
    <x v="21"/>
    <n v="12"/>
    <n v="958.1"/>
    <n v="11497.2"/>
    <n v="440.726"/>
    <s v="MA"/>
    <s v="Massachusetts"/>
    <s v="Northeast"/>
    <n v="1230458.4839999999"/>
    <n v="5288.7120000000004"/>
    <n v="6208.4880000000003"/>
    <n v="54"/>
    <s v="December"/>
    <n v="12"/>
    <s v="2017-12"/>
    <x v="4"/>
  </r>
  <r>
    <s v="SO - 0008379"/>
    <d v="2017-12-29T00:00:00"/>
    <s v="Bta Corp"/>
    <s v="Distributor"/>
    <x v="22"/>
    <n v="7"/>
    <n v="234.5"/>
    <n v="1641.5"/>
    <n v="93.8"/>
    <s v="AZ"/>
    <s v="Arizona"/>
    <s v="West"/>
    <n v="710415.40500000003"/>
    <n v="656.6"/>
    <n v="984.89999999999895"/>
    <n v="59.999999999999901"/>
    <s v="December"/>
    <n v="12"/>
    <s v="2017-12"/>
    <x v="4"/>
  </r>
  <r>
    <s v="SO - 0001873"/>
    <d v="2017-12-29T00:00:00"/>
    <s v="Dazzlesphe Corp"/>
    <s v="Distributor"/>
    <x v="13"/>
    <n v="6"/>
    <n v="1072"/>
    <n v="6432"/>
    <n v="707.52"/>
    <s v="TX"/>
    <s v="Texas"/>
    <s v="South"/>
    <n v="3299478.3149999999"/>
    <n v="4245.12"/>
    <n v="2186.88"/>
    <n v="34"/>
    <s v="December"/>
    <n v="12"/>
    <s v="2017-12"/>
    <x v="4"/>
  </r>
  <r>
    <s v="SO - 0002138"/>
    <d v="2017-12-29T00:00:00"/>
    <s v="Gabvine Ltd"/>
    <s v="Distributor"/>
    <x v="5"/>
    <n v="6"/>
    <n v="1045.2"/>
    <n v="6271.2000000000007"/>
    <n v="595.76400000000001"/>
    <s v="IL"/>
    <s v="Illinois"/>
    <s v="Midwest"/>
    <n v="1003867.767"/>
    <n v="3574.5839999999998"/>
    <n v="2696.616"/>
    <n v="43"/>
    <s v="December"/>
    <n v="12"/>
    <s v="2017-12"/>
    <x v="4"/>
  </r>
  <r>
    <s v="SO - 0002206"/>
    <d v="2017-12-29T00:00:00"/>
    <s v="General Company"/>
    <s v="Wholesale"/>
    <x v="15"/>
    <n v="8"/>
    <n v="174.2"/>
    <n v="1393.6"/>
    <n v="109.746"/>
    <s v="MA"/>
    <s v="Massachusetts"/>
    <s v="Northeast"/>
    <n v="2062061.1440000001"/>
    <n v="877.96799999999996"/>
    <n v="515.63199999999995"/>
    <n v="37"/>
    <s v="December"/>
    <n v="12"/>
    <s v="2017-12"/>
    <x v="4"/>
  </r>
  <r>
    <s v="SO - 0004064"/>
    <d v="2017-12-29T00:00:00"/>
    <s v="Realbuzz Ltd"/>
    <s v="Distributor"/>
    <x v="11"/>
    <n v="8"/>
    <n v="6559.3"/>
    <n v="52474.400000000001"/>
    <n v="4132.3590000000004"/>
    <s v="CA"/>
    <s v="California"/>
    <s v="West"/>
    <n v="5685138.2699999996"/>
    <n v="33058.872000000003"/>
    <n v="19415.527999999998"/>
    <n v="36.999999999999901"/>
    <s v="December"/>
    <n v="12"/>
    <s v="2017-12"/>
    <x v="4"/>
  </r>
  <r>
    <s v="SO - 0004566"/>
    <d v="2017-12-29T00:00:00"/>
    <s v="Zoomdog Corp"/>
    <s v="Export"/>
    <x v="19"/>
    <n v="10"/>
    <n v="3839.1"/>
    <n v="38391"/>
    <n v="2149.8960000000002"/>
    <s v="CA"/>
    <s v="California"/>
    <s v="West"/>
    <n v="2885560.824"/>
    <n v="21498.959999999999"/>
    <n v="16892.039999999899"/>
    <n v="43.999999999999901"/>
    <s v="December"/>
    <n v="12"/>
    <s v="2017-12"/>
    <x v="4"/>
  </r>
  <r>
    <s v="SO - 0004601"/>
    <d v="2017-12-29T00:00:00"/>
    <s v="Eayo Company"/>
    <s v="Wholesale"/>
    <x v="28"/>
    <n v="8"/>
    <n v="1125.5999999999999"/>
    <n v="9004.7999999999993"/>
    <n v="574.05600000000004"/>
    <s v="MI"/>
    <s v="Michigan"/>
    <s v="Midwest"/>
    <n v="756557.97"/>
    <n v="4592.4480000000003"/>
    <n v="4412.3519999999999"/>
    <n v="49"/>
    <s v="December"/>
    <n v="12"/>
    <s v="2017-12"/>
    <x v="4"/>
  </r>
  <r>
    <s v="SO - 0008423"/>
    <d v="2017-12-29T00:00:00"/>
    <s v="Tagfeed Ltd"/>
    <s v="Distributor"/>
    <x v="8"/>
    <n v="5"/>
    <n v="1038.5"/>
    <n v="5192.5"/>
    <n v="830.8"/>
    <s v="CA"/>
    <s v="California"/>
    <s v="West"/>
    <n v="663601.902"/>
    <n v="4154"/>
    <n v="1038.5"/>
    <n v="20"/>
    <s v="December"/>
    <n v="12"/>
    <s v="2017-12"/>
    <x v="4"/>
  </r>
  <r>
    <s v="SO - 000851"/>
    <d v="2017-12-29T00:00:00"/>
    <s v="Family Corp"/>
    <s v="Wholesale"/>
    <x v="23"/>
    <n v="12"/>
    <n v="2499.1"/>
    <n v="29989.199999999997"/>
    <n v="1624.415"/>
    <s v="WI"/>
    <s v="Wisconsin"/>
    <s v="Midwest"/>
    <n v="1645841.6"/>
    <n v="19492.98"/>
    <n v="10496.219999999899"/>
    <n v="35"/>
    <s v="December"/>
    <n v="12"/>
    <s v="2017-12"/>
    <x v="4"/>
  </r>
  <r>
    <s v="SO - 0002559"/>
    <d v="2017-12-29T00:00:00"/>
    <s v="Remedy Ltd"/>
    <s v="Wholesale"/>
    <x v="19"/>
    <n v="7"/>
    <n v="227.8"/>
    <n v="1594.6000000000001"/>
    <n v="170.85"/>
    <s v="UT"/>
    <s v="Utah"/>
    <s v="West"/>
    <n v="2885560.824"/>
    <n v="1195.95"/>
    <n v="398.64999999999901"/>
    <n v="24.999999999999901"/>
    <s v="December"/>
    <n v="12"/>
    <s v="2017-12"/>
    <x v="4"/>
  </r>
  <r>
    <s v="SO - 0002683"/>
    <d v="2017-12-29T00:00:00"/>
    <s v="Zooveo Company"/>
    <s v="Export"/>
    <x v="2"/>
    <n v="12"/>
    <n v="2914.5"/>
    <n v="34974"/>
    <n v="1311.5250000000001"/>
    <s v="TX"/>
    <s v="Texas"/>
    <s v="South"/>
    <n v="4028698.409"/>
    <n v="15738.3"/>
    <n v="19235.699999999899"/>
    <n v="54.999999999999901"/>
    <s v="December"/>
    <n v="12"/>
    <s v="2017-12"/>
    <x v="4"/>
  </r>
  <r>
    <s v="SO - 0003161"/>
    <d v="2017-12-29T00:00:00"/>
    <s v="Talane Group"/>
    <s v="Distributor"/>
    <x v="6"/>
    <n v="8"/>
    <n v="5929.5"/>
    <n v="47436"/>
    <n v="3913.47"/>
    <s v="TN"/>
    <s v="Tennessee"/>
    <s v="South"/>
    <n v="3925424.5419999999"/>
    <n v="31307.759999999998"/>
    <n v="16128.2399999999"/>
    <n v="34"/>
    <s v="December"/>
    <n v="12"/>
    <s v="2017-12"/>
    <x v="4"/>
  </r>
  <r>
    <s v="SO - 0006543"/>
    <d v="2017-12-29T00:00:00"/>
    <s v="Omba Group"/>
    <s v="Distributor"/>
    <x v="6"/>
    <n v="8"/>
    <n v="757.1"/>
    <n v="6056.8"/>
    <n v="499.68599999999998"/>
    <s v="VA"/>
    <s v="Virginia"/>
    <s v="South"/>
    <n v="3925424.5419999999"/>
    <n v="3997.4879999999998"/>
    <n v="2059.3119999999999"/>
    <n v="34"/>
    <s v="December"/>
    <n v="12"/>
    <s v="2017-12"/>
    <x v="4"/>
  </r>
  <r>
    <s v="SO - 0007613"/>
    <d v="2017-12-29T00:00:00"/>
    <s v="Aveda Group"/>
    <s v="Distributor"/>
    <x v="3"/>
    <n v="6"/>
    <n v="268"/>
    <n v="1608"/>
    <n v="152.76"/>
    <s v="ID"/>
    <s v="Idaho"/>
    <s v="West"/>
    <n v="1085037.3289999999"/>
    <n v="916.56"/>
    <n v="691.44"/>
    <n v="43"/>
    <s v="December"/>
    <n v="12"/>
    <s v="2017-12"/>
    <x v="4"/>
  </r>
  <r>
    <s v="SO - 0001350"/>
    <d v="2017-12-29T00:00:00"/>
    <s v="Cadila Ltd"/>
    <s v="Export"/>
    <x v="6"/>
    <n v="8"/>
    <n v="187.6"/>
    <n v="1500.8"/>
    <n v="121.94"/>
    <s v="SC"/>
    <s v="South Carolina"/>
    <s v="South"/>
    <n v="3925424.5419999999"/>
    <n v="975.52"/>
    <n v="525.28"/>
    <n v="35"/>
    <s v="December"/>
    <n v="12"/>
    <s v="2017-12"/>
    <x v="4"/>
  </r>
  <r>
    <s v="SO - 0001517"/>
    <d v="2017-12-29T00:00:00"/>
    <s v="Lazzy Group"/>
    <s v="Distributor"/>
    <x v="1"/>
    <n v="5"/>
    <n v="3859.2"/>
    <n v="19296"/>
    <n v="1620.864"/>
    <s v="ID"/>
    <s v="Idaho"/>
    <s v="West"/>
    <n v="5342315.4840000002"/>
    <n v="8104.32"/>
    <n v="11191.68"/>
    <n v="57.999999999999901"/>
    <s v="December"/>
    <n v="12"/>
    <s v="2017-12"/>
    <x v="4"/>
  </r>
  <r>
    <s v="SO - 0001861"/>
    <d v="2017-12-29T00:00:00"/>
    <s v="Browsebug Company"/>
    <s v="Wholesale"/>
    <x v="29"/>
    <n v="12"/>
    <n v="1963.1"/>
    <n v="23557.199999999997"/>
    <n v="1217.1220000000001"/>
    <s v="IL"/>
    <s v="Illinois"/>
    <s v="Midwest"/>
    <n v="864331.62399999995"/>
    <n v="14605.464"/>
    <n v="8951.7360000000008"/>
    <n v="38"/>
    <s v="December"/>
    <n v="12"/>
    <s v="2017-12"/>
    <x v="4"/>
  </r>
  <r>
    <s v="SO - 0002845"/>
    <d v="2017-12-29T00:00:00"/>
    <s v="Browsetype Corp"/>
    <s v="Wholesale"/>
    <x v="11"/>
    <n v="11"/>
    <n v="1051.9000000000001"/>
    <n v="11570.900000000001"/>
    <n v="725.81100000000004"/>
    <s v="SC"/>
    <s v="South Carolina"/>
    <s v="South"/>
    <n v="5685138.2699999996"/>
    <n v="7983.9210000000003"/>
    <n v="3586.9789999999998"/>
    <n v="31"/>
    <s v="December"/>
    <n v="12"/>
    <s v="2017-12"/>
    <x v="4"/>
  </r>
  <r>
    <s v="SO - 0005857"/>
    <d v="2017-12-29T00:00:00"/>
    <s v="Centizu Company"/>
    <s v="Wholesale"/>
    <x v="11"/>
    <n v="9"/>
    <n v="1072"/>
    <n v="9648"/>
    <n v="600.32000000000005"/>
    <s v="OR"/>
    <s v="Oregon"/>
    <s v="West"/>
    <n v="5685138.2699999996"/>
    <n v="5402.88"/>
    <n v="4245.12"/>
    <n v="44"/>
    <s v="December"/>
    <n v="12"/>
    <s v="2017-12"/>
    <x v="4"/>
  </r>
  <r>
    <s v="SO - 0006862"/>
    <d v="2017-12-29T00:00:00"/>
    <s v="Realbuzz Ltd"/>
    <s v="Wholesale"/>
    <x v="20"/>
    <n v="9"/>
    <n v="1273"/>
    <n v="11457"/>
    <n v="1069.32"/>
    <s v="MN"/>
    <s v="Minnesota"/>
    <s v="Midwest"/>
    <n v="964940.23100000003"/>
    <n v="9623.8799999999992"/>
    <n v="1833.12"/>
    <n v="16"/>
    <s v="December"/>
    <n v="12"/>
    <s v="2017-12"/>
    <x v="4"/>
  </r>
  <r>
    <s v="SO - 0010071"/>
    <d v="2017-12-29T00:00:00"/>
    <s v="Trunyx Ltd"/>
    <s v="Export"/>
    <x v="1"/>
    <n v="7"/>
    <n v="1085.4000000000001"/>
    <n v="7597.8000000000011"/>
    <n v="792.34199999999998"/>
    <s v="IL"/>
    <s v="Illinois"/>
    <s v="Midwest"/>
    <n v="5342315.4840000002"/>
    <n v="5546.3940000000002"/>
    <n v="2051.4059999999999"/>
    <n v="27"/>
    <s v="December"/>
    <n v="12"/>
    <s v="2017-12"/>
    <x v="4"/>
  </r>
  <r>
    <s v="SO - 0008966"/>
    <d v="2017-12-29T00:00:00"/>
    <s v="Zooxo Ltd"/>
    <s v="Distributor"/>
    <x v="15"/>
    <n v="12"/>
    <n v="2244.5"/>
    <n v="26934"/>
    <n v="1122.25"/>
    <s v="CA"/>
    <s v="California"/>
    <s v="West"/>
    <n v="2062061.1440000001"/>
    <n v="13467"/>
    <n v="13467"/>
    <n v="50"/>
    <s v="December"/>
    <n v="12"/>
    <s v="2017-12"/>
    <x v="4"/>
  </r>
  <r>
    <s v="SO - 0008223"/>
    <d v="2017-12-29T00:00:00"/>
    <s v="Jayo Company"/>
    <s v="Wholesale"/>
    <x v="6"/>
    <n v="5"/>
    <n v="3912.8"/>
    <n v="19564"/>
    <n v="1956.4"/>
    <s v="NC"/>
    <s v="North Carolina"/>
    <s v="South"/>
    <n v="3925424.5419999999"/>
    <n v="9782"/>
    <n v="9782"/>
    <n v="50"/>
    <s v="December"/>
    <n v="12"/>
    <s v="2017-12"/>
    <x v="4"/>
  </r>
  <r>
    <s v="SO - 0002591"/>
    <d v="2017-12-29T00:00:00"/>
    <s v="Avavee Group"/>
    <s v="Distributor"/>
    <x v="19"/>
    <n v="7"/>
    <n v="1715.2"/>
    <n v="12006.4"/>
    <n v="788.99199999999996"/>
    <s v="CA"/>
    <s v="California"/>
    <s v="West"/>
    <n v="2885560.824"/>
    <n v="5522.9440000000004"/>
    <n v="6483.4559999999901"/>
    <n v="53.999999999999901"/>
    <s v="December"/>
    <n v="12"/>
    <s v="2017-12"/>
    <x v="4"/>
  </r>
  <r>
    <s v="SO - 0004045"/>
    <d v="2017-12-29T00:00:00"/>
    <s v="Sanofi-Ave Group"/>
    <s v="Wholesale"/>
    <x v="1"/>
    <n v="7"/>
    <n v="917.9"/>
    <n v="6425.3"/>
    <n v="578.27700000000004"/>
    <s v="AL"/>
    <s v="Alabama"/>
    <s v="South"/>
    <n v="5342315.4840000002"/>
    <n v="4047.9389999999999"/>
    <n v="2377.3609999999999"/>
    <n v="37"/>
    <s v="December"/>
    <n v="12"/>
    <s v="2017-12"/>
    <x v="4"/>
  </r>
  <r>
    <s v="SO - 0004290"/>
    <d v="2017-12-29T00:00:00"/>
    <s v="Skyvu Group"/>
    <s v="Export"/>
    <x v="1"/>
    <n v="6"/>
    <n v="1735.3"/>
    <n v="10411.799999999999"/>
    <n v="850.296999999999"/>
    <s v="FL"/>
    <s v="Florida"/>
    <s v="South"/>
    <n v="5342315.4840000002"/>
    <n v="5101.7819999999901"/>
    <n v="5310.018"/>
    <n v="51"/>
    <s v="December"/>
    <n v="12"/>
    <s v="2017-12"/>
    <x v="4"/>
  </r>
  <r>
    <s v="SO - 0004358"/>
    <d v="2017-12-29T00:00:00"/>
    <s v="Jaxbean Group"/>
    <s v="Distributor"/>
    <x v="13"/>
    <n v="5"/>
    <n v="830.8"/>
    <n v="4154"/>
    <n v="407.09199999999998"/>
    <s v="MI"/>
    <s v="Michigan"/>
    <s v="Midwest"/>
    <n v="3299478.3149999999"/>
    <n v="2035.46"/>
    <n v="2118.54"/>
    <n v="51"/>
    <s v="December"/>
    <n v="12"/>
    <s v="2017-12"/>
    <x v="4"/>
  </r>
  <r>
    <s v="SO - 000407"/>
    <d v="2017-12-29T00:00:00"/>
    <s v="Kazu Corp"/>
    <s v="Export"/>
    <x v="15"/>
    <n v="6"/>
    <n v="1842.5"/>
    <n v="11055"/>
    <n v="1050.2249999999999"/>
    <s v="FL"/>
    <s v="Florida"/>
    <s v="South"/>
    <n v="2062061.1440000001"/>
    <n v="6301.3499999999904"/>
    <n v="4753.6499999999996"/>
    <n v="43"/>
    <s v="December"/>
    <n v="12"/>
    <s v="2017-12"/>
    <x v="4"/>
  </r>
  <r>
    <s v="SO - 000821"/>
    <d v="2017-12-29T00:00:00"/>
    <s v="Gigabox Group"/>
    <s v="Distributor"/>
    <x v="16"/>
    <n v="9"/>
    <n v="247.9"/>
    <n v="2231.1"/>
    <n v="151.21899999999999"/>
    <s v="NH"/>
    <s v="New Hampshire"/>
    <s v="Northeast"/>
    <n v="3016489.2089999998"/>
    <n v="1360.971"/>
    <n v="870.128999999999"/>
    <n v="38.999999999999901"/>
    <s v="December"/>
    <n v="12"/>
    <s v="2017-12"/>
    <x v="4"/>
  </r>
  <r>
    <s v="SO - 0003595"/>
    <d v="2017-12-29T00:00:00"/>
    <s v="Vimbo Company"/>
    <s v="Distributor"/>
    <x v="7"/>
    <n v="6"/>
    <n v="2586.1999999999998"/>
    <n v="15517.199999999999"/>
    <n v="2172.4079999999999"/>
    <s v="MA"/>
    <s v="Massachusetts"/>
    <s v="Northeast"/>
    <n v="3050087.5649999999"/>
    <n v="13034.448"/>
    <n v="2482.7519999999899"/>
    <n v="15.999999999999901"/>
    <s v="December"/>
    <n v="12"/>
    <s v="2017-12"/>
    <x v="4"/>
  </r>
  <r>
    <s v="SO - 0006673"/>
    <d v="2017-12-29T00:00:00"/>
    <s v="Geiss Company"/>
    <s v="Wholesale"/>
    <x v="22"/>
    <n v="5"/>
    <n v="2599.6"/>
    <n v="12998"/>
    <n v="1637.748"/>
    <s v="FL"/>
    <s v="Florida"/>
    <s v="South"/>
    <n v="710415.40500000003"/>
    <n v="8188.74"/>
    <n v="4809.26"/>
    <n v="37"/>
    <s v="December"/>
    <n v="12"/>
    <s v="2017-12"/>
    <x v="4"/>
  </r>
  <r>
    <s v="SO - 0006837"/>
    <d v="2017-12-29T00:00:00"/>
    <s v="Wockhardt Group"/>
    <s v="Distributor"/>
    <x v="11"/>
    <n v="10"/>
    <n v="187.6"/>
    <n v="1876"/>
    <n v="75.040000000000006"/>
    <s v="CA"/>
    <s v="California"/>
    <s v="West"/>
    <n v="5685138.2699999996"/>
    <n v="750.4"/>
    <n v="1125.5999999999999"/>
    <n v="60"/>
    <s v="December"/>
    <n v="12"/>
    <s v="2017-12"/>
    <x v="4"/>
  </r>
  <r>
    <s v="SO - 0009870"/>
    <d v="2017-12-29T00:00:00"/>
    <s v="Janyx Group"/>
    <s v="Distributor"/>
    <x v="14"/>
    <n v="9"/>
    <n v="3852.5"/>
    <n v="34672.5"/>
    <n v="2311.5"/>
    <s v="IL"/>
    <s v="Illinois"/>
    <s v="Midwest"/>
    <n v="2119616.824"/>
    <n v="20803.5"/>
    <n v="13869"/>
    <n v="40"/>
    <s v="December"/>
    <n v="12"/>
    <s v="2017-12"/>
    <x v="4"/>
  </r>
  <r>
    <s v="SO - 000279"/>
    <d v="2017-12-30T00:00:00"/>
    <s v="Organon Corp"/>
    <s v="Wholesale"/>
    <x v="1"/>
    <n v="12"/>
    <n v="1092.0999999999999"/>
    <n v="13105.199999999999"/>
    <n v="589.73400000000004"/>
    <s v="IL"/>
    <s v="Illinois"/>
    <s v="Midwest"/>
    <n v="5342315.4840000002"/>
    <n v="7076.808"/>
    <n v="6028.3919999999898"/>
    <n v="45.999999999999901"/>
    <s v="December"/>
    <n v="12"/>
    <s v="2017-12"/>
    <x v="4"/>
  </r>
  <r>
    <s v="SO - 0003167"/>
    <d v="2017-12-30T00:00:00"/>
    <s v="Meejo Corp"/>
    <s v="Export"/>
    <x v="13"/>
    <n v="11"/>
    <n v="2619.6999999999998"/>
    <n v="28816.699999999997"/>
    <n v="1231.259"/>
    <s v="CA"/>
    <s v="California"/>
    <s v="West"/>
    <n v="3299478.3149999999"/>
    <n v="13543.849"/>
    <n v="15272.851000000001"/>
    <n v="53"/>
    <s v="December"/>
    <n v="12"/>
    <s v="2017-12"/>
    <x v="4"/>
  </r>
  <r>
    <s v="SO - 0004555"/>
    <d v="2017-12-30T00:00:00"/>
    <s v="Us Ltd"/>
    <s v="Distributor"/>
    <x v="6"/>
    <n v="12"/>
    <n v="167.5"/>
    <n v="2010"/>
    <n v="68.674999999999997"/>
    <s v="WA"/>
    <s v="Washington"/>
    <s v="West"/>
    <n v="3925424.5419999999"/>
    <n v="824.099999999999"/>
    <n v="1185.9000000000001"/>
    <n v="59"/>
    <s v="December"/>
    <n v="12"/>
    <s v="2017-12"/>
    <x v="4"/>
  </r>
  <r>
    <s v="SO - 0004668"/>
    <d v="2017-12-30T00:00:00"/>
    <s v="Roomm Company"/>
    <s v="Export"/>
    <x v="13"/>
    <n v="5"/>
    <n v="2003.3"/>
    <n v="10016.5"/>
    <n v="1161.914"/>
    <s v="FL"/>
    <s v="Florida"/>
    <s v="South"/>
    <n v="3299478.3149999999"/>
    <n v="5809.57"/>
    <n v="4206.93"/>
    <n v="42"/>
    <s v="December"/>
    <n v="12"/>
    <s v="2017-12"/>
    <x v="4"/>
  </r>
  <r>
    <s v="SO - 0005394"/>
    <d v="2017-12-30T00:00:00"/>
    <s v="Mycone Ltd"/>
    <s v="Wholesale"/>
    <x v="9"/>
    <n v="5"/>
    <n v="1232.8"/>
    <n v="6164"/>
    <n v="715.02399999999898"/>
    <s v="GA"/>
    <s v="Georgia"/>
    <s v="South"/>
    <n v="3720639.645"/>
    <n v="3575.1199999999899"/>
    <n v="2588.88"/>
    <n v="42"/>
    <s v="December"/>
    <n v="12"/>
    <s v="2017-12"/>
    <x v="4"/>
  </r>
  <r>
    <s v="SO - 0005627"/>
    <d v="2017-12-30T00:00:00"/>
    <s v="Z.H.T. Group"/>
    <s v="Distributor"/>
    <x v="10"/>
    <n v="6"/>
    <n v="1232.8"/>
    <n v="7396.7999999999993"/>
    <n v="850.63199999999995"/>
    <s v="WA"/>
    <s v="Washington"/>
    <s v="West"/>
    <n v="1672229.416"/>
    <n v="5103.7919999999904"/>
    <n v="2293.0079999999998"/>
    <n v="31"/>
    <s v="December"/>
    <n v="12"/>
    <s v="2017-12"/>
    <x v="4"/>
  </r>
  <r>
    <s v="SO - 0006306"/>
    <d v="2017-12-30T00:00:00"/>
    <s v="Oba Company"/>
    <s v="Wholesale"/>
    <x v="16"/>
    <n v="11"/>
    <n v="207.7"/>
    <n v="2284.6999999999998"/>
    <n v="89.311000000000007"/>
    <s v="FL"/>
    <s v="Florida"/>
    <s v="South"/>
    <n v="3016489.2089999998"/>
    <n v="982.42100000000005"/>
    <n v="1302.279"/>
    <n v="57"/>
    <s v="December"/>
    <n v="12"/>
    <s v="2017-12"/>
    <x v="4"/>
  </r>
  <r>
    <s v="SO - 0006638"/>
    <d v="2017-12-30T00:00:00"/>
    <s v="Thoughtmix Ltd"/>
    <s v="Export"/>
    <x v="4"/>
    <n v="7"/>
    <n v="1031.8"/>
    <n v="7222.5999999999995"/>
    <n v="680.98800000000006"/>
    <s v="CT"/>
    <s v="Connecticut"/>
    <s v="Northeast"/>
    <n v="2309499.0449999999"/>
    <n v="4766.9160000000002"/>
    <n v="2455.6839999999902"/>
    <n v="33.999999999999901"/>
    <s v="December"/>
    <n v="12"/>
    <s v="2017-12"/>
    <x v="4"/>
  </r>
  <r>
    <s v="SO - 0006680"/>
    <d v="2017-12-30T00:00:00"/>
    <s v="Cantrell Company"/>
    <s v="Wholesale"/>
    <x v="1"/>
    <n v="8"/>
    <n v="743.7"/>
    <n v="5949.6"/>
    <n v="312.35399999999998"/>
    <s v="CO"/>
    <s v="Colorado"/>
    <s v="West"/>
    <n v="5342315.4840000002"/>
    <n v="2498.8319999999999"/>
    <n v="3450.768"/>
    <n v="58"/>
    <s v="December"/>
    <n v="12"/>
    <s v="2017-12"/>
    <x v="4"/>
  </r>
  <r>
    <s v="SO - 0007080"/>
    <d v="2017-12-30T00:00:00"/>
    <s v="Arbor Company"/>
    <s v="Wholesale"/>
    <x v="13"/>
    <n v="9"/>
    <n v="710.2"/>
    <n v="6391.8"/>
    <n v="482.93599999999998"/>
    <s v="NC"/>
    <s v="North Carolina"/>
    <s v="South"/>
    <n v="3299478.3149999999"/>
    <n v="4346.424"/>
    <n v="2045.37599999999"/>
    <n v="31.999999999999901"/>
    <s v="December"/>
    <n v="12"/>
    <s v="2017-12"/>
    <x v="4"/>
  </r>
  <r>
    <s v="SO - 0007512"/>
    <d v="2017-12-30T00:00:00"/>
    <s v="Kazu Corp"/>
    <s v="Distributor"/>
    <x v="4"/>
    <n v="7"/>
    <n v="1179.2"/>
    <n v="8254.4"/>
    <n v="554.22400000000005"/>
    <s v="KS"/>
    <s v="Kansas"/>
    <s v="Midwest"/>
    <n v="2309499.0449999999"/>
    <n v="3879.5680000000002"/>
    <n v="4374.8319999999903"/>
    <n v="52.999999999999901"/>
    <s v="December"/>
    <n v="12"/>
    <s v="2017-12"/>
    <x v="4"/>
  </r>
  <r>
    <s v="SO - 0009281"/>
    <d v="2017-12-30T00:00:00"/>
    <s v="Mylan Corp"/>
    <s v="Wholesale"/>
    <x v="11"/>
    <n v="12"/>
    <n v="2512.5"/>
    <n v="30150"/>
    <n v="1231.125"/>
    <s v="UT"/>
    <s v="Utah"/>
    <s v="West"/>
    <n v="5685138.2699999996"/>
    <n v="14773.5"/>
    <n v="15376.5"/>
    <n v="51"/>
    <s v="December"/>
    <n v="12"/>
    <s v="2017-12"/>
    <x v="4"/>
  </r>
  <r>
    <s v="SO - 0002353"/>
    <d v="2017-12-30T00:00:00"/>
    <s v="Deseret Group"/>
    <s v="Distributor"/>
    <x v="9"/>
    <n v="10"/>
    <n v="1822.4"/>
    <n v="18224"/>
    <n v="1457.92"/>
    <s v="IL"/>
    <s v="Illinois"/>
    <s v="Midwest"/>
    <n v="3720639.645"/>
    <n v="14579.2"/>
    <n v="3644.7999999999902"/>
    <n v="19.999999999999901"/>
    <s v="December"/>
    <n v="12"/>
    <s v="2017-12"/>
    <x v="4"/>
  </r>
  <r>
    <s v="SO - 0004940"/>
    <d v="2017-12-30T00:00:00"/>
    <s v="Kazu Corp"/>
    <s v="Distributor"/>
    <x v="6"/>
    <n v="11"/>
    <n v="3906.1"/>
    <n v="42967.1"/>
    <n v="2226.4769999999999"/>
    <s v="ME"/>
    <s v="Maine"/>
    <s v="Northeast"/>
    <n v="3925424.5419999999"/>
    <n v="24491.246999999999"/>
    <n v="18475.852999999999"/>
    <n v="43"/>
    <s v="December"/>
    <n v="12"/>
    <s v="2017-12"/>
    <x v="4"/>
  </r>
  <r>
    <s v="SO - 0007024"/>
    <d v="2017-12-30T00:00:00"/>
    <s v="Zoovu Corp"/>
    <s v="Export"/>
    <x v="25"/>
    <n v="10"/>
    <n v="891.1"/>
    <n v="8911"/>
    <n v="561.39300000000003"/>
    <s v="FL"/>
    <s v="Florida"/>
    <s v="South"/>
    <n v="889737.55500000005"/>
    <n v="5613.93"/>
    <n v="3297.0699999999902"/>
    <n v="36.999999999999901"/>
    <s v="December"/>
    <n v="12"/>
    <s v="2017-12"/>
    <x v="4"/>
  </r>
  <r>
    <s v="SO - 0007876"/>
    <d v="2017-12-30T00:00:00"/>
    <s v="Wordtune Company"/>
    <s v="Wholesale"/>
    <x v="7"/>
    <n v="10"/>
    <n v="2613"/>
    <n v="26130"/>
    <n v="1620.06"/>
    <s v="CA"/>
    <s v="California"/>
    <s v="West"/>
    <n v="3050087.5649999999"/>
    <n v="16200.5999999999"/>
    <n v="9929.4"/>
    <n v="38"/>
    <s v="December"/>
    <n v="12"/>
    <s v="2017-12"/>
    <x v="4"/>
  </r>
  <r>
    <s v="SO - 0008888"/>
    <d v="2017-12-30T00:00:00"/>
    <s v="Skyble Corp"/>
    <s v="Wholesale"/>
    <x v="11"/>
    <n v="6"/>
    <n v="1058.5999999999999"/>
    <n v="6351.5999999999995"/>
    <n v="793.95"/>
    <s v="CA"/>
    <s v="California"/>
    <s v="West"/>
    <n v="5685138.2699999996"/>
    <n v="4763.7"/>
    <n v="1587.8999999999901"/>
    <n v="24.999999999999901"/>
    <s v="December"/>
    <n v="12"/>
    <s v="2017-12"/>
    <x v="4"/>
  </r>
  <r>
    <s v="SO - 0009829"/>
    <d v="2017-12-30T00:00:00"/>
    <s v="The Ltd"/>
    <s v="Wholesale"/>
    <x v="29"/>
    <n v="5"/>
    <n v="3926.2"/>
    <n v="19631"/>
    <n v="3062.4360000000001"/>
    <s v="OR"/>
    <s v="Oregon"/>
    <s v="West"/>
    <n v="864331.62399999995"/>
    <n v="15312.18"/>
    <n v="4318.82"/>
    <n v="21.999999999999901"/>
    <s v="December"/>
    <n v="12"/>
    <s v="2017-12"/>
    <x v="4"/>
  </r>
  <r>
    <s v="SO - 0009369"/>
    <d v="2017-12-30T00:00:00"/>
    <s v="Bath Group"/>
    <s v="Wholesale"/>
    <x v="9"/>
    <n v="12"/>
    <n v="3879.3"/>
    <n v="46551.600000000006"/>
    <n v="3103.44"/>
    <s v="IL"/>
    <s v="Illinois"/>
    <s v="Midwest"/>
    <n v="3720639.645"/>
    <n v="37241.279999999999"/>
    <n v="9310.32"/>
    <n v="19.999999999999901"/>
    <s v="December"/>
    <n v="12"/>
    <s v="2017-12"/>
    <x v="4"/>
  </r>
  <r>
    <s v="SO - 0009903"/>
    <d v="2017-12-30T00:00:00"/>
    <s v="Voonyx Group"/>
    <s v="Wholesale"/>
    <x v="21"/>
    <n v="11"/>
    <n v="3973.1"/>
    <n v="43704.1"/>
    <n v="3337.404"/>
    <s v="IL"/>
    <s v="Illinois"/>
    <s v="Midwest"/>
    <n v="1230458.4839999999"/>
    <n v="36711.444000000003"/>
    <n v="6992.6559999999899"/>
    <n v="15.999999999999901"/>
    <s v="December"/>
    <n v="12"/>
    <s v="2017-12"/>
    <x v="4"/>
  </r>
  <r>
    <s v="SO - 0008723"/>
    <d v="2017-12-30T00:00:00"/>
    <s v="Safeway Ltd"/>
    <s v="Wholesale"/>
    <x v="14"/>
    <n v="9"/>
    <n v="234.5"/>
    <n v="2110.5"/>
    <n v="194.63499999999999"/>
    <s v="FL"/>
    <s v="Florida"/>
    <s v="South"/>
    <n v="2119616.824"/>
    <n v="1751.7149999999999"/>
    <n v="358.78500000000003"/>
    <n v="17"/>
    <s v="December"/>
    <n v="12"/>
    <s v="2017-12"/>
    <x v="4"/>
  </r>
  <r>
    <s v="SO - 0002393"/>
    <d v="2017-12-30T00:00:00"/>
    <s v="Realbridge Corp"/>
    <s v="Distributor"/>
    <x v="20"/>
    <n v="7"/>
    <n v="2331.6"/>
    <n v="16321.199999999999"/>
    <n v="1841.9639999999999"/>
    <s v="CA"/>
    <s v="California"/>
    <s v="West"/>
    <n v="964940.23100000003"/>
    <n v="12893.748"/>
    <n v="3427.4519999999902"/>
    <n v="20.999999999999901"/>
    <s v="December"/>
    <n v="12"/>
    <s v="2017-12"/>
    <x v="4"/>
  </r>
  <r>
    <s v="SO - 0003204"/>
    <d v="2017-12-30T00:00:00"/>
    <s v="General Company"/>
    <s v="Distributor"/>
    <x v="11"/>
    <n v="7"/>
    <n v="1025.0999999999999"/>
    <n v="7175.6999999999989"/>
    <n v="809.82899999999995"/>
    <s v="WA"/>
    <s v="Washington"/>
    <s v="West"/>
    <n v="5685138.2699999996"/>
    <n v="5668.8029999999999"/>
    <n v="1506.8969999999899"/>
    <n v="20.999999999999901"/>
    <s v="December"/>
    <n v="12"/>
    <s v="2017-12"/>
    <x v="4"/>
  </r>
  <r>
    <s v="SO - 0004148"/>
    <d v="2017-12-30T00:00:00"/>
    <s v="Gigabox Group"/>
    <s v="Wholesale"/>
    <x v="11"/>
    <n v="10"/>
    <n v="5092"/>
    <n v="50920"/>
    <n v="2393.2399999999998"/>
    <s v="MI"/>
    <s v="Michigan"/>
    <s v="Midwest"/>
    <n v="5685138.2699999996"/>
    <n v="23932.3999999999"/>
    <n v="26987.599999999999"/>
    <n v="53"/>
    <s v="December"/>
    <n v="12"/>
    <s v="2017-12"/>
    <x v="4"/>
  </r>
  <r>
    <s v="SO - 0007027"/>
    <d v="2017-12-30T00:00:00"/>
    <s v="Us Ltd"/>
    <s v="Wholesale"/>
    <x v="1"/>
    <n v="12"/>
    <n v="2465.6"/>
    <n v="29587.199999999997"/>
    <n v="1799.8879999999999"/>
    <s v="CT"/>
    <s v="Connecticut"/>
    <s v="Northeast"/>
    <n v="5342315.4840000002"/>
    <n v="21598.655999999999"/>
    <n v="7988.5439999999899"/>
    <n v="26.999999999999901"/>
    <s v="December"/>
    <n v="12"/>
    <s v="2017-12"/>
    <x v="4"/>
  </r>
  <r>
    <s v="SO - 0007348"/>
    <d v="2017-12-30T00:00:00"/>
    <s v="Terumo Corp"/>
    <s v="Wholesale"/>
    <x v="26"/>
    <n v="11"/>
    <n v="1835.8"/>
    <n v="20193.8"/>
    <n v="844.46799999999996"/>
    <s v="IL"/>
    <s v="Illinois"/>
    <s v="Midwest"/>
    <n v="1356976.996"/>
    <n v="9289.1479999999992"/>
    <n v="10904.652"/>
    <n v="54"/>
    <s v="December"/>
    <n v="12"/>
    <s v="2017-12"/>
    <x v="4"/>
  </r>
  <r>
    <s v="SO - 0007822"/>
    <d v="2017-12-30T00:00:00"/>
    <s v="Skinder Group"/>
    <s v="Distributor"/>
    <x v="2"/>
    <n v="10"/>
    <n v="241.2"/>
    <n v="2412"/>
    <n v="183.31200000000001"/>
    <s v="FL"/>
    <s v="Florida"/>
    <s v="South"/>
    <n v="4028698.409"/>
    <n v="1833.12"/>
    <n v="578.87999999999897"/>
    <n v="23.999999999999901"/>
    <s v="December"/>
    <n v="12"/>
    <s v="2017-12"/>
    <x v="4"/>
  </r>
  <r>
    <s v="SO - 0009942"/>
    <d v="2017-12-30T00:00:00"/>
    <s v="Skyvu Group"/>
    <s v="Wholesale"/>
    <x v="11"/>
    <n v="8"/>
    <n v="3819"/>
    <n v="30552"/>
    <n v="2978.82"/>
    <s v="SC"/>
    <s v="South Carolina"/>
    <s v="South"/>
    <n v="5685138.2699999996"/>
    <n v="23830.560000000001"/>
    <n v="6721.4399999999896"/>
    <n v="21.999999999999901"/>
    <s v="December"/>
    <n v="12"/>
    <s v="2017-12"/>
    <x v="4"/>
  </r>
  <r>
    <s v="SO - 000309"/>
    <d v="2017-12-30T00:00:00"/>
    <s v="Eire Corp"/>
    <s v="Export"/>
    <x v="7"/>
    <n v="11"/>
    <n v="1125.5999999999999"/>
    <n v="12381.599999999999"/>
    <n v="787.92"/>
    <s v="NJ"/>
    <s v="New Jersey"/>
    <s v="Northeast"/>
    <n v="3050087.5649999999"/>
    <n v="8667.1200000000008"/>
    <n v="3714.48"/>
    <n v="30"/>
    <s v="December"/>
    <n v="12"/>
    <s v="2017-12"/>
    <x v="4"/>
  </r>
  <r>
    <s v="SO - 0001258"/>
    <d v="2017-12-30T00:00:00"/>
    <s v="Accudial Company"/>
    <s v="Distributor"/>
    <x v="19"/>
    <n v="6"/>
    <n v="1072"/>
    <n v="6432"/>
    <n v="621.76"/>
    <s v="TX"/>
    <s v="Texas"/>
    <s v="South"/>
    <n v="2885560.824"/>
    <n v="3730.56"/>
    <n v="2701.44"/>
    <n v="42"/>
    <s v="December"/>
    <n v="12"/>
    <s v="2017-12"/>
    <x v="4"/>
  </r>
  <r>
    <s v="SO - 0004507"/>
    <d v="2017-12-30T00:00:00"/>
    <s v="Accudial Company"/>
    <s v="Wholesale"/>
    <x v="17"/>
    <n v="8"/>
    <n v="3852.5"/>
    <n v="30820"/>
    <n v="2041.825"/>
    <s v="CA"/>
    <s v="California"/>
    <s v="West"/>
    <n v="2642352.432"/>
    <n v="16334.6"/>
    <n v="14485.4"/>
    <n v="47"/>
    <s v="December"/>
    <n v="12"/>
    <s v="2017-12"/>
    <x v="4"/>
  </r>
  <r>
    <s v="SO - 0005161"/>
    <d v="2017-12-30T00:00:00"/>
    <s v="Clinique Ltd"/>
    <s v="Wholesale"/>
    <x v="2"/>
    <n v="9"/>
    <n v="3162.4"/>
    <n v="28461.600000000002"/>
    <n v="1739.32"/>
    <s v="CA"/>
    <s v="California"/>
    <s v="West"/>
    <n v="4028698.409"/>
    <n v="15653.88"/>
    <n v="12807.72"/>
    <n v="45"/>
    <s v="December"/>
    <n v="12"/>
    <s v="2017-12"/>
    <x v="4"/>
  </r>
  <r>
    <s v="SO - 0010274"/>
    <d v="2017-12-30T00:00:00"/>
    <s v="Liberty Group"/>
    <s v="Wholesale"/>
    <x v="2"/>
    <n v="5"/>
    <n v="1025.0999999999999"/>
    <n v="5125.5"/>
    <n v="563.80499999999995"/>
    <s v="IL"/>
    <s v="Illinois"/>
    <s v="Midwest"/>
    <n v="4028698.409"/>
    <n v="2819.0250000000001"/>
    <n v="2306.4749999999999"/>
    <n v="44.999999999999901"/>
    <s v="December"/>
    <n v="12"/>
    <s v="2017-12"/>
    <x v="4"/>
  </r>
  <r>
    <s v="SO - 0008978"/>
    <d v="2017-12-30T00:00:00"/>
    <s v="Alembic Ltd"/>
    <s v="Distributor"/>
    <x v="0"/>
    <n v="10"/>
    <n v="2211"/>
    <n v="22110"/>
    <n v="1127.6099999999999"/>
    <s v="CA"/>
    <s v="California"/>
    <s v="West"/>
    <n v="1011609.684"/>
    <n v="11276.1"/>
    <n v="10833.8999999999"/>
    <n v="48.999999999999901"/>
    <s v="December"/>
    <n v="12"/>
    <s v="2017-12"/>
    <x v="4"/>
  </r>
  <r>
    <s v="SO - 0002915"/>
    <d v="2017-12-30T00:00:00"/>
    <s v="Wordtune Company"/>
    <s v="Wholesale"/>
    <x v="7"/>
    <n v="6"/>
    <n v="917.9"/>
    <n v="5507.4"/>
    <n v="367.16"/>
    <s v="CA"/>
    <s v="California"/>
    <s v="West"/>
    <n v="3050087.5649999999"/>
    <n v="2202.96"/>
    <n v="3304.4399999999901"/>
    <n v="60"/>
    <s v="December"/>
    <n v="12"/>
    <s v="2017-12"/>
    <x v="4"/>
  </r>
  <r>
    <s v="SO - 0004002"/>
    <d v="2017-12-30T00:00:00"/>
    <s v="Johnson Ltd"/>
    <s v="Distributor"/>
    <x v="3"/>
    <n v="6"/>
    <n v="2559.4"/>
    <n v="15356.400000000001"/>
    <n v="1714.798"/>
    <s v="IN"/>
    <s v="Indiana"/>
    <s v="Midwest"/>
    <n v="1085037.3289999999"/>
    <n v="10288.788"/>
    <n v="5067.6120000000001"/>
    <n v="33"/>
    <s v="December"/>
    <n v="12"/>
    <s v="2017-12"/>
    <x v="4"/>
  </r>
  <r>
    <s v="SO - 0004370"/>
    <d v="2017-12-30T00:00:00"/>
    <s v="Pfizer Corp"/>
    <s v="Wholesale"/>
    <x v="12"/>
    <n v="8"/>
    <n v="3859.2"/>
    <n v="30873.599999999999"/>
    <n v="2354.1120000000001"/>
    <s v="PA"/>
    <s v="Pennsylvania"/>
    <s v="Northeast"/>
    <n v="959899.21799999999"/>
    <n v="18832.896000000001"/>
    <n v="12040.704"/>
    <n v="39"/>
    <s v="December"/>
    <n v="12"/>
    <s v="2017-12"/>
    <x v="4"/>
  </r>
  <r>
    <s v="SO - 0006969"/>
    <d v="2017-12-30T00:00:00"/>
    <s v="Divanoodle Ltd"/>
    <s v="Distributor"/>
    <x v="9"/>
    <n v="9"/>
    <n v="2432.1"/>
    <n v="21888.899999999998"/>
    <n v="1653.828"/>
    <s v="NH"/>
    <s v="New Hampshire"/>
    <s v="Northeast"/>
    <n v="3720639.645"/>
    <n v="14884.451999999999"/>
    <n v="7004.4479999999903"/>
    <n v="31.999999999999901"/>
    <s v="December"/>
    <n v="12"/>
    <s v="2017-12"/>
    <x v="4"/>
  </r>
  <r>
    <s v="SO - 0007442"/>
    <d v="2017-12-30T00:00:00"/>
    <s v="Alk-Abello Ltd"/>
    <s v="Distributor"/>
    <x v="9"/>
    <n v="5"/>
    <n v="864.3"/>
    <n v="4321.5"/>
    <n v="363.00599999999997"/>
    <s v="NY"/>
    <s v="New York"/>
    <s v="Northeast"/>
    <n v="3720639.645"/>
    <n v="1815.03"/>
    <n v="2506.4699999999998"/>
    <n v="57.999999999999901"/>
    <s v="December"/>
    <n v="12"/>
    <s v="2017-12"/>
    <x v="4"/>
  </r>
  <r>
    <s v="SO - 0009681"/>
    <d v="2017-12-30T00:00:00"/>
    <s v="Pacific Ltd"/>
    <s v="Distributor"/>
    <x v="17"/>
    <n v="11"/>
    <n v="1051.9000000000001"/>
    <n v="11570.900000000001"/>
    <n v="557.50699999999995"/>
    <s v="CA"/>
    <s v="California"/>
    <s v="West"/>
    <n v="2642352.432"/>
    <n v="6132.5770000000002"/>
    <n v="5438.3230000000003"/>
    <n v="47"/>
    <s v="December"/>
    <n v="12"/>
    <s v="2017-12"/>
    <x v="4"/>
  </r>
  <r>
    <s v="SO - 0001878"/>
    <d v="2017-12-30T00:00:00"/>
    <s v="Geiss Company"/>
    <s v="Distributor"/>
    <x v="5"/>
    <n v="6"/>
    <n v="1835.8"/>
    <n v="11014.8"/>
    <n v="1083.1219999999901"/>
    <s v="CO"/>
    <s v="Colorado"/>
    <s v="West"/>
    <n v="1003867.767"/>
    <n v="6498.73199999999"/>
    <n v="4516.0680000000002"/>
    <n v="41"/>
    <s v="December"/>
    <n v="12"/>
    <s v="2017-12"/>
    <x v="4"/>
  </r>
  <r>
    <s v="SO - 0003512"/>
    <d v="2017-12-30T00:00:00"/>
    <s v="Good Ltd"/>
    <s v="Distributor"/>
    <x v="27"/>
    <n v="9"/>
    <n v="944.7"/>
    <n v="8502.3000000000011"/>
    <n v="415.66800000000001"/>
    <s v="MI"/>
    <s v="Michigan"/>
    <s v="Midwest"/>
    <n v="2067108.1199999901"/>
    <n v="3741.0120000000002"/>
    <n v="4761.2879999999996"/>
    <n v="55.999999999999901"/>
    <s v="December"/>
    <n v="12"/>
    <s v="2017-12"/>
    <x v="4"/>
  </r>
  <r>
    <s v="SO - 0006090"/>
    <d v="2017-12-30T00:00:00"/>
    <s v="Cogidoo Company"/>
    <s v="Wholesale"/>
    <x v="27"/>
    <n v="7"/>
    <n v="174.2"/>
    <n v="1219.3999999999999"/>
    <n v="87.1"/>
    <s v="WI"/>
    <s v="Wisconsin"/>
    <s v="Midwest"/>
    <n v="2067108.1199999901"/>
    <n v="609.70000000000005"/>
    <n v="609.70000000000005"/>
    <n v="50"/>
    <s v="December"/>
    <n v="12"/>
    <s v="2017-12"/>
    <x v="4"/>
  </r>
  <r>
    <s v="SO - 0006129"/>
    <d v="2017-12-30T00:00:00"/>
    <s v="Kaymbo Company"/>
    <s v="Wholesale"/>
    <x v="7"/>
    <n v="8"/>
    <n v="3999.9"/>
    <n v="31999.200000000001"/>
    <n v="2199.9450000000002"/>
    <s v="OH"/>
    <s v="Ohio"/>
    <s v="Midwest"/>
    <n v="3050087.5649999999"/>
    <n v="17599.560000000001"/>
    <n v="14399.64"/>
    <n v="44.999999999999901"/>
    <s v="December"/>
    <n v="12"/>
    <s v="2017-12"/>
    <x v="4"/>
  </r>
  <r>
    <s v="SO - 0006529"/>
    <d v="2017-12-30T00:00:00"/>
    <s v="Zooxo Ltd"/>
    <s v="Distributor"/>
    <x v="24"/>
    <n v="11"/>
    <n v="991.6"/>
    <n v="10907.6"/>
    <n v="644.54"/>
    <s v="CA"/>
    <s v="California"/>
    <s v="West"/>
    <n v="594471.56999999995"/>
    <n v="7089.94"/>
    <n v="3817.66"/>
    <n v="35"/>
    <s v="December"/>
    <n v="12"/>
    <s v="2017-12"/>
    <x v="4"/>
  </r>
  <r>
    <s v="SO - 0008172"/>
    <d v="2017-12-30T00:00:00"/>
    <s v="H Ltd"/>
    <s v="Wholesale"/>
    <x v="10"/>
    <n v="10"/>
    <n v="1735.3"/>
    <n v="17353"/>
    <n v="1145.298"/>
    <s v="MI"/>
    <s v="Michigan"/>
    <s v="Midwest"/>
    <n v="1672229.416"/>
    <n v="11452.98"/>
    <n v="5900.02"/>
    <n v="34"/>
    <s v="December"/>
    <n v="12"/>
    <s v="2017-12"/>
    <x v="4"/>
  </r>
  <r>
    <s v="SO - 000823"/>
    <d v="2017-12-31T00:00:00"/>
    <s v="Actavis Company"/>
    <s v="Distributor"/>
    <x v="13"/>
    <n v="11"/>
    <n v="2237.8000000000002"/>
    <n v="24615.800000000003"/>
    <n v="1499.326"/>
    <s v="NC"/>
    <s v="North Carolina"/>
    <s v="South"/>
    <n v="3299478.3149999999"/>
    <n v="16492.585999999999"/>
    <n v="8123.2139999999999"/>
    <n v="32.999999999999901"/>
    <s v="December"/>
    <n v="12"/>
    <s v="2017-12"/>
    <x v="4"/>
  </r>
  <r>
    <s v="SO - 0001939"/>
    <d v="2017-12-31T00:00:00"/>
    <s v="Internatio Company"/>
    <s v="Wholesale"/>
    <x v="4"/>
    <n v="10"/>
    <n v="2010"/>
    <n v="20100"/>
    <n v="924.6"/>
    <s v="UT"/>
    <s v="Utah"/>
    <s v="West"/>
    <n v="2309499.0449999999"/>
    <n v="9246"/>
    <n v="10854"/>
    <n v="54"/>
    <s v="December"/>
    <n v="12"/>
    <s v="2017-12"/>
    <x v="4"/>
  </r>
  <r>
    <s v="SO - 0002543"/>
    <d v="2017-12-31T00:00:00"/>
    <s v="Terumo Corp"/>
    <s v="Export"/>
    <x v="2"/>
    <n v="9"/>
    <n v="3644.8"/>
    <n v="32803.200000000004"/>
    <n v="2587.808"/>
    <s v="IN"/>
    <s v="Indiana"/>
    <s v="Midwest"/>
    <n v="4028698.409"/>
    <n v="23290.272000000001"/>
    <n v="9512.9279999999999"/>
    <n v="29"/>
    <s v="December"/>
    <n v="12"/>
    <s v="2017-12"/>
    <x v="4"/>
  </r>
  <r>
    <s v="SO - 0003099"/>
    <d v="2017-12-31T00:00:00"/>
    <s v="Nlounge Ltd"/>
    <s v="Export"/>
    <x v="6"/>
    <n v="6"/>
    <n v="1943"/>
    <n v="11658"/>
    <n v="1224.0899999999999"/>
    <s v="KS"/>
    <s v="Kansas"/>
    <s v="Midwest"/>
    <n v="3925424.5419999999"/>
    <n v="7344.53999999999"/>
    <n v="4313.46"/>
    <n v="37"/>
    <s v="December"/>
    <n v="12"/>
    <s v="2017-12"/>
    <x v="4"/>
  </r>
  <r>
    <s v="SO - 0009894"/>
    <d v="2017-12-31T00:00:00"/>
    <s v="Wordtune Company"/>
    <s v="Wholesale"/>
    <x v="11"/>
    <n v="9"/>
    <n v="3095.4"/>
    <n v="27858.600000000002"/>
    <n v="1392.93"/>
    <s v="IL"/>
    <s v="Illinois"/>
    <s v="Midwest"/>
    <n v="5685138.2699999996"/>
    <n v="12536.37"/>
    <n v="15322.23"/>
    <n v="55"/>
    <s v="December"/>
    <n v="12"/>
    <s v="2017-12"/>
    <x v="4"/>
  </r>
  <r>
    <s v="SO - 000178"/>
    <d v="2017-12-31T00:00:00"/>
    <s v="Mydo Corp"/>
    <s v="Wholesale"/>
    <x v="1"/>
    <n v="6"/>
    <n v="234.5"/>
    <n v="1407"/>
    <n v="128.97499999999999"/>
    <s v="IN"/>
    <s v="Indiana"/>
    <s v="Midwest"/>
    <n v="5342315.4840000002"/>
    <n v="773.85"/>
    <n v="633.14999999999895"/>
    <n v="44.999999999999901"/>
    <s v="December"/>
    <n v="12"/>
    <s v="2017-12"/>
    <x v="4"/>
  </r>
  <r>
    <s v="SO - 0001404"/>
    <d v="2017-12-31T00:00:00"/>
    <s v="Organon Corp"/>
    <s v="Distributor"/>
    <x v="21"/>
    <n v="9"/>
    <n v="3812.3"/>
    <n v="34310.700000000004"/>
    <n v="2211.134"/>
    <s v="OR"/>
    <s v="Oregon"/>
    <s v="West"/>
    <n v="1230458.4839999999"/>
    <n v="19900.205999999998"/>
    <n v="14410.494000000001"/>
    <n v="42"/>
    <s v="December"/>
    <n v="12"/>
    <s v="2017-12"/>
    <x v="4"/>
  </r>
  <r>
    <s v="SO - 0001772"/>
    <d v="2017-12-31T00:00:00"/>
    <s v="H Ltd"/>
    <s v="Wholesale"/>
    <x v="3"/>
    <n v="10"/>
    <n v="1118.9000000000001"/>
    <n v="11189"/>
    <n v="503.505"/>
    <s v="TX"/>
    <s v="Texas"/>
    <s v="South"/>
    <n v="1085037.3289999999"/>
    <n v="5035.05"/>
    <n v="6153.95"/>
    <n v="54.999999999999901"/>
    <s v="December"/>
    <n v="12"/>
    <s v="2017-12"/>
    <x v="4"/>
  </r>
  <r>
    <s v="SO - 0002282"/>
    <d v="2017-12-31T00:00:00"/>
    <s v="Buzzshare Company"/>
    <s v="Wholesale"/>
    <x v="20"/>
    <n v="9"/>
    <n v="2418.6999999999998"/>
    <n v="21768.3"/>
    <n v="1596.3420000000001"/>
    <s v="MN"/>
    <s v="Minnesota"/>
    <s v="Midwest"/>
    <n v="964940.23100000003"/>
    <n v="14367.078"/>
    <n v="7401.2219999999998"/>
    <n v="34"/>
    <s v="December"/>
    <n v="12"/>
    <s v="2017-12"/>
    <x v="4"/>
  </r>
  <r>
    <s v="SO - 0005370"/>
    <d v="2017-12-31T00:00:00"/>
    <s v="Centizu Company"/>
    <s v="Distributor"/>
    <x v="14"/>
    <n v="7"/>
    <n v="1085.4000000000001"/>
    <n v="7597.8000000000011"/>
    <n v="629.53200000000004"/>
    <s v="WA"/>
    <s v="Washington"/>
    <s v="West"/>
    <n v="2119616.824"/>
    <n v="4406.7240000000002"/>
    <n v="3191.076"/>
    <n v="42"/>
    <s v="December"/>
    <n v="12"/>
    <s v="2017-12"/>
    <x v="4"/>
  </r>
  <r>
    <s v="SO - 0005457"/>
    <d v="2017-12-31T00:00:00"/>
    <s v="Mylan Corp"/>
    <s v="Distributor"/>
    <x v="1"/>
    <n v="9"/>
    <n v="797.3"/>
    <n v="7175.7"/>
    <n v="422.56900000000002"/>
    <s v="CA"/>
    <s v="California"/>
    <s v="West"/>
    <n v="5342315.4840000002"/>
    <n v="3803.1210000000001"/>
    <n v="3372.5790000000002"/>
    <n v="47"/>
    <s v="December"/>
    <n v="12"/>
    <s v="2017-12"/>
    <x v="4"/>
  </r>
  <r>
    <s v="SO - 0007381"/>
    <d v="2017-12-31T00:00:00"/>
    <s v="Blogtags Ltd"/>
    <s v="Wholesale"/>
    <x v="17"/>
    <n v="5"/>
    <n v="1989.9"/>
    <n v="9949.5"/>
    <n v="1631.7180000000001"/>
    <s v="TX"/>
    <s v="Texas"/>
    <s v="South"/>
    <n v="2642352.432"/>
    <n v="8158.59"/>
    <n v="1790.9099999999901"/>
    <n v="18"/>
    <s v="December"/>
    <n v="12"/>
    <s v="2017-12"/>
    <x v="4"/>
  </r>
  <r>
    <s v="SO - 0008715"/>
    <d v="2017-12-31T00:00:00"/>
    <s v="Jaxbean Group"/>
    <s v="Wholesale"/>
    <x v="29"/>
    <n v="6"/>
    <n v="1855.9"/>
    <n v="11135.400000000001"/>
    <n v="816.596"/>
    <s v="VA"/>
    <s v="Virginia"/>
    <s v="South"/>
    <n v="864331.62399999995"/>
    <n v="4899.576"/>
    <n v="6235.8239999999996"/>
    <n v="56"/>
    <s v="December"/>
    <n v="12"/>
    <s v="2017-12"/>
    <x v="4"/>
  </r>
  <r>
    <s v="SO - 000947"/>
    <d v="2017-12-31T00:00:00"/>
    <s v="Wise Company"/>
    <s v="Wholesale"/>
    <x v="19"/>
    <n v="11"/>
    <n v="2298.1"/>
    <n v="25279.1"/>
    <n v="988.18299999999999"/>
    <s v="ID"/>
    <s v="Idaho"/>
    <s v="West"/>
    <n v="2885560.824"/>
    <n v="10870.012999999901"/>
    <n v="14409.087"/>
    <n v="57"/>
    <s v="December"/>
    <n v="12"/>
    <s v="2017-12"/>
    <x v="4"/>
  </r>
  <r>
    <s v="SO - 0001609"/>
    <d v="2017-12-31T00:00:00"/>
    <s v="Nexus Group"/>
    <s v="Wholesale"/>
    <x v="9"/>
    <n v="9"/>
    <n v="1842.5"/>
    <n v="16582.5"/>
    <n v="1529.2749999999901"/>
    <s v="WA"/>
    <s v="Washington"/>
    <s v="West"/>
    <n v="3720639.645"/>
    <n v="13763.4749999999"/>
    <n v="2819.0250000000001"/>
    <n v="17"/>
    <s v="December"/>
    <n v="12"/>
    <s v="2017-12"/>
    <x v="4"/>
  </r>
  <r>
    <s v="SO - 0002223"/>
    <d v="2017-12-31T00:00:00"/>
    <s v="Dazzlesphe Corp"/>
    <s v="Distributor"/>
    <x v="24"/>
    <n v="11"/>
    <n v="2840.8"/>
    <n v="31248.800000000003"/>
    <n v="1619.2559999999901"/>
    <s v="IL"/>
    <s v="Illinois"/>
    <s v="Midwest"/>
    <n v="594471.56999999995"/>
    <n v="17811.815999999999"/>
    <n v="13436.984"/>
    <n v="43"/>
    <s v="December"/>
    <n v="12"/>
    <s v="2017-12"/>
    <x v="4"/>
  </r>
  <r>
    <s v="SO - 0002732"/>
    <d v="2017-12-31T00:00:00"/>
    <s v="Brainspher Ltd"/>
    <s v="Distributor"/>
    <x v="13"/>
    <n v="8"/>
    <n v="2546"/>
    <n v="20368"/>
    <n v="2062.2600000000002"/>
    <s v="NJ"/>
    <s v="New Jersey"/>
    <s v="Northeast"/>
    <n v="3299478.3149999999"/>
    <n v="16498.080000000002"/>
    <n v="3869.9199999999901"/>
    <n v="18.999999999999901"/>
    <s v="December"/>
    <n v="12"/>
    <s v="2017-12"/>
    <x v="4"/>
  </r>
  <r>
    <s v="SO - 0003530"/>
    <d v="2017-12-31T00:00:00"/>
    <s v="Natures Group"/>
    <s v="Wholesale"/>
    <x v="7"/>
    <n v="12"/>
    <n v="214.4"/>
    <n v="2572.8000000000002"/>
    <n v="175.80799999999999"/>
    <s v="MD"/>
    <s v="Maryland"/>
    <s v="South"/>
    <n v="3050087.5649999999"/>
    <n v="2109.6959999999999"/>
    <n v="463.10399999999998"/>
    <n v="18"/>
    <s v="December"/>
    <n v="12"/>
    <s v="2017-12"/>
    <x v="4"/>
  </r>
  <r>
    <s v="SO - 0003899"/>
    <d v="2017-12-31T00:00:00"/>
    <s v="Clinique Ltd"/>
    <s v="Wholesale"/>
    <x v="10"/>
    <n v="6"/>
    <n v="6492.3"/>
    <n v="38953.800000000003"/>
    <n v="2661.8429999999998"/>
    <s v="ID"/>
    <s v="Idaho"/>
    <s v="West"/>
    <n v="1672229.416"/>
    <n v="15971.057999999901"/>
    <n v="22982.741999999998"/>
    <n v="59"/>
    <s v="December"/>
    <n v="12"/>
    <s v="2017-12"/>
    <x v="4"/>
  </r>
  <r>
    <s v="SO - 0004043"/>
    <d v="2017-12-31T00:00:00"/>
    <s v="Roberts Company"/>
    <s v="Wholesale"/>
    <x v="29"/>
    <n v="11"/>
    <n v="1159.0999999999999"/>
    <n v="12750.099999999999"/>
    <n v="475.23099999999999"/>
    <s v="IN"/>
    <s v="Indiana"/>
    <s v="Midwest"/>
    <n v="864331.62399999995"/>
    <n v="5227.5410000000002"/>
    <n v="7522.5590000000002"/>
    <n v="59"/>
    <s v="December"/>
    <n v="12"/>
    <s v="2017-12"/>
    <x v="4"/>
  </r>
  <r>
    <s v="SO - 0004133"/>
    <d v="2017-12-31T00:00:00"/>
    <s v="Sanum-Kehl Group"/>
    <s v="Distributor"/>
    <x v="13"/>
    <n v="5"/>
    <n v="1728.6"/>
    <n v="8643"/>
    <n v="1123.5899999999999"/>
    <s v="NY"/>
    <s v="New York"/>
    <s v="Northeast"/>
    <n v="3299478.3149999999"/>
    <n v="5617.95"/>
    <n v="3025.0499999999902"/>
    <n v="34.999999999999901"/>
    <s v="December"/>
    <n v="12"/>
    <s v="2017-12"/>
    <x v="4"/>
  </r>
  <r>
    <s v="SO - 0004838"/>
    <d v="2017-12-31T00:00:00"/>
    <s v="Jaxbean Group"/>
    <s v="Wholesale"/>
    <x v="26"/>
    <n v="5"/>
    <n v="3819"/>
    <n v="19095"/>
    <n v="2864.25"/>
    <s v="ND"/>
    <s v="North Dakota"/>
    <s v="Midwest"/>
    <n v="1356976.996"/>
    <n v="14321.25"/>
    <n v="4773.75"/>
    <n v="25"/>
    <s v="December"/>
    <n v="12"/>
    <s v="2017-12"/>
    <x v="4"/>
  </r>
  <r>
    <s v="SO - 0005104"/>
    <d v="2017-12-31T00:00:00"/>
    <s v="Wise Company"/>
    <s v="Distributor"/>
    <x v="14"/>
    <n v="5"/>
    <n v="268"/>
    <n v="1340"/>
    <n v="131.32"/>
    <s v="KS"/>
    <s v="Kansas"/>
    <s v="Midwest"/>
    <n v="2119616.824"/>
    <n v="656.599999999999"/>
    <n v="683.4"/>
    <n v="51"/>
    <s v="December"/>
    <n v="12"/>
    <s v="2017-12"/>
    <x v="4"/>
  </r>
  <r>
    <s v="SO - 0005996"/>
    <d v="2017-12-31T00:00:00"/>
    <s v="Bath Group"/>
    <s v="Distributor"/>
    <x v="1"/>
    <n v="12"/>
    <n v="2479"/>
    <n v="29748"/>
    <n v="1512.19"/>
    <s v="AL"/>
    <s v="Alabama"/>
    <s v="South"/>
    <n v="5342315.4840000002"/>
    <n v="18146.28"/>
    <n v="11601.72"/>
    <n v="39"/>
    <s v="December"/>
    <n v="12"/>
    <s v="2017-12"/>
    <x v="4"/>
  </r>
  <r>
    <s v="SO - 0006849"/>
    <d v="2017-12-31T00:00:00"/>
    <s v="Roberts Company"/>
    <s v="Distributor"/>
    <x v="25"/>
    <n v="5"/>
    <n v="2458.9"/>
    <n v="12294.5"/>
    <n v="1549.107"/>
    <s v="MS"/>
    <s v="Mississippi"/>
    <s v="South"/>
    <n v="889737.55500000005"/>
    <n v="7745.5349999999999"/>
    <n v="4548.9650000000001"/>
    <n v="37"/>
    <s v="December"/>
    <n v="12"/>
    <s v="2017-12"/>
    <x v="4"/>
  </r>
  <r>
    <s v="SO - 0007378"/>
    <d v="2017-12-31T00:00:00"/>
    <s v="Emd Group"/>
    <s v="Distributor"/>
    <x v="7"/>
    <n v="7"/>
    <n v="1775.5"/>
    <n v="12428.5"/>
    <n v="1473.665"/>
    <s v="TX"/>
    <s v="Texas"/>
    <s v="South"/>
    <n v="3050087.5649999999"/>
    <n v="10315.654999999901"/>
    <n v="2112.8449999999998"/>
    <n v="17"/>
    <s v="December"/>
    <n v="12"/>
    <s v="2017-12"/>
    <x v="4"/>
  </r>
  <r>
    <s v="SO - 0009427"/>
    <d v="2017-12-31T00:00:00"/>
    <s v="Flipbug Ltd"/>
    <s v="Wholesale"/>
    <x v="19"/>
    <n v="6"/>
    <n v="3845.8"/>
    <n v="23074.800000000003"/>
    <n v="1769.068"/>
    <s v="FL"/>
    <s v="Florida"/>
    <s v="South"/>
    <n v="2885560.824"/>
    <n v="10614.407999999999"/>
    <n v="12460.392"/>
    <n v="54"/>
    <s v="December"/>
    <n v="12"/>
    <s v="2017-12"/>
    <x v="4"/>
  </r>
  <r>
    <s v="SO - 0008577"/>
    <d v="2017-12-31T00:00:00"/>
    <s v="Blogspan Ltd"/>
    <s v="Wholesale"/>
    <x v="13"/>
    <n v="7"/>
    <n v="891.1"/>
    <n v="6237.7"/>
    <n v="427.72800000000001"/>
    <s v="IL"/>
    <s v="Illinois"/>
    <s v="Midwest"/>
    <n v="3299478.3149999999"/>
    <n v="2994.096"/>
    <n v="3243.6039999999998"/>
    <n v="52"/>
    <s v="December"/>
    <n v="12"/>
    <s v="2017-12"/>
    <x v="4"/>
  </r>
  <r>
    <s v="SO - 0009773"/>
    <d v="2017-12-31T00:00:00"/>
    <s v="Cantrell Company"/>
    <s v="Wholesale"/>
    <x v="11"/>
    <n v="5"/>
    <n v="1025.0999999999999"/>
    <n v="5125.5"/>
    <n v="717.57"/>
    <s v="TX"/>
    <s v="Texas"/>
    <s v="South"/>
    <n v="5685138.2699999996"/>
    <n v="3587.85"/>
    <n v="1537.65"/>
    <n v="30"/>
    <s v="December"/>
    <n v="12"/>
    <s v="2017-12"/>
    <x v="4"/>
  </r>
  <r>
    <s v="SO - 0001303"/>
    <d v="2017-12-31T00:00:00"/>
    <s v="Tambee Company"/>
    <s v="Wholesale"/>
    <x v="6"/>
    <n v="10"/>
    <n v="3249.5"/>
    <n v="32495"/>
    <n v="2697.085"/>
    <s v="KS"/>
    <s v="Kansas"/>
    <s v="Midwest"/>
    <n v="3925424.5419999999"/>
    <n v="26970.85"/>
    <n v="5524.15"/>
    <n v="17"/>
    <s v="December"/>
    <n v="12"/>
    <s v="2017-12"/>
    <x v="4"/>
  </r>
  <r>
    <s v="SO - 0002269"/>
    <d v="2017-12-31T00:00:00"/>
    <s v="Tambee Company"/>
    <s v="Wholesale"/>
    <x v="10"/>
    <n v="8"/>
    <n v="5299.7"/>
    <n v="42397.599999999999"/>
    <n v="2596.8530000000001"/>
    <s v="IL"/>
    <s v="Illinois"/>
    <s v="Midwest"/>
    <n v="1672229.416"/>
    <n v="20774.824000000001"/>
    <n v="21622.7759999999"/>
    <n v="51"/>
    <s v="December"/>
    <n v="12"/>
    <s v="2017-12"/>
    <x v="4"/>
  </r>
  <r>
    <s v="SO - 0003091"/>
    <d v="2017-12-31T00:00:00"/>
    <s v="Kaymbo Company"/>
    <s v="Wholesale"/>
    <x v="14"/>
    <n v="5"/>
    <n v="6083.6"/>
    <n v="30418"/>
    <n v="3041.8"/>
    <s v="CA"/>
    <s v="California"/>
    <s v="West"/>
    <n v="2119616.824"/>
    <n v="15209"/>
    <n v="15209"/>
    <n v="50"/>
    <s v="December"/>
    <n v="12"/>
    <s v="2017-12"/>
    <x v="4"/>
  </r>
  <r>
    <s v="SO - 0007592"/>
    <d v="2017-12-31T00:00:00"/>
    <s v="Skippad Ltd"/>
    <s v="Wholesale"/>
    <x v="27"/>
    <n v="9"/>
    <n v="3973.1"/>
    <n v="35757.9"/>
    <n v="2185.2049999999999"/>
    <s v="MA"/>
    <s v="Massachusetts"/>
    <s v="Northeast"/>
    <n v="2067108.1199999901"/>
    <n v="19666.845000000001"/>
    <n v="16091.055"/>
    <n v="45"/>
    <s v="December"/>
    <n v="12"/>
    <s v="2017-12"/>
    <x v="4"/>
  </r>
  <r>
    <s v="SO - 0010687"/>
    <d v="2017-12-31T00:00:00"/>
    <s v="Talane Group"/>
    <s v="Export"/>
    <x v="13"/>
    <n v="9"/>
    <n v="1038.5"/>
    <n v="9346.5"/>
    <n v="695.79499999999996"/>
    <s v="CO"/>
    <s v="Colorado"/>
    <s v="West"/>
    <n v="3299478.3149999999"/>
    <n v="6262.1549999999997"/>
    <n v="3084.3449999999898"/>
    <n v="32.999999999999901"/>
    <s v="December"/>
    <n v="12"/>
    <s v="2017-12"/>
    <x v="4"/>
  </r>
  <r>
    <s v="SO - 000652"/>
    <d v="2017-12-31T00:00:00"/>
    <s v="Buzzbean Group"/>
    <s v="Wholesale"/>
    <x v="16"/>
    <n v="9"/>
    <n v="241.2"/>
    <n v="2170.7999999999997"/>
    <n v="161.60400000000001"/>
    <s v="IN"/>
    <s v="Indiana"/>
    <s v="Midwest"/>
    <n v="3016489.2089999998"/>
    <n v="1454.4359999999999"/>
    <n v="716.36400000000003"/>
    <n v="32.999999999999901"/>
    <s v="December"/>
    <n v="12"/>
    <s v="2017-12"/>
    <x v="4"/>
  </r>
  <r>
    <s v="SO - 0004229"/>
    <d v="2017-12-31T00:00:00"/>
    <s v="Alembic Ltd"/>
    <s v="Wholesale"/>
    <x v="17"/>
    <n v="6"/>
    <n v="1916.2"/>
    <n v="11497.2"/>
    <n v="1207.2059999999999"/>
    <s v="NY"/>
    <s v="New York"/>
    <s v="Northeast"/>
    <n v="2642352.432"/>
    <n v="7243.2359999999999"/>
    <n v="4253.9639999999999"/>
    <n v="37"/>
    <s v="December"/>
    <n v="12"/>
    <s v="2017-12"/>
    <x v="4"/>
  </r>
  <r>
    <s v="SO - 0004504"/>
    <d v="2017-12-31T00:00:00"/>
    <s v="Wordware Company"/>
    <s v="Wholesale"/>
    <x v="19"/>
    <n v="11"/>
    <n v="5768.7"/>
    <n v="63455.7"/>
    <n v="4095.77699999999"/>
    <s v="CA"/>
    <s v="California"/>
    <s v="West"/>
    <n v="2885560.824"/>
    <n v="45053.546999999999"/>
    <n v="18402.152999999998"/>
    <n v="28.999999999999901"/>
    <s v="December"/>
    <n v="12"/>
    <s v="2017-12"/>
    <x v="4"/>
  </r>
  <r>
    <s v="SO - 0005521"/>
    <d v="2017-12-31T00:00:00"/>
    <s v="Skyble Corp"/>
    <s v="Export"/>
    <x v="4"/>
    <n v="6"/>
    <n v="1125.5999999999999"/>
    <n v="6753.5999999999995"/>
    <n v="934.24800000000005"/>
    <s v="MA"/>
    <s v="Massachusetts"/>
    <s v="Northeast"/>
    <n v="2309499.0449999999"/>
    <n v="5605.4880000000003"/>
    <n v="1148.1120000000001"/>
    <n v="17"/>
    <s v="December"/>
    <n v="12"/>
    <s v="2017-12"/>
    <x v="4"/>
  </r>
  <r>
    <s v="SO - 0005726"/>
    <d v="2017-12-31T00:00:00"/>
    <s v="Accord Group"/>
    <s v="Distributor"/>
    <x v="19"/>
    <n v="10"/>
    <n v="5768.7"/>
    <n v="57687"/>
    <n v="4268.8379999999997"/>
    <s v="IL"/>
    <s v="Illinois"/>
    <s v="Midwest"/>
    <n v="2885560.824"/>
    <n v="42688.38"/>
    <n v="14998.62"/>
    <n v="26"/>
    <s v="December"/>
    <n v="12"/>
    <s v="2017-12"/>
    <x v="4"/>
  </r>
  <r>
    <s v="SO - 0008989"/>
    <d v="2017-12-31T00:00:00"/>
    <s v="Divanoodle Ltd"/>
    <s v="Distributor"/>
    <x v="2"/>
    <n v="11"/>
    <n v="3899.4"/>
    <n v="42893.4"/>
    <n v="2456.6219999999998"/>
    <s v="IN"/>
    <s v="Indiana"/>
    <s v="Midwest"/>
    <n v="4028698.409"/>
    <n v="27022.842000000001"/>
    <n v="15870.557999999901"/>
    <n v="36.999999999999901"/>
    <s v="December"/>
    <n v="12"/>
    <s v="2017-12"/>
    <x v="4"/>
  </r>
  <r>
    <s v="SO - 0010719"/>
    <d v="2017-12-31T00:00:00"/>
    <s v="Skyble Corp"/>
    <s v="Distributor"/>
    <x v="12"/>
    <n v="6"/>
    <n v="971.5"/>
    <n v="5829"/>
    <n v="777.2"/>
    <s v="CT"/>
    <s v="Connecticut"/>
    <s v="Northeast"/>
    <n v="959899.21799999999"/>
    <n v="4663.2"/>
    <n v="1165.79999999999"/>
    <n v="19.999999999999901"/>
    <s v="December"/>
    <n v="12"/>
    <s v="2017-12"/>
    <x v="4"/>
  </r>
  <r>
    <s v="SO - 000213"/>
    <d v="2017-12-31T00:00:00"/>
    <s v="Zoomdog Corp"/>
    <s v="Wholesale"/>
    <x v="15"/>
    <n v="7"/>
    <n v="1715.2"/>
    <n v="12006.4"/>
    <n v="857.6"/>
    <s v="MO"/>
    <s v="Missouri"/>
    <s v="Midwest"/>
    <n v="2062061.1440000001"/>
    <n v="6003.2"/>
    <n v="6003.2"/>
    <n v="50"/>
    <s v="December"/>
    <n v="12"/>
    <s v="2017-12"/>
    <x v="4"/>
  </r>
  <r>
    <s v="SO - 0003015"/>
    <d v="2017-12-31T00:00:00"/>
    <s v="Dynazzy Company"/>
    <s v="Export"/>
    <x v="16"/>
    <n v="12"/>
    <n v="2613"/>
    <n v="31356"/>
    <n v="1802.96999999999"/>
    <s v="FL"/>
    <s v="Florida"/>
    <s v="South"/>
    <n v="3016489.2089999998"/>
    <n v="21635.64"/>
    <n v="9720.36"/>
    <n v="31"/>
    <s v="December"/>
    <n v="12"/>
    <s v="2017-12"/>
    <x v="4"/>
  </r>
  <r>
    <s v="SO - 0003524"/>
    <d v="2017-12-31T00:00:00"/>
    <s v="Zooveo Company"/>
    <s v="Wholesale"/>
    <x v="16"/>
    <n v="9"/>
    <n v="984.9"/>
    <n v="8864.1"/>
    <n v="512.14800000000002"/>
    <s v="MO"/>
    <s v="Missouri"/>
    <s v="Midwest"/>
    <n v="3016489.2089999998"/>
    <n v="4609.3320000000003"/>
    <n v="4254.768"/>
    <n v="48"/>
    <s v="December"/>
    <n v="12"/>
    <s v="2017-12"/>
    <x v="4"/>
  </r>
  <r>
    <s v="SO - 0004785"/>
    <d v="2017-12-31T00:00:00"/>
    <s v="Wordware Company"/>
    <s v="Wholesale"/>
    <x v="17"/>
    <n v="12"/>
    <n v="201"/>
    <n v="2412"/>
    <n v="90.45"/>
    <s v="PA"/>
    <s v="Pennsylvania"/>
    <s v="Northeast"/>
    <n v="2642352.432"/>
    <n v="1085.4000000000001"/>
    <n v="1326.6"/>
    <n v="54.999999999999901"/>
    <s v="December"/>
    <n v="12"/>
    <s v="2017-12"/>
    <x v="4"/>
  </r>
  <r>
    <s v="SO - 0004950"/>
    <d v="2017-12-31T00:00:00"/>
    <s v="Dynazzy Company"/>
    <s v="Distributor"/>
    <x v="10"/>
    <n v="9"/>
    <n v="3825.7"/>
    <n v="34431.299999999996"/>
    <n v="3098.817"/>
    <s v="FL"/>
    <s v="Florida"/>
    <s v="South"/>
    <n v="1672229.416"/>
    <n v="27889.352999999999"/>
    <n v="6541.9470000000001"/>
    <n v="18.999999999999901"/>
    <s v="December"/>
    <n v="12"/>
    <s v="2017-12"/>
    <x v="4"/>
  </r>
  <r>
    <s v="SO - 0006829"/>
    <d v="2017-12-31T00:00:00"/>
    <s v="Pixoboo Corp"/>
    <s v="Distributor"/>
    <x v="10"/>
    <n v="5"/>
    <n v="1835.8"/>
    <n v="9179"/>
    <n v="972.97400000000005"/>
    <s v="CT"/>
    <s v="Connecticut"/>
    <s v="Northeast"/>
    <n v="1672229.416"/>
    <n v="4864.87"/>
    <n v="4314.13"/>
    <n v="47"/>
    <s v="December"/>
    <n v="12"/>
    <s v="2017-12"/>
    <x v="4"/>
  </r>
  <r>
    <s v="SO - 0009850"/>
    <d v="2017-12-31T00:00:00"/>
    <s v="Rooxo Company"/>
    <s v="Distributor"/>
    <x v="11"/>
    <n v="8"/>
    <n v="207.7"/>
    <n v="1661.6"/>
    <n v="93.465000000000003"/>
    <s v="CA"/>
    <s v="California"/>
    <s v="West"/>
    <n v="5685138.2699999996"/>
    <n v="747.72"/>
    <n v="913.88"/>
    <n v="55"/>
    <s v="December"/>
    <n v="12"/>
    <s v="2017-1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B2368-F4DF-4E4B-9630-E988BC4DE1A1}" name="PivotTable2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7:B49" firstHeaderRow="1" firstDataRow="1" firstDataCol="1"/>
  <pivotFields count="20">
    <pivotField showAll="0"/>
    <pivotField numFmtId="14" showAll="0"/>
    <pivotField showAll="0"/>
    <pivotField showAll="0"/>
    <pivotField axis="axisRow" showAll="0">
      <items count="31">
        <item x="16"/>
        <item h="1" x="29"/>
        <item h="1" x="21"/>
        <item h="1" x="26"/>
        <item h="1" x="9"/>
        <item h="1" x="2"/>
        <item h="1" x="13"/>
        <item h="1" x="15"/>
        <item h="1" x="14"/>
        <item h="1" x="4"/>
        <item h="1" x="23"/>
        <item x="7"/>
        <item h="1" x="27"/>
        <item h="1" x="12"/>
        <item h="1" x="8"/>
        <item h="1" x="18"/>
        <item h="1" x="28"/>
        <item h="1" x="1"/>
        <item h="1" x="11"/>
        <item h="1" x="20"/>
        <item h="1" x="5"/>
        <item h="1" x="24"/>
        <item h="1" x="17"/>
        <item h="1" x="0"/>
        <item h="1" x="19"/>
        <item h="1" x="6"/>
        <item h="1" x="10"/>
        <item h="1" x="25"/>
        <item h="1" x="3"/>
        <item h="1" x="22"/>
        <item t="default"/>
      </items>
    </pivotField>
    <pivotField dataField="1" numFmtId="1" showAll="0"/>
    <pivotField numFmtId="164" showAll="0"/>
    <pivotField numFmtId="1" showAll="0"/>
    <pivotField numFmtId="165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4"/>
    <field x="19"/>
  </rowFields>
  <rowItems count="12">
    <i>
      <x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</rowItems>
  <colItems count="1">
    <i/>
  </colItems>
  <dataFields count="1">
    <dataField name="Average of quantity" fld="5" subtotal="average" baseField="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BAF03-0BD3-46CD-B56E-C24D218F7386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B59" firstHeaderRow="1" firstDataRow="1" firstDataCol="1"/>
  <pivotFields count="20">
    <pivotField showAll="0"/>
    <pivotField numFmtId="14" showAll="0"/>
    <pivotField showAll="0"/>
    <pivotField showAll="0"/>
    <pivotField showAll="0">
      <items count="31">
        <item x="16"/>
        <item h="1" x="29"/>
        <item h="1" x="21"/>
        <item h="1" x="26"/>
        <item h="1" x="9"/>
        <item h="1" x="2"/>
        <item h="1" x="13"/>
        <item h="1" x="15"/>
        <item h="1" x="14"/>
        <item h="1" x="4"/>
        <item h="1" x="23"/>
        <item x="7"/>
        <item h="1" x="27"/>
        <item h="1" x="12"/>
        <item h="1" x="8"/>
        <item h="1" x="18"/>
        <item h="1" x="28"/>
        <item h="1" x="1"/>
        <item h="1" x="11"/>
        <item h="1" x="20"/>
        <item h="1" x="5"/>
        <item h="1" x="24"/>
        <item h="1" x="17"/>
        <item h="1" x="0"/>
        <item h="1" x="19"/>
        <item h="1" x="6"/>
        <item h="1" x="10"/>
        <item h="1" x="25"/>
        <item h="1" x="3"/>
        <item h="1" x="22"/>
        <item t="default"/>
      </items>
    </pivotField>
    <pivotField numFmtId="1" showAll="0"/>
    <pivotField numFmtId="164" showAll="0"/>
    <pivotField dataField="1" numFmtId="1" showAll="0"/>
    <pivotField numFmtId="165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Row" showAll="0" sortType="descending">
      <items count="6">
        <item x="4"/>
        <item x="3"/>
        <item x="2"/>
        <item x="1"/>
        <item x="0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 by Week" fld="7" baseField="19" baseItem="0" numFmtId="1"/>
  </dataFields>
  <conditionalFormats count="1">
    <conditionalFormat type="all" priority="1">
      <pivotAreas count="1">
        <pivotArea fieldPosition="0">
          <references count="1">
            <reference field="19" count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572BB-379F-47D5-AA9E-C33B9117D53B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A63:F94" firstHeaderRow="1" firstDataRow="2" firstDataCol="1"/>
  <pivotFields count="20">
    <pivotField showAll="0"/>
    <pivotField numFmtId="14" showAll="0"/>
    <pivotField showAll="0"/>
    <pivotField showAll="0"/>
    <pivotField axis="axisRow" showAll="0">
      <items count="31">
        <item x="16"/>
        <item x="29"/>
        <item x="21"/>
        <item x="26"/>
        <item x="9"/>
        <item x="2"/>
        <item x="13"/>
        <item x="15"/>
        <item x="14"/>
        <item x="4"/>
        <item x="23"/>
        <item x="7"/>
        <item x="27"/>
        <item x="12"/>
        <item x="8"/>
        <item x="18"/>
        <item x="28"/>
        <item x="1"/>
        <item x="11"/>
        <item x="20"/>
        <item x="5"/>
        <item x="24"/>
        <item x="17"/>
        <item x="0"/>
        <item x="19"/>
        <item x="6"/>
        <item x="10"/>
        <item x="25"/>
        <item x="3"/>
        <item x="22"/>
        <item t="default"/>
      </items>
    </pivotField>
    <pivotField dataField="1" numFmtId="1" showAll="0"/>
    <pivotField numFmtId="164" showAll="0"/>
    <pivotField numFmtId="1" showAll="0"/>
    <pivotField numFmtId="165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19"/>
  </colFields>
  <colItems count="5">
    <i>
      <x/>
    </i>
    <i>
      <x v="1"/>
    </i>
    <i>
      <x v="2"/>
    </i>
    <i>
      <x v="3"/>
    </i>
    <i>
      <x v="4"/>
    </i>
  </colItems>
  <dataFields count="1">
    <dataField name="Total Quantity" fld="5" baseField="4" baseItem="0" numFmtId="1"/>
  </dataFields>
  <chartFormats count="5"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0B74A-28D4-4658-96E8-805D4B47BB1B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98:B129" firstHeaderRow="1" firstDataRow="1" firstDataCol="1"/>
  <pivotFields count="20">
    <pivotField showAll="0"/>
    <pivotField numFmtId="14" showAll="0"/>
    <pivotField showAll="0"/>
    <pivotField showAll="0"/>
    <pivotField axis="axisRow" showAll="0" sortType="ascending">
      <items count="31">
        <item x="16"/>
        <item x="29"/>
        <item x="21"/>
        <item x="26"/>
        <item x="9"/>
        <item x="2"/>
        <item x="13"/>
        <item x="15"/>
        <item x="14"/>
        <item x="4"/>
        <item x="23"/>
        <item x="7"/>
        <item x="27"/>
        <item x="12"/>
        <item x="8"/>
        <item x="18"/>
        <item x="28"/>
        <item x="1"/>
        <item x="11"/>
        <item x="20"/>
        <item x="5"/>
        <item x="24"/>
        <item x="17"/>
        <item x="0"/>
        <item x="19"/>
        <item x="6"/>
        <item x="10"/>
        <item x="25"/>
        <item x="3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dataField="1" numFmtId="1" showAll="0"/>
    <pivotField numFmtId="165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31">
    <i>
      <x v="16"/>
    </i>
    <i>
      <x v="20"/>
    </i>
    <i>
      <x v="29"/>
    </i>
    <i>
      <x v="15"/>
    </i>
    <i>
      <x v="14"/>
    </i>
    <i>
      <x v="19"/>
    </i>
    <i>
      <x v="23"/>
    </i>
    <i>
      <x v="1"/>
    </i>
    <i>
      <x v="21"/>
    </i>
    <i>
      <x v="27"/>
    </i>
    <i>
      <x v="28"/>
    </i>
    <i>
      <x v="3"/>
    </i>
    <i>
      <x v="13"/>
    </i>
    <i>
      <x v="10"/>
    </i>
    <i>
      <x v="2"/>
    </i>
    <i>
      <x v="7"/>
    </i>
    <i>
      <x/>
    </i>
    <i>
      <x v="12"/>
    </i>
    <i>
      <x v="8"/>
    </i>
    <i>
      <x v="26"/>
    </i>
    <i>
      <x v="22"/>
    </i>
    <i>
      <x v="24"/>
    </i>
    <i>
      <x v="11"/>
    </i>
    <i>
      <x v="25"/>
    </i>
    <i>
      <x v="9"/>
    </i>
    <i>
      <x v="6"/>
    </i>
    <i>
      <x v="4"/>
    </i>
    <i>
      <x v="5"/>
    </i>
    <i>
      <x v="18"/>
    </i>
    <i>
      <x v="17"/>
    </i>
    <i t="grand">
      <x/>
    </i>
  </rowItems>
  <colItems count="1">
    <i/>
  </colItems>
  <dataFields count="1">
    <dataField name="Total Revenue by Product" fld="7" baseField="4" baseItem="17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36E4F-21D8-4BE8-9B13-D3B901C932AA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/>
  <pivotFields count="20">
    <pivotField showAll="0"/>
    <pivotField numFmtId="14" showAll="0"/>
    <pivotField showAll="0"/>
    <pivotField showAll="0"/>
    <pivotField axis="axisRow" showAll="0" sortType="descending">
      <items count="31">
        <item x="16"/>
        <item x="29"/>
        <item x="21"/>
        <item x="26"/>
        <item x="9"/>
        <item x="2"/>
        <item x="13"/>
        <item x="15"/>
        <item x="14"/>
        <item x="4"/>
        <item x="23"/>
        <item x="7"/>
        <item x="27"/>
        <item x="12"/>
        <item x="8"/>
        <item x="18"/>
        <item x="28"/>
        <item x="1"/>
        <item x="11"/>
        <item x="20"/>
        <item x="5"/>
        <item x="24"/>
        <item x="17"/>
        <item x="0"/>
        <item x="19"/>
        <item x="6"/>
        <item x="10"/>
        <item x="25"/>
        <item x="3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dataField="1" numFmtId="1" showAll="0"/>
    <pivotField numFmtId="165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31">
    <i>
      <x v="17"/>
    </i>
    <i>
      <x v="18"/>
    </i>
    <i>
      <x v="5"/>
    </i>
    <i>
      <x v="4"/>
    </i>
    <i>
      <x v="6"/>
    </i>
    <i>
      <x v="9"/>
    </i>
    <i>
      <x v="25"/>
    </i>
    <i>
      <x v="11"/>
    </i>
    <i>
      <x v="24"/>
    </i>
    <i>
      <x v="22"/>
    </i>
    <i>
      <x v="26"/>
    </i>
    <i>
      <x v="8"/>
    </i>
    <i>
      <x v="12"/>
    </i>
    <i>
      <x/>
    </i>
    <i>
      <x v="7"/>
    </i>
    <i>
      <x v="2"/>
    </i>
    <i>
      <x v="10"/>
    </i>
    <i>
      <x v="13"/>
    </i>
    <i>
      <x v="3"/>
    </i>
    <i>
      <x v="28"/>
    </i>
    <i>
      <x v="27"/>
    </i>
    <i>
      <x v="21"/>
    </i>
    <i>
      <x v="1"/>
    </i>
    <i>
      <x v="23"/>
    </i>
    <i>
      <x v="19"/>
    </i>
    <i>
      <x v="14"/>
    </i>
    <i>
      <x v="15"/>
    </i>
    <i>
      <x v="29"/>
    </i>
    <i>
      <x v="20"/>
    </i>
    <i>
      <x v="16"/>
    </i>
    <i t="grand">
      <x/>
    </i>
  </rowItems>
  <colItems count="1">
    <i/>
  </colItems>
  <dataFields count="1">
    <dataField name="Total Revenue by Product" fld="7" baseField="4" baseItem="17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90D53-9B49-4F1A-AAA7-32821BE19177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37" firstHeaderRow="1" firstDataRow="1" firstDataCol="1"/>
  <pivotFields count="20">
    <pivotField showAll="0"/>
    <pivotField numFmtId="14" showAll="0"/>
    <pivotField showAll="0"/>
    <pivotField showAll="0"/>
    <pivotField axis="axisRow" showAll="0" sortType="descending">
      <items count="31">
        <item x="16"/>
        <item x="29"/>
        <item x="21"/>
        <item x="26"/>
        <item x="9"/>
        <item x="2"/>
        <item x="13"/>
        <item x="15"/>
        <item x="14"/>
        <item x="4"/>
        <item x="23"/>
        <item x="7"/>
        <item x="27"/>
        <item x="12"/>
        <item x="8"/>
        <item x="18"/>
        <item x="28"/>
        <item x="1"/>
        <item x="11"/>
        <item x="20"/>
        <item x="5"/>
        <item x="24"/>
        <item x="17"/>
        <item x="0"/>
        <item x="19"/>
        <item x="6"/>
        <item x="10"/>
        <item x="25"/>
        <item x="3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4" showAll="0"/>
    <pivotField dataField="1" numFmtId="1" showAll="0"/>
    <pivotField numFmtId="165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31">
    <i>
      <x v="17"/>
    </i>
    <i>
      <x v="18"/>
    </i>
    <i>
      <x v="5"/>
    </i>
    <i>
      <x v="4"/>
    </i>
    <i>
      <x v="6"/>
    </i>
    <i>
      <x v="9"/>
    </i>
    <i>
      <x v="25"/>
    </i>
    <i>
      <x v="11"/>
    </i>
    <i>
      <x v="24"/>
    </i>
    <i>
      <x v="22"/>
    </i>
    <i>
      <x v="26"/>
    </i>
    <i>
      <x v="8"/>
    </i>
    <i>
      <x v="12"/>
    </i>
    <i>
      <x/>
    </i>
    <i>
      <x v="7"/>
    </i>
    <i>
      <x v="2"/>
    </i>
    <i>
      <x v="10"/>
    </i>
    <i>
      <x v="13"/>
    </i>
    <i>
      <x v="3"/>
    </i>
    <i>
      <x v="28"/>
    </i>
    <i>
      <x v="27"/>
    </i>
    <i>
      <x v="21"/>
    </i>
    <i>
      <x v="1"/>
    </i>
    <i>
      <x v="23"/>
    </i>
    <i>
      <x v="19"/>
    </i>
    <i>
      <x v="14"/>
    </i>
    <i>
      <x v="15"/>
    </i>
    <i>
      <x v="29"/>
    </i>
    <i>
      <x v="20"/>
    </i>
    <i>
      <x v="16"/>
    </i>
    <i t="grand">
      <x/>
    </i>
  </rowItems>
  <colItems count="1">
    <i/>
  </colItems>
  <dataFields count="1">
    <dataField name="Total Revenue by Product" fld="7" baseField="4" baseItem="17" numFmtId="164"/>
  </dataFields>
  <formats count="2">
    <format dxfId="3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45780-117C-46D2-AB57-EDD5B843DE6E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B64" firstHeaderRow="1" firstDataRow="1" firstDataCol="1"/>
  <pivotFields count="20">
    <pivotField showAll="0"/>
    <pivotField numFmtId="14" showAll="0"/>
    <pivotField showAll="0"/>
    <pivotField showAll="0"/>
    <pivotField showAll="0">
      <items count="31">
        <item x="16"/>
        <item h="1" x="29"/>
        <item h="1" x="21"/>
        <item h="1" x="26"/>
        <item h="1" x="9"/>
        <item h="1" x="2"/>
        <item h="1" x="13"/>
        <item h="1" x="15"/>
        <item h="1" x="14"/>
        <item h="1" x="4"/>
        <item h="1" x="23"/>
        <item x="7"/>
        <item h="1" x="27"/>
        <item h="1" x="12"/>
        <item h="1" x="8"/>
        <item h="1" x="18"/>
        <item h="1" x="28"/>
        <item h="1" x="1"/>
        <item h="1" x="11"/>
        <item h="1" x="20"/>
        <item h="1" x="5"/>
        <item h="1" x="24"/>
        <item h="1" x="17"/>
        <item h="1" x="0"/>
        <item h="1" x="19"/>
        <item h="1" x="6"/>
        <item h="1" x="10"/>
        <item h="1" x="25"/>
        <item h="1" x="3"/>
        <item h="1" x="22"/>
        <item t="default"/>
      </items>
    </pivotField>
    <pivotField numFmtId="1" showAll="0"/>
    <pivotField numFmtId="164" showAll="0"/>
    <pivotField dataField="1" numFmtId="1" showAll="0"/>
    <pivotField numFmtId="165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Row" showAll="0" sortType="descending">
      <items count="6">
        <item x="4"/>
        <item x="3"/>
        <item x="2"/>
        <item x="1"/>
        <item x="0"/>
        <item t="default"/>
      </items>
    </pivotField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 by Week" fld="7" baseField="19" baseItem="0" numFmtId="1"/>
  </dataFields>
  <conditionalFormats count="1">
    <conditionalFormat type="all" priority="1">
      <pivotAreas count="1">
        <pivotArea fieldPosition="0">
          <references count="1">
            <reference field="19" count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B68F7-A16A-4019-8F22-B9F4740E098B}" name="PivotTable2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1:B53" firstHeaderRow="1" firstDataRow="1" firstDataCol="1"/>
  <pivotFields count="20">
    <pivotField showAll="0"/>
    <pivotField numFmtId="14" showAll="0"/>
    <pivotField showAll="0"/>
    <pivotField showAll="0"/>
    <pivotField axis="axisRow" showAll="0">
      <items count="31">
        <item x="16"/>
        <item h="1" x="29"/>
        <item h="1" x="21"/>
        <item h="1" x="26"/>
        <item h="1" x="9"/>
        <item h="1" x="2"/>
        <item h="1" x="13"/>
        <item h="1" x="15"/>
        <item h="1" x="14"/>
        <item h="1" x="4"/>
        <item h="1" x="23"/>
        <item x="7"/>
        <item h="1" x="27"/>
        <item h="1" x="12"/>
        <item h="1" x="8"/>
        <item h="1" x="18"/>
        <item h="1" x="28"/>
        <item h="1" x="1"/>
        <item h="1" x="11"/>
        <item h="1" x="20"/>
        <item h="1" x="5"/>
        <item h="1" x="24"/>
        <item h="1" x="17"/>
        <item h="1" x="0"/>
        <item h="1" x="19"/>
        <item h="1" x="6"/>
        <item h="1" x="10"/>
        <item h="1" x="25"/>
        <item h="1" x="3"/>
        <item h="1" x="22"/>
        <item t="default"/>
      </items>
    </pivotField>
    <pivotField dataField="1" numFmtId="1" showAll="0"/>
    <pivotField numFmtId="164" showAll="0"/>
    <pivotField numFmtId="1" showAll="0"/>
    <pivotField numFmtId="165"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4"/>
    <field x="19"/>
  </rowFields>
  <rowItems count="12">
    <i>
      <x/>
    </i>
    <i r="1">
      <x/>
    </i>
    <i r="1">
      <x v="1"/>
    </i>
    <i r="1">
      <x v="2"/>
    </i>
    <i r="1">
      <x v="3"/>
    </i>
    <i r="1">
      <x v="4"/>
    </i>
    <i>
      <x v="11"/>
    </i>
    <i r="1">
      <x/>
    </i>
    <i r="1">
      <x v="1"/>
    </i>
    <i r="1">
      <x v="2"/>
    </i>
    <i r="1">
      <x v="3"/>
    </i>
    <i r="1">
      <x v="4"/>
    </i>
  </rowItems>
  <colItems count="1">
    <i/>
  </colItems>
  <dataFields count="1">
    <dataField name="Average of quantity" fld="5" subtotal="average" baseField="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hyperlink" Target="mailto:up@" TargetMode="Externa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hyperlink" Target="mailto:up@" TargetMode="Externa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BE63-2718-4ADF-A726-4BA17B0E8884}">
  <dimension ref="A1:S1314"/>
  <sheetViews>
    <sheetView workbookViewId="0">
      <selection sqref="A1:S1314"/>
    </sheetView>
  </sheetViews>
  <sheetFormatPr defaultRowHeight="14.4" x14ac:dyDescent="0.3"/>
  <cols>
    <col min="2" max="2" width="10.33203125" bestFit="1" customWidth="1"/>
  </cols>
  <sheetData>
    <row r="1" spans="1:1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7" t="s">
        <v>18</v>
      </c>
    </row>
    <row r="2" spans="1:19" x14ac:dyDescent="0.3">
      <c r="A2" s="8" t="s">
        <v>19</v>
      </c>
      <c r="B2" s="9">
        <v>43070</v>
      </c>
      <c r="C2" s="10" t="s">
        <v>20</v>
      </c>
      <c r="D2" s="10" t="s">
        <v>21</v>
      </c>
      <c r="E2" s="10" t="s">
        <v>22</v>
      </c>
      <c r="F2" s="11">
        <v>9</v>
      </c>
      <c r="G2" s="12">
        <v>1802.3</v>
      </c>
      <c r="H2" s="12">
        <v>16220.699999999999</v>
      </c>
      <c r="I2" s="13">
        <v>901.15</v>
      </c>
      <c r="J2" s="10" t="s">
        <v>23</v>
      </c>
      <c r="K2" s="10" t="s">
        <v>24</v>
      </c>
      <c r="L2" s="10" t="s">
        <v>25</v>
      </c>
      <c r="M2" s="12">
        <v>8110.3499999999904</v>
      </c>
      <c r="N2" s="12">
        <v>8110.3499999999904</v>
      </c>
      <c r="O2" s="10">
        <v>50</v>
      </c>
      <c r="P2" s="10" t="s">
        <v>26</v>
      </c>
      <c r="Q2" s="10">
        <v>12</v>
      </c>
      <c r="R2" s="10" t="s">
        <v>27</v>
      </c>
      <c r="S2" s="14" t="str">
        <f>"Week "&amp;INT((DAY(B2)-1)/7)+1</f>
        <v>Week 1</v>
      </c>
    </row>
    <row r="3" spans="1:19" x14ac:dyDescent="0.3">
      <c r="A3" s="15" t="s">
        <v>28</v>
      </c>
      <c r="B3" s="16">
        <v>43070</v>
      </c>
      <c r="C3" s="17" t="s">
        <v>29</v>
      </c>
      <c r="D3" s="17" t="s">
        <v>30</v>
      </c>
      <c r="E3" s="17" t="s">
        <v>31</v>
      </c>
      <c r="F3" s="18">
        <v>5</v>
      </c>
      <c r="G3" s="19">
        <v>1132.3</v>
      </c>
      <c r="H3" s="19">
        <v>5661.5</v>
      </c>
      <c r="I3" s="20">
        <v>781.28699999999901</v>
      </c>
      <c r="J3" s="17" t="s">
        <v>32</v>
      </c>
      <c r="K3" s="17" t="s">
        <v>33</v>
      </c>
      <c r="L3" s="17" t="s">
        <v>34</v>
      </c>
      <c r="M3" s="19">
        <v>3906.4349999999899</v>
      </c>
      <c r="N3" s="19">
        <v>1755.0650000000001</v>
      </c>
      <c r="O3" s="17">
        <v>31</v>
      </c>
      <c r="P3" s="17" t="s">
        <v>26</v>
      </c>
      <c r="Q3" s="17">
        <v>12</v>
      </c>
      <c r="R3" s="17" t="s">
        <v>27</v>
      </c>
      <c r="S3" s="14" t="str">
        <f t="shared" ref="S3:S66" si="0">"Week "&amp;INT((DAY(B3)-1)/7)+1</f>
        <v>Week 1</v>
      </c>
    </row>
    <row r="4" spans="1:19" x14ac:dyDescent="0.3">
      <c r="A4" s="8" t="s">
        <v>35</v>
      </c>
      <c r="B4" s="9">
        <v>43070</v>
      </c>
      <c r="C4" s="10" t="s">
        <v>36</v>
      </c>
      <c r="D4" s="10" t="s">
        <v>21</v>
      </c>
      <c r="E4" s="10" t="s">
        <v>37</v>
      </c>
      <c r="F4" s="11">
        <v>11</v>
      </c>
      <c r="G4" s="12">
        <v>3912.8</v>
      </c>
      <c r="H4" s="12">
        <v>43040.800000000003</v>
      </c>
      <c r="I4" s="13">
        <v>2934.6</v>
      </c>
      <c r="J4" s="10" t="s">
        <v>38</v>
      </c>
      <c r="K4" s="10" t="s">
        <v>39</v>
      </c>
      <c r="L4" s="10" t="s">
        <v>40</v>
      </c>
      <c r="M4" s="12">
        <v>32280.6</v>
      </c>
      <c r="N4" s="12">
        <v>10760.199999999901</v>
      </c>
      <c r="O4" s="10">
        <v>24.999999999999901</v>
      </c>
      <c r="P4" s="10" t="s">
        <v>26</v>
      </c>
      <c r="Q4" s="10">
        <v>12</v>
      </c>
      <c r="R4" s="10" t="s">
        <v>27</v>
      </c>
      <c r="S4" s="14" t="str">
        <f t="shared" si="0"/>
        <v>Week 1</v>
      </c>
    </row>
    <row r="5" spans="1:19" x14ac:dyDescent="0.3">
      <c r="A5" s="15" t="s">
        <v>41</v>
      </c>
      <c r="B5" s="16">
        <v>43070</v>
      </c>
      <c r="C5" s="17" t="s">
        <v>42</v>
      </c>
      <c r="D5" s="17" t="s">
        <v>43</v>
      </c>
      <c r="E5" s="17" t="s">
        <v>44</v>
      </c>
      <c r="F5" s="18">
        <v>5</v>
      </c>
      <c r="G5" s="19">
        <v>5902.7</v>
      </c>
      <c r="H5" s="19">
        <v>29513.5</v>
      </c>
      <c r="I5" s="20">
        <v>4958.268</v>
      </c>
      <c r="J5" s="17" t="s">
        <v>45</v>
      </c>
      <c r="K5" s="17" t="s">
        <v>46</v>
      </c>
      <c r="L5" s="17" t="s">
        <v>34</v>
      </c>
      <c r="M5" s="19">
        <v>24791.34</v>
      </c>
      <c r="N5" s="19">
        <v>4722.16</v>
      </c>
      <c r="O5" s="17">
        <v>16</v>
      </c>
      <c r="P5" s="17" t="s">
        <v>26</v>
      </c>
      <c r="Q5" s="17">
        <v>12</v>
      </c>
      <c r="R5" s="17" t="s">
        <v>27</v>
      </c>
      <c r="S5" s="14" t="str">
        <f t="shared" si="0"/>
        <v>Week 1</v>
      </c>
    </row>
    <row r="6" spans="1:19" x14ac:dyDescent="0.3">
      <c r="A6" s="8" t="s">
        <v>47</v>
      </c>
      <c r="B6" s="9">
        <v>43070</v>
      </c>
      <c r="C6" s="10" t="s">
        <v>48</v>
      </c>
      <c r="D6" s="10" t="s">
        <v>21</v>
      </c>
      <c r="E6" s="10" t="s">
        <v>49</v>
      </c>
      <c r="F6" s="11">
        <v>11</v>
      </c>
      <c r="G6" s="12">
        <v>5279.6</v>
      </c>
      <c r="H6" s="12">
        <v>58075.600000000006</v>
      </c>
      <c r="I6" s="13">
        <v>3167.76</v>
      </c>
      <c r="J6" s="10" t="s">
        <v>50</v>
      </c>
      <c r="K6" s="10" t="s">
        <v>51</v>
      </c>
      <c r="L6" s="10" t="s">
        <v>40</v>
      </c>
      <c r="M6" s="12">
        <v>34845.360000000001</v>
      </c>
      <c r="N6" s="12">
        <v>23230.240000000002</v>
      </c>
      <c r="O6" s="10">
        <v>40</v>
      </c>
      <c r="P6" s="10" t="s">
        <v>26</v>
      </c>
      <c r="Q6" s="10">
        <v>12</v>
      </c>
      <c r="R6" s="10" t="s">
        <v>27</v>
      </c>
      <c r="S6" s="14" t="str">
        <f t="shared" si="0"/>
        <v>Week 1</v>
      </c>
    </row>
    <row r="7" spans="1:19" x14ac:dyDescent="0.3">
      <c r="A7" s="15" t="s">
        <v>52</v>
      </c>
      <c r="B7" s="16">
        <v>43070</v>
      </c>
      <c r="C7" s="17" t="s">
        <v>53</v>
      </c>
      <c r="D7" s="17" t="s">
        <v>30</v>
      </c>
      <c r="E7" s="17" t="s">
        <v>49</v>
      </c>
      <c r="F7" s="18">
        <v>5</v>
      </c>
      <c r="G7" s="19">
        <v>3959.7</v>
      </c>
      <c r="H7" s="19">
        <v>19798.5</v>
      </c>
      <c r="I7" s="20">
        <v>2613.402</v>
      </c>
      <c r="J7" s="17" t="s">
        <v>54</v>
      </c>
      <c r="K7" s="17" t="s">
        <v>55</v>
      </c>
      <c r="L7" s="17" t="s">
        <v>56</v>
      </c>
      <c r="M7" s="19">
        <v>13067.01</v>
      </c>
      <c r="N7" s="19">
        <v>6731.4899999999898</v>
      </c>
      <c r="O7" s="17">
        <v>33.999999999999901</v>
      </c>
      <c r="P7" s="17" t="s">
        <v>26</v>
      </c>
      <c r="Q7" s="17">
        <v>12</v>
      </c>
      <c r="R7" s="17" t="s">
        <v>27</v>
      </c>
      <c r="S7" s="14" t="str">
        <f t="shared" si="0"/>
        <v>Week 1</v>
      </c>
    </row>
    <row r="8" spans="1:19" x14ac:dyDescent="0.3">
      <c r="A8" s="8" t="s">
        <v>57</v>
      </c>
      <c r="B8" s="9">
        <v>43070</v>
      </c>
      <c r="C8" s="10" t="s">
        <v>58</v>
      </c>
      <c r="D8" s="10" t="s">
        <v>30</v>
      </c>
      <c r="E8" s="10" t="s">
        <v>59</v>
      </c>
      <c r="F8" s="11">
        <v>6</v>
      </c>
      <c r="G8" s="12">
        <v>1835.8</v>
      </c>
      <c r="H8" s="12">
        <v>11014.8</v>
      </c>
      <c r="I8" s="13">
        <v>1083.1219999999901</v>
      </c>
      <c r="J8" s="10" t="s">
        <v>54</v>
      </c>
      <c r="K8" s="10" t="s">
        <v>55</v>
      </c>
      <c r="L8" s="10" t="s">
        <v>56</v>
      </c>
      <c r="M8" s="12">
        <v>6498.73199999999</v>
      </c>
      <c r="N8" s="12">
        <v>4516.0680000000002</v>
      </c>
      <c r="O8" s="10">
        <v>41</v>
      </c>
      <c r="P8" s="10" t="s">
        <v>26</v>
      </c>
      <c r="Q8" s="10">
        <v>12</v>
      </c>
      <c r="R8" s="10" t="s">
        <v>27</v>
      </c>
      <c r="S8" s="14" t="str">
        <f t="shared" si="0"/>
        <v>Week 1</v>
      </c>
    </row>
    <row r="9" spans="1:19" x14ac:dyDescent="0.3">
      <c r="A9" s="15" t="s">
        <v>60</v>
      </c>
      <c r="B9" s="16">
        <v>43070</v>
      </c>
      <c r="C9" s="17" t="s">
        <v>61</v>
      </c>
      <c r="D9" s="17" t="s">
        <v>30</v>
      </c>
      <c r="E9" s="17" t="s">
        <v>62</v>
      </c>
      <c r="F9" s="18">
        <v>11</v>
      </c>
      <c r="G9" s="19">
        <v>3993.2</v>
      </c>
      <c r="H9" s="19">
        <v>43925.2</v>
      </c>
      <c r="I9" s="20">
        <v>2954.9679999999998</v>
      </c>
      <c r="J9" s="17" t="s">
        <v>63</v>
      </c>
      <c r="K9" s="17" t="s">
        <v>64</v>
      </c>
      <c r="L9" s="17" t="s">
        <v>34</v>
      </c>
      <c r="M9" s="19">
        <v>32504.648000000001</v>
      </c>
      <c r="N9" s="19">
        <v>11420.552</v>
      </c>
      <c r="O9" s="17">
        <v>25.999999999999901</v>
      </c>
      <c r="P9" s="17" t="s">
        <v>26</v>
      </c>
      <c r="Q9" s="17">
        <v>12</v>
      </c>
      <c r="R9" s="17" t="s">
        <v>27</v>
      </c>
      <c r="S9" s="14" t="str">
        <f t="shared" si="0"/>
        <v>Week 1</v>
      </c>
    </row>
    <row r="10" spans="1:19" x14ac:dyDescent="0.3">
      <c r="A10" s="8" t="s">
        <v>65</v>
      </c>
      <c r="B10" s="9">
        <v>43070</v>
      </c>
      <c r="C10" s="10" t="s">
        <v>66</v>
      </c>
      <c r="D10" s="10" t="s">
        <v>30</v>
      </c>
      <c r="E10" s="10" t="s">
        <v>31</v>
      </c>
      <c r="F10" s="11">
        <v>9</v>
      </c>
      <c r="G10" s="12">
        <v>1051.9000000000001</v>
      </c>
      <c r="H10" s="12">
        <v>9467.1</v>
      </c>
      <c r="I10" s="13">
        <v>557.50699999999995</v>
      </c>
      <c r="J10" s="10" t="s">
        <v>54</v>
      </c>
      <c r="K10" s="10" t="s">
        <v>55</v>
      </c>
      <c r="L10" s="10" t="s">
        <v>56</v>
      </c>
      <c r="M10" s="12">
        <v>5017.5630000000001</v>
      </c>
      <c r="N10" s="12">
        <v>4449.5370000000003</v>
      </c>
      <c r="O10" s="10">
        <v>47</v>
      </c>
      <c r="P10" s="10" t="s">
        <v>26</v>
      </c>
      <c r="Q10" s="10">
        <v>12</v>
      </c>
      <c r="R10" s="10" t="s">
        <v>27</v>
      </c>
      <c r="S10" s="14" t="str">
        <f t="shared" si="0"/>
        <v>Week 1</v>
      </c>
    </row>
    <row r="11" spans="1:19" x14ac:dyDescent="0.3">
      <c r="A11" s="15" t="s">
        <v>67</v>
      </c>
      <c r="B11" s="16">
        <v>43070</v>
      </c>
      <c r="C11" s="17" t="s">
        <v>68</v>
      </c>
      <c r="D11" s="17" t="s">
        <v>21</v>
      </c>
      <c r="E11" s="17" t="s">
        <v>37</v>
      </c>
      <c r="F11" s="18">
        <v>9</v>
      </c>
      <c r="G11" s="19">
        <v>3162.4</v>
      </c>
      <c r="H11" s="19">
        <v>28461.600000000002</v>
      </c>
      <c r="I11" s="20">
        <v>1739.32</v>
      </c>
      <c r="J11" s="17" t="s">
        <v>69</v>
      </c>
      <c r="K11" s="17" t="s">
        <v>70</v>
      </c>
      <c r="L11" s="17" t="s">
        <v>25</v>
      </c>
      <c r="M11" s="19">
        <v>15653.88</v>
      </c>
      <c r="N11" s="19">
        <v>12807.72</v>
      </c>
      <c r="O11" s="17">
        <v>45</v>
      </c>
      <c r="P11" s="17" t="s">
        <v>26</v>
      </c>
      <c r="Q11" s="17">
        <v>12</v>
      </c>
      <c r="R11" s="17" t="s">
        <v>27</v>
      </c>
      <c r="S11" s="14" t="str">
        <f t="shared" si="0"/>
        <v>Week 1</v>
      </c>
    </row>
    <row r="12" spans="1:19" x14ac:dyDescent="0.3">
      <c r="A12" s="8" t="s">
        <v>71</v>
      </c>
      <c r="B12" s="9">
        <v>43070</v>
      </c>
      <c r="C12" s="10" t="s">
        <v>72</v>
      </c>
      <c r="D12" s="10" t="s">
        <v>21</v>
      </c>
      <c r="E12" s="10" t="s">
        <v>73</v>
      </c>
      <c r="F12" s="11">
        <v>9</v>
      </c>
      <c r="G12" s="12">
        <v>3088.7</v>
      </c>
      <c r="H12" s="12">
        <v>27798.3</v>
      </c>
      <c r="I12" s="13">
        <v>2192.9769999999999</v>
      </c>
      <c r="J12" s="10" t="s">
        <v>54</v>
      </c>
      <c r="K12" s="10" t="s">
        <v>55</v>
      </c>
      <c r="L12" s="10" t="s">
        <v>56</v>
      </c>
      <c r="M12" s="12">
        <v>19736.7929999999</v>
      </c>
      <c r="N12" s="12">
        <v>8061.5069999999996</v>
      </c>
      <c r="O12" s="10">
        <v>29</v>
      </c>
      <c r="P12" s="10" t="s">
        <v>26</v>
      </c>
      <c r="Q12" s="10">
        <v>12</v>
      </c>
      <c r="R12" s="10" t="s">
        <v>27</v>
      </c>
      <c r="S12" s="14" t="str">
        <f t="shared" si="0"/>
        <v>Week 1</v>
      </c>
    </row>
    <row r="13" spans="1:19" x14ac:dyDescent="0.3">
      <c r="A13" s="15" t="s">
        <v>74</v>
      </c>
      <c r="B13" s="16">
        <v>43070</v>
      </c>
      <c r="C13" s="17" t="s">
        <v>75</v>
      </c>
      <c r="D13" s="17" t="s">
        <v>21</v>
      </c>
      <c r="E13" s="17" t="s">
        <v>31</v>
      </c>
      <c r="F13" s="18">
        <v>8</v>
      </c>
      <c r="G13" s="19">
        <v>1916.2</v>
      </c>
      <c r="H13" s="19">
        <v>15329.6</v>
      </c>
      <c r="I13" s="20">
        <v>1341.34</v>
      </c>
      <c r="J13" s="17" t="s">
        <v>76</v>
      </c>
      <c r="K13" s="17" t="s">
        <v>77</v>
      </c>
      <c r="L13" s="17" t="s">
        <v>56</v>
      </c>
      <c r="M13" s="19">
        <v>10730.72</v>
      </c>
      <c r="N13" s="19">
        <v>4598.88</v>
      </c>
      <c r="O13" s="17">
        <v>30</v>
      </c>
      <c r="P13" s="17" t="s">
        <v>26</v>
      </c>
      <c r="Q13" s="17">
        <v>12</v>
      </c>
      <c r="R13" s="17" t="s">
        <v>27</v>
      </c>
      <c r="S13" s="14" t="str">
        <f t="shared" si="0"/>
        <v>Week 1</v>
      </c>
    </row>
    <row r="14" spans="1:19" x14ac:dyDescent="0.3">
      <c r="A14" s="8" t="s">
        <v>78</v>
      </c>
      <c r="B14" s="9">
        <v>43070</v>
      </c>
      <c r="C14" s="10" t="s">
        <v>79</v>
      </c>
      <c r="D14" s="10" t="s">
        <v>21</v>
      </c>
      <c r="E14" s="10" t="s">
        <v>80</v>
      </c>
      <c r="F14" s="11">
        <v>11</v>
      </c>
      <c r="G14" s="12">
        <v>3390.2</v>
      </c>
      <c r="H14" s="12">
        <v>37292.199999999997</v>
      </c>
      <c r="I14" s="13">
        <v>1932.414</v>
      </c>
      <c r="J14" s="10" t="s">
        <v>45</v>
      </c>
      <c r="K14" s="10" t="s">
        <v>46</v>
      </c>
      <c r="L14" s="10" t="s">
        <v>34</v>
      </c>
      <c r="M14" s="12">
        <v>21256.554</v>
      </c>
      <c r="N14" s="12">
        <v>16035.646000000001</v>
      </c>
      <c r="O14" s="10">
        <v>43</v>
      </c>
      <c r="P14" s="10" t="s">
        <v>26</v>
      </c>
      <c r="Q14" s="10">
        <v>12</v>
      </c>
      <c r="R14" s="10" t="s">
        <v>27</v>
      </c>
      <c r="S14" s="14" t="str">
        <f t="shared" si="0"/>
        <v>Week 1</v>
      </c>
    </row>
    <row r="15" spans="1:19" x14ac:dyDescent="0.3">
      <c r="A15" s="15" t="s">
        <v>81</v>
      </c>
      <c r="B15" s="16">
        <v>43070</v>
      </c>
      <c r="C15" s="17" t="s">
        <v>82</v>
      </c>
      <c r="D15" s="17" t="s">
        <v>21</v>
      </c>
      <c r="E15" s="17" t="s">
        <v>31</v>
      </c>
      <c r="F15" s="18">
        <v>10</v>
      </c>
      <c r="G15" s="19">
        <v>3886</v>
      </c>
      <c r="H15" s="19">
        <v>38860</v>
      </c>
      <c r="I15" s="20">
        <v>2137.3000000000002</v>
      </c>
      <c r="J15" s="17" t="s">
        <v>83</v>
      </c>
      <c r="K15" s="17" t="s">
        <v>84</v>
      </c>
      <c r="L15" s="17" t="s">
        <v>34</v>
      </c>
      <c r="M15" s="19">
        <v>21373</v>
      </c>
      <c r="N15" s="19">
        <v>17487</v>
      </c>
      <c r="O15" s="17">
        <v>45</v>
      </c>
      <c r="P15" s="17" t="s">
        <v>26</v>
      </c>
      <c r="Q15" s="17">
        <v>12</v>
      </c>
      <c r="R15" s="17" t="s">
        <v>27</v>
      </c>
      <c r="S15" s="14" t="str">
        <f t="shared" si="0"/>
        <v>Week 1</v>
      </c>
    </row>
    <row r="16" spans="1:19" x14ac:dyDescent="0.3">
      <c r="A16" s="8" t="s">
        <v>85</v>
      </c>
      <c r="B16" s="9">
        <v>43070</v>
      </c>
      <c r="C16" s="10" t="s">
        <v>86</v>
      </c>
      <c r="D16" s="10" t="s">
        <v>21</v>
      </c>
      <c r="E16" s="10" t="s">
        <v>37</v>
      </c>
      <c r="F16" s="11">
        <v>9</v>
      </c>
      <c r="G16" s="12">
        <v>167.5</v>
      </c>
      <c r="H16" s="12">
        <v>1507.5</v>
      </c>
      <c r="I16" s="13">
        <v>73.7</v>
      </c>
      <c r="J16" s="10" t="s">
        <v>87</v>
      </c>
      <c r="K16" s="10" t="s">
        <v>88</v>
      </c>
      <c r="L16" s="10" t="s">
        <v>56</v>
      </c>
      <c r="M16" s="12">
        <v>663.3</v>
      </c>
      <c r="N16" s="12">
        <v>844.19999999999902</v>
      </c>
      <c r="O16" s="10">
        <v>55.999999999999901</v>
      </c>
      <c r="P16" s="10" t="s">
        <v>26</v>
      </c>
      <c r="Q16" s="10">
        <v>12</v>
      </c>
      <c r="R16" s="10" t="s">
        <v>27</v>
      </c>
      <c r="S16" s="14" t="str">
        <f t="shared" si="0"/>
        <v>Week 1</v>
      </c>
    </row>
    <row r="17" spans="1:19" x14ac:dyDescent="0.3">
      <c r="A17" s="15" t="s">
        <v>89</v>
      </c>
      <c r="B17" s="16">
        <v>43070</v>
      </c>
      <c r="C17" s="17" t="s">
        <v>90</v>
      </c>
      <c r="D17" s="17" t="s">
        <v>21</v>
      </c>
      <c r="E17" s="17" t="s">
        <v>91</v>
      </c>
      <c r="F17" s="18">
        <v>8</v>
      </c>
      <c r="G17" s="19">
        <v>3953</v>
      </c>
      <c r="H17" s="19">
        <v>31624</v>
      </c>
      <c r="I17" s="20">
        <v>2608.98</v>
      </c>
      <c r="J17" s="17" t="s">
        <v>54</v>
      </c>
      <c r="K17" s="17" t="s">
        <v>55</v>
      </c>
      <c r="L17" s="17" t="s">
        <v>56</v>
      </c>
      <c r="M17" s="19">
        <v>20871.84</v>
      </c>
      <c r="N17" s="19">
        <v>10752.16</v>
      </c>
      <c r="O17" s="17">
        <v>34</v>
      </c>
      <c r="P17" s="17" t="s">
        <v>26</v>
      </c>
      <c r="Q17" s="17">
        <v>12</v>
      </c>
      <c r="R17" s="17" t="s">
        <v>27</v>
      </c>
      <c r="S17" s="14" t="str">
        <f t="shared" si="0"/>
        <v>Week 1</v>
      </c>
    </row>
    <row r="18" spans="1:19" x14ac:dyDescent="0.3">
      <c r="A18" s="8" t="s">
        <v>92</v>
      </c>
      <c r="B18" s="9">
        <v>43070</v>
      </c>
      <c r="C18" s="10" t="s">
        <v>36</v>
      </c>
      <c r="D18" s="10" t="s">
        <v>30</v>
      </c>
      <c r="E18" s="10" t="s">
        <v>93</v>
      </c>
      <c r="F18" s="11">
        <v>10</v>
      </c>
      <c r="G18" s="12">
        <v>207.7</v>
      </c>
      <c r="H18" s="12">
        <v>2077</v>
      </c>
      <c r="I18" s="13">
        <v>128.774</v>
      </c>
      <c r="J18" s="10" t="s">
        <v>94</v>
      </c>
      <c r="K18" s="10" t="s">
        <v>95</v>
      </c>
      <c r="L18" s="10" t="s">
        <v>40</v>
      </c>
      <c r="M18" s="12">
        <v>1287.74</v>
      </c>
      <c r="N18" s="12">
        <v>789.26</v>
      </c>
      <c r="O18" s="10">
        <v>38</v>
      </c>
      <c r="P18" s="10" t="s">
        <v>26</v>
      </c>
      <c r="Q18" s="10">
        <v>12</v>
      </c>
      <c r="R18" s="10" t="s">
        <v>27</v>
      </c>
      <c r="S18" s="14" t="str">
        <f t="shared" si="0"/>
        <v>Week 1</v>
      </c>
    </row>
    <row r="19" spans="1:19" x14ac:dyDescent="0.3">
      <c r="A19" s="15" t="s">
        <v>96</v>
      </c>
      <c r="B19" s="16">
        <v>43070</v>
      </c>
      <c r="C19" s="17" t="s">
        <v>42</v>
      </c>
      <c r="D19" s="17" t="s">
        <v>30</v>
      </c>
      <c r="E19" s="17" t="s">
        <v>73</v>
      </c>
      <c r="F19" s="18">
        <v>6</v>
      </c>
      <c r="G19" s="19">
        <v>864.3</v>
      </c>
      <c r="H19" s="19">
        <v>5185.7999999999993</v>
      </c>
      <c r="I19" s="20">
        <v>380.29199999999997</v>
      </c>
      <c r="J19" s="17" t="s">
        <v>97</v>
      </c>
      <c r="K19" s="17" t="s">
        <v>98</v>
      </c>
      <c r="L19" s="17" t="s">
        <v>56</v>
      </c>
      <c r="M19" s="19">
        <v>2281.752</v>
      </c>
      <c r="N19" s="19">
        <v>2904.0479999999998</v>
      </c>
      <c r="O19" s="17">
        <v>55.999999999999901</v>
      </c>
      <c r="P19" s="17" t="s">
        <v>26</v>
      </c>
      <c r="Q19" s="17">
        <v>12</v>
      </c>
      <c r="R19" s="17" t="s">
        <v>27</v>
      </c>
      <c r="S19" s="14" t="str">
        <f t="shared" si="0"/>
        <v>Week 1</v>
      </c>
    </row>
    <row r="20" spans="1:19" x14ac:dyDescent="0.3">
      <c r="A20" s="8" t="s">
        <v>99</v>
      </c>
      <c r="B20" s="9">
        <v>43070</v>
      </c>
      <c r="C20" s="10" t="s">
        <v>100</v>
      </c>
      <c r="D20" s="10" t="s">
        <v>21</v>
      </c>
      <c r="E20" s="10" t="s">
        <v>91</v>
      </c>
      <c r="F20" s="11">
        <v>10</v>
      </c>
      <c r="G20" s="12">
        <v>5487.3</v>
      </c>
      <c r="H20" s="12">
        <v>54873</v>
      </c>
      <c r="I20" s="13">
        <v>3127.761</v>
      </c>
      <c r="J20" s="10" t="s">
        <v>50</v>
      </c>
      <c r="K20" s="10" t="s">
        <v>51</v>
      </c>
      <c r="L20" s="10" t="s">
        <v>40</v>
      </c>
      <c r="M20" s="12">
        <v>31277.61</v>
      </c>
      <c r="N20" s="12">
        <v>23595.39</v>
      </c>
      <c r="O20" s="10">
        <v>43</v>
      </c>
      <c r="P20" s="10" t="s">
        <v>26</v>
      </c>
      <c r="Q20" s="10">
        <v>12</v>
      </c>
      <c r="R20" s="10" t="s">
        <v>27</v>
      </c>
      <c r="S20" s="14" t="str">
        <f t="shared" si="0"/>
        <v>Week 1</v>
      </c>
    </row>
    <row r="21" spans="1:19" x14ac:dyDescent="0.3">
      <c r="A21" s="15" t="s">
        <v>101</v>
      </c>
      <c r="B21" s="16">
        <v>43070</v>
      </c>
      <c r="C21" s="17" t="s">
        <v>102</v>
      </c>
      <c r="D21" s="17" t="s">
        <v>21</v>
      </c>
      <c r="E21" s="17" t="s">
        <v>103</v>
      </c>
      <c r="F21" s="18">
        <v>10</v>
      </c>
      <c r="G21" s="19">
        <v>3832.4</v>
      </c>
      <c r="H21" s="19">
        <v>38324</v>
      </c>
      <c r="I21" s="20">
        <v>2184.4679999999998</v>
      </c>
      <c r="J21" s="17" t="s">
        <v>104</v>
      </c>
      <c r="K21" s="17" t="s">
        <v>105</v>
      </c>
      <c r="L21" s="17" t="s">
        <v>25</v>
      </c>
      <c r="M21" s="19">
        <v>21844.68</v>
      </c>
      <c r="N21" s="19">
        <v>16479.32</v>
      </c>
      <c r="O21" s="17">
        <v>43</v>
      </c>
      <c r="P21" s="17" t="s">
        <v>26</v>
      </c>
      <c r="Q21" s="17">
        <v>12</v>
      </c>
      <c r="R21" s="17" t="s">
        <v>27</v>
      </c>
      <c r="S21" s="14" t="str">
        <f t="shared" si="0"/>
        <v>Week 1</v>
      </c>
    </row>
    <row r="22" spans="1:19" x14ac:dyDescent="0.3">
      <c r="A22" s="8" t="s">
        <v>106</v>
      </c>
      <c r="B22" s="9">
        <v>43070</v>
      </c>
      <c r="C22" s="10" t="s">
        <v>107</v>
      </c>
      <c r="D22" s="10" t="s">
        <v>43</v>
      </c>
      <c r="E22" s="10" t="s">
        <v>37</v>
      </c>
      <c r="F22" s="11">
        <v>7</v>
      </c>
      <c r="G22" s="12">
        <v>2485.6999999999998</v>
      </c>
      <c r="H22" s="12">
        <v>17399.899999999998</v>
      </c>
      <c r="I22" s="13">
        <v>1466.5630000000001</v>
      </c>
      <c r="J22" s="10" t="s">
        <v>104</v>
      </c>
      <c r="K22" s="10" t="s">
        <v>105</v>
      </c>
      <c r="L22" s="10" t="s">
        <v>25</v>
      </c>
      <c r="M22" s="12">
        <v>10265.941000000001</v>
      </c>
      <c r="N22" s="12">
        <v>7133.9589999999998</v>
      </c>
      <c r="O22" s="10">
        <v>41</v>
      </c>
      <c r="P22" s="10" t="s">
        <v>26</v>
      </c>
      <c r="Q22" s="10">
        <v>12</v>
      </c>
      <c r="R22" s="10" t="s">
        <v>27</v>
      </c>
      <c r="S22" s="14" t="str">
        <f t="shared" si="0"/>
        <v>Week 1</v>
      </c>
    </row>
    <row r="23" spans="1:19" x14ac:dyDescent="0.3">
      <c r="A23" s="15" t="s">
        <v>108</v>
      </c>
      <c r="B23" s="16">
        <v>43070</v>
      </c>
      <c r="C23" s="17" t="s">
        <v>109</v>
      </c>
      <c r="D23" s="17" t="s">
        <v>30</v>
      </c>
      <c r="E23" s="17" t="s">
        <v>110</v>
      </c>
      <c r="F23" s="18">
        <v>7</v>
      </c>
      <c r="G23" s="19">
        <v>2726.9</v>
      </c>
      <c r="H23" s="19">
        <v>19088.3</v>
      </c>
      <c r="I23" s="20">
        <v>2045.175</v>
      </c>
      <c r="J23" s="17" t="s">
        <v>32</v>
      </c>
      <c r="K23" s="17" t="s">
        <v>33</v>
      </c>
      <c r="L23" s="17" t="s">
        <v>34</v>
      </c>
      <c r="M23" s="19">
        <v>14316.225</v>
      </c>
      <c r="N23" s="19">
        <v>4772.0749999999898</v>
      </c>
      <c r="O23" s="17">
        <v>24.999999999999901</v>
      </c>
      <c r="P23" s="17" t="s">
        <v>26</v>
      </c>
      <c r="Q23" s="17">
        <v>12</v>
      </c>
      <c r="R23" s="17" t="s">
        <v>27</v>
      </c>
      <c r="S23" s="14" t="str">
        <f t="shared" si="0"/>
        <v>Week 1</v>
      </c>
    </row>
    <row r="24" spans="1:19" x14ac:dyDescent="0.3">
      <c r="A24" s="8" t="s">
        <v>111</v>
      </c>
      <c r="B24" s="9">
        <v>43070</v>
      </c>
      <c r="C24" s="10" t="s">
        <v>112</v>
      </c>
      <c r="D24" s="10" t="s">
        <v>30</v>
      </c>
      <c r="E24" s="10" t="s">
        <v>103</v>
      </c>
      <c r="F24" s="11">
        <v>11</v>
      </c>
      <c r="G24" s="12">
        <v>3953</v>
      </c>
      <c r="H24" s="12">
        <v>43483</v>
      </c>
      <c r="I24" s="13">
        <v>2767.1</v>
      </c>
      <c r="J24" s="10" t="s">
        <v>23</v>
      </c>
      <c r="K24" s="10" t="s">
        <v>24</v>
      </c>
      <c r="L24" s="10" t="s">
        <v>25</v>
      </c>
      <c r="M24" s="12">
        <v>30438.1</v>
      </c>
      <c r="N24" s="12">
        <v>13044.9</v>
      </c>
      <c r="O24" s="10">
        <v>30</v>
      </c>
      <c r="P24" s="10" t="s">
        <v>26</v>
      </c>
      <c r="Q24" s="10">
        <v>12</v>
      </c>
      <c r="R24" s="10" t="s">
        <v>27</v>
      </c>
      <c r="S24" s="14" t="str">
        <f t="shared" si="0"/>
        <v>Week 1</v>
      </c>
    </row>
    <row r="25" spans="1:19" x14ac:dyDescent="0.3">
      <c r="A25" s="15" t="s">
        <v>113</v>
      </c>
      <c r="B25" s="16">
        <v>43070</v>
      </c>
      <c r="C25" s="17" t="s">
        <v>114</v>
      </c>
      <c r="D25" s="17" t="s">
        <v>30</v>
      </c>
      <c r="E25" s="17" t="s">
        <v>115</v>
      </c>
      <c r="F25" s="18">
        <v>11</v>
      </c>
      <c r="G25" s="19">
        <v>187.6</v>
      </c>
      <c r="H25" s="19">
        <v>2063.6</v>
      </c>
      <c r="I25" s="20">
        <v>93.8</v>
      </c>
      <c r="J25" s="17" t="s">
        <v>116</v>
      </c>
      <c r="K25" s="17" t="s">
        <v>117</v>
      </c>
      <c r="L25" s="17" t="s">
        <v>40</v>
      </c>
      <c r="M25" s="19">
        <v>1031.8</v>
      </c>
      <c r="N25" s="19">
        <v>1031.8</v>
      </c>
      <c r="O25" s="17">
        <v>50</v>
      </c>
      <c r="P25" s="17" t="s">
        <v>26</v>
      </c>
      <c r="Q25" s="17">
        <v>12</v>
      </c>
      <c r="R25" s="17" t="s">
        <v>27</v>
      </c>
      <c r="S25" s="14" t="str">
        <f t="shared" si="0"/>
        <v>Week 1</v>
      </c>
    </row>
    <row r="26" spans="1:19" x14ac:dyDescent="0.3">
      <c r="A26" s="8" t="s">
        <v>118</v>
      </c>
      <c r="B26" s="9">
        <v>43070</v>
      </c>
      <c r="C26" s="10" t="s">
        <v>119</v>
      </c>
      <c r="D26" s="10" t="s">
        <v>30</v>
      </c>
      <c r="E26" s="10" t="s">
        <v>120</v>
      </c>
      <c r="F26" s="11">
        <v>11</v>
      </c>
      <c r="G26" s="12">
        <v>3973.1</v>
      </c>
      <c r="H26" s="12">
        <v>43704.1</v>
      </c>
      <c r="I26" s="13">
        <v>2423.5909999999999</v>
      </c>
      <c r="J26" s="10" t="s">
        <v>121</v>
      </c>
      <c r="K26" s="10" t="s">
        <v>122</v>
      </c>
      <c r="L26" s="10" t="s">
        <v>34</v>
      </c>
      <c r="M26" s="12">
        <v>26659.501</v>
      </c>
      <c r="N26" s="12">
        <v>17044.598999999998</v>
      </c>
      <c r="O26" s="10">
        <v>38.999999999999901</v>
      </c>
      <c r="P26" s="10" t="s">
        <v>26</v>
      </c>
      <c r="Q26" s="10">
        <v>12</v>
      </c>
      <c r="R26" s="10" t="s">
        <v>27</v>
      </c>
      <c r="S26" s="14" t="str">
        <f t="shared" si="0"/>
        <v>Week 1</v>
      </c>
    </row>
    <row r="27" spans="1:19" x14ac:dyDescent="0.3">
      <c r="A27" s="15" t="s">
        <v>123</v>
      </c>
      <c r="B27" s="16">
        <v>43070</v>
      </c>
      <c r="C27" s="17" t="s">
        <v>124</v>
      </c>
      <c r="D27" s="17" t="s">
        <v>21</v>
      </c>
      <c r="E27" s="17" t="s">
        <v>103</v>
      </c>
      <c r="F27" s="18">
        <v>5</v>
      </c>
      <c r="G27" s="19">
        <v>1118.9000000000001</v>
      </c>
      <c r="H27" s="19">
        <v>5594.5</v>
      </c>
      <c r="I27" s="20">
        <v>492.31599999999997</v>
      </c>
      <c r="J27" s="17" t="s">
        <v>116</v>
      </c>
      <c r="K27" s="17" t="s">
        <v>117</v>
      </c>
      <c r="L27" s="17" t="s">
        <v>40</v>
      </c>
      <c r="M27" s="19">
        <v>2461.58</v>
      </c>
      <c r="N27" s="19">
        <v>3132.92</v>
      </c>
      <c r="O27" s="17">
        <v>56</v>
      </c>
      <c r="P27" s="17" t="s">
        <v>26</v>
      </c>
      <c r="Q27" s="17">
        <v>12</v>
      </c>
      <c r="R27" s="17" t="s">
        <v>27</v>
      </c>
      <c r="S27" s="14" t="str">
        <f t="shared" si="0"/>
        <v>Week 1</v>
      </c>
    </row>
    <row r="28" spans="1:19" x14ac:dyDescent="0.3">
      <c r="A28" s="8" t="s">
        <v>125</v>
      </c>
      <c r="B28" s="9">
        <v>43070</v>
      </c>
      <c r="C28" s="10" t="s">
        <v>126</v>
      </c>
      <c r="D28" s="10" t="s">
        <v>21</v>
      </c>
      <c r="E28" s="10" t="s">
        <v>127</v>
      </c>
      <c r="F28" s="11">
        <v>10</v>
      </c>
      <c r="G28" s="12">
        <v>5098.7</v>
      </c>
      <c r="H28" s="12">
        <v>50987</v>
      </c>
      <c r="I28" s="13">
        <v>3416.1289999999999</v>
      </c>
      <c r="J28" s="10" t="s">
        <v>54</v>
      </c>
      <c r="K28" s="10" t="s">
        <v>55</v>
      </c>
      <c r="L28" s="10" t="s">
        <v>56</v>
      </c>
      <c r="M28" s="12">
        <v>34161.29</v>
      </c>
      <c r="N28" s="12">
        <v>16825.71</v>
      </c>
      <c r="O28" s="10">
        <v>32.999999999999901</v>
      </c>
      <c r="P28" s="10" t="s">
        <v>26</v>
      </c>
      <c r="Q28" s="10">
        <v>12</v>
      </c>
      <c r="R28" s="10" t="s">
        <v>27</v>
      </c>
      <c r="S28" s="14" t="str">
        <f t="shared" si="0"/>
        <v>Week 1</v>
      </c>
    </row>
    <row r="29" spans="1:19" x14ac:dyDescent="0.3">
      <c r="A29" s="15" t="s">
        <v>128</v>
      </c>
      <c r="B29" s="16">
        <v>43070</v>
      </c>
      <c r="C29" s="17" t="s">
        <v>129</v>
      </c>
      <c r="D29" s="17" t="s">
        <v>30</v>
      </c>
      <c r="E29" s="17" t="s">
        <v>49</v>
      </c>
      <c r="F29" s="18">
        <v>8</v>
      </c>
      <c r="G29" s="19">
        <v>1835.8</v>
      </c>
      <c r="H29" s="19">
        <v>14686.4</v>
      </c>
      <c r="I29" s="20">
        <v>1248.3440000000001</v>
      </c>
      <c r="J29" s="17" t="s">
        <v>54</v>
      </c>
      <c r="K29" s="17" t="s">
        <v>55</v>
      </c>
      <c r="L29" s="17" t="s">
        <v>56</v>
      </c>
      <c r="M29" s="19">
        <v>9986.7520000000004</v>
      </c>
      <c r="N29" s="19">
        <v>4699.6479999999901</v>
      </c>
      <c r="O29" s="17">
        <v>31.999999999999901</v>
      </c>
      <c r="P29" s="17" t="s">
        <v>26</v>
      </c>
      <c r="Q29" s="17">
        <v>12</v>
      </c>
      <c r="R29" s="17" t="s">
        <v>27</v>
      </c>
      <c r="S29" s="14" t="str">
        <f t="shared" si="0"/>
        <v>Week 1</v>
      </c>
    </row>
    <row r="30" spans="1:19" x14ac:dyDescent="0.3">
      <c r="A30" s="8" t="s">
        <v>130</v>
      </c>
      <c r="B30" s="9">
        <v>43070</v>
      </c>
      <c r="C30" s="10" t="s">
        <v>131</v>
      </c>
      <c r="D30" s="10" t="s">
        <v>21</v>
      </c>
      <c r="E30" s="10" t="s">
        <v>49</v>
      </c>
      <c r="F30" s="11">
        <v>9</v>
      </c>
      <c r="G30" s="12">
        <v>1038.5</v>
      </c>
      <c r="H30" s="12">
        <v>9346.5</v>
      </c>
      <c r="I30" s="13">
        <v>643.87</v>
      </c>
      <c r="J30" s="10" t="s">
        <v>132</v>
      </c>
      <c r="K30" s="10" t="s">
        <v>133</v>
      </c>
      <c r="L30" s="10" t="s">
        <v>34</v>
      </c>
      <c r="M30" s="12">
        <v>5794.83</v>
      </c>
      <c r="N30" s="12">
        <v>3551.67</v>
      </c>
      <c r="O30" s="10">
        <v>38</v>
      </c>
      <c r="P30" s="10" t="s">
        <v>26</v>
      </c>
      <c r="Q30" s="10">
        <v>12</v>
      </c>
      <c r="R30" s="10" t="s">
        <v>27</v>
      </c>
      <c r="S30" s="14" t="str">
        <f t="shared" si="0"/>
        <v>Week 1</v>
      </c>
    </row>
    <row r="31" spans="1:19" x14ac:dyDescent="0.3">
      <c r="A31" s="15" t="s">
        <v>134</v>
      </c>
      <c r="B31" s="16">
        <v>43070</v>
      </c>
      <c r="C31" s="17" t="s">
        <v>107</v>
      </c>
      <c r="D31" s="17" t="s">
        <v>30</v>
      </c>
      <c r="E31" s="17" t="s">
        <v>91</v>
      </c>
      <c r="F31" s="18">
        <v>5</v>
      </c>
      <c r="G31" s="19">
        <v>6277.9</v>
      </c>
      <c r="H31" s="19">
        <v>31389.5</v>
      </c>
      <c r="I31" s="20">
        <v>3201.7289999999998</v>
      </c>
      <c r="J31" s="17" t="s">
        <v>83</v>
      </c>
      <c r="K31" s="17" t="s">
        <v>84</v>
      </c>
      <c r="L31" s="17" t="s">
        <v>34</v>
      </c>
      <c r="M31" s="19">
        <v>16008.645</v>
      </c>
      <c r="N31" s="19">
        <v>15380.855</v>
      </c>
      <c r="O31" s="17">
        <v>49</v>
      </c>
      <c r="P31" s="17" t="s">
        <v>26</v>
      </c>
      <c r="Q31" s="17">
        <v>12</v>
      </c>
      <c r="R31" s="17" t="s">
        <v>27</v>
      </c>
      <c r="S31" s="14" t="str">
        <f t="shared" si="0"/>
        <v>Week 1</v>
      </c>
    </row>
    <row r="32" spans="1:19" x14ac:dyDescent="0.3">
      <c r="A32" s="8" t="s">
        <v>135</v>
      </c>
      <c r="B32" s="9">
        <v>43070</v>
      </c>
      <c r="C32" s="10" t="s">
        <v>136</v>
      </c>
      <c r="D32" s="10" t="s">
        <v>21</v>
      </c>
      <c r="E32" s="10" t="s">
        <v>115</v>
      </c>
      <c r="F32" s="11">
        <v>5</v>
      </c>
      <c r="G32" s="12">
        <v>1882.7</v>
      </c>
      <c r="H32" s="12">
        <v>9413.5</v>
      </c>
      <c r="I32" s="13">
        <v>903.69600000000003</v>
      </c>
      <c r="J32" s="10" t="s">
        <v>32</v>
      </c>
      <c r="K32" s="10" t="s">
        <v>33</v>
      </c>
      <c r="L32" s="10" t="s">
        <v>34</v>
      </c>
      <c r="M32" s="12">
        <v>4518.4799999999996</v>
      </c>
      <c r="N32" s="12">
        <v>4895.0199999999904</v>
      </c>
      <c r="O32" s="10">
        <v>51.999999999999901</v>
      </c>
      <c r="P32" s="10" t="s">
        <v>26</v>
      </c>
      <c r="Q32" s="10">
        <v>12</v>
      </c>
      <c r="R32" s="10" t="s">
        <v>27</v>
      </c>
      <c r="S32" s="14" t="str">
        <f t="shared" si="0"/>
        <v>Week 1</v>
      </c>
    </row>
    <row r="33" spans="1:19" x14ac:dyDescent="0.3">
      <c r="A33" s="15" t="s">
        <v>137</v>
      </c>
      <c r="B33" s="16">
        <v>43070</v>
      </c>
      <c r="C33" s="17" t="s">
        <v>138</v>
      </c>
      <c r="D33" s="17" t="s">
        <v>30</v>
      </c>
      <c r="E33" s="17" t="s">
        <v>73</v>
      </c>
      <c r="F33" s="18">
        <v>7</v>
      </c>
      <c r="G33" s="19">
        <v>3899.4</v>
      </c>
      <c r="H33" s="19">
        <v>27295.8</v>
      </c>
      <c r="I33" s="20">
        <v>1598.7539999999999</v>
      </c>
      <c r="J33" s="17" t="s">
        <v>139</v>
      </c>
      <c r="K33" s="17" t="s">
        <v>140</v>
      </c>
      <c r="L33" s="17" t="s">
        <v>34</v>
      </c>
      <c r="M33" s="19">
        <v>11191.2779999999</v>
      </c>
      <c r="N33" s="19">
        <v>16104.522000000001</v>
      </c>
      <c r="O33" s="17">
        <v>59</v>
      </c>
      <c r="P33" s="17" t="s">
        <v>26</v>
      </c>
      <c r="Q33" s="17">
        <v>12</v>
      </c>
      <c r="R33" s="17" t="s">
        <v>27</v>
      </c>
      <c r="S33" s="14" t="str">
        <f t="shared" si="0"/>
        <v>Week 1</v>
      </c>
    </row>
    <row r="34" spans="1:19" x14ac:dyDescent="0.3">
      <c r="A34" s="8" t="s">
        <v>141</v>
      </c>
      <c r="B34" s="9">
        <v>43070</v>
      </c>
      <c r="C34" s="10" t="s">
        <v>142</v>
      </c>
      <c r="D34" s="10" t="s">
        <v>30</v>
      </c>
      <c r="E34" s="10" t="s">
        <v>127</v>
      </c>
      <c r="F34" s="11">
        <v>8</v>
      </c>
      <c r="G34" s="12">
        <v>1038.5</v>
      </c>
      <c r="H34" s="12">
        <v>8308</v>
      </c>
      <c r="I34" s="13">
        <v>425.784999999999</v>
      </c>
      <c r="J34" s="10" t="s">
        <v>23</v>
      </c>
      <c r="K34" s="10" t="s">
        <v>24</v>
      </c>
      <c r="L34" s="10" t="s">
        <v>25</v>
      </c>
      <c r="M34" s="12">
        <v>3406.2799999999902</v>
      </c>
      <c r="N34" s="12">
        <v>4901.72</v>
      </c>
      <c r="O34" s="10">
        <v>59</v>
      </c>
      <c r="P34" s="10" t="s">
        <v>26</v>
      </c>
      <c r="Q34" s="10">
        <v>12</v>
      </c>
      <c r="R34" s="10" t="s">
        <v>27</v>
      </c>
      <c r="S34" s="14" t="str">
        <f t="shared" si="0"/>
        <v>Week 1</v>
      </c>
    </row>
    <row r="35" spans="1:19" x14ac:dyDescent="0.3">
      <c r="A35" s="15" t="s">
        <v>143</v>
      </c>
      <c r="B35" s="16">
        <v>43070</v>
      </c>
      <c r="C35" s="17" t="s">
        <v>119</v>
      </c>
      <c r="D35" s="17" t="s">
        <v>21</v>
      </c>
      <c r="E35" s="17" t="s">
        <v>91</v>
      </c>
      <c r="F35" s="18">
        <v>12</v>
      </c>
      <c r="G35" s="19">
        <v>1721.9</v>
      </c>
      <c r="H35" s="19">
        <v>20662.800000000003</v>
      </c>
      <c r="I35" s="20">
        <v>843.73099999999999</v>
      </c>
      <c r="J35" s="17" t="s">
        <v>83</v>
      </c>
      <c r="K35" s="17" t="s">
        <v>84</v>
      </c>
      <c r="L35" s="17" t="s">
        <v>34</v>
      </c>
      <c r="M35" s="19">
        <v>10124.772000000001</v>
      </c>
      <c r="N35" s="19">
        <v>10538.028</v>
      </c>
      <c r="O35" s="17">
        <v>51</v>
      </c>
      <c r="P35" s="17" t="s">
        <v>26</v>
      </c>
      <c r="Q35" s="17">
        <v>12</v>
      </c>
      <c r="R35" s="17" t="s">
        <v>27</v>
      </c>
      <c r="S35" s="14" t="str">
        <f t="shared" si="0"/>
        <v>Week 1</v>
      </c>
    </row>
    <row r="36" spans="1:19" x14ac:dyDescent="0.3">
      <c r="A36" s="8" t="s">
        <v>144</v>
      </c>
      <c r="B36" s="9">
        <v>43070</v>
      </c>
      <c r="C36" s="10" t="s">
        <v>145</v>
      </c>
      <c r="D36" s="10" t="s">
        <v>21</v>
      </c>
      <c r="E36" s="10" t="s">
        <v>146</v>
      </c>
      <c r="F36" s="11">
        <v>7</v>
      </c>
      <c r="G36" s="12">
        <v>5621.3</v>
      </c>
      <c r="H36" s="12">
        <v>39349.1</v>
      </c>
      <c r="I36" s="13">
        <v>3541.4189999999999</v>
      </c>
      <c r="J36" s="10" t="s">
        <v>54</v>
      </c>
      <c r="K36" s="10" t="s">
        <v>55</v>
      </c>
      <c r="L36" s="10" t="s">
        <v>56</v>
      </c>
      <c r="M36" s="12">
        <v>24789.933000000001</v>
      </c>
      <c r="N36" s="12">
        <v>14559.166999999899</v>
      </c>
      <c r="O36" s="10">
        <v>36.999999999999901</v>
      </c>
      <c r="P36" s="10" t="s">
        <v>26</v>
      </c>
      <c r="Q36" s="10">
        <v>12</v>
      </c>
      <c r="R36" s="10" t="s">
        <v>27</v>
      </c>
      <c r="S36" s="14" t="str">
        <f t="shared" si="0"/>
        <v>Week 1</v>
      </c>
    </row>
    <row r="37" spans="1:19" x14ac:dyDescent="0.3">
      <c r="A37" s="15" t="s">
        <v>147</v>
      </c>
      <c r="B37" s="16">
        <v>43070</v>
      </c>
      <c r="C37" s="17" t="s">
        <v>148</v>
      </c>
      <c r="D37" s="17" t="s">
        <v>30</v>
      </c>
      <c r="E37" s="17" t="s">
        <v>149</v>
      </c>
      <c r="F37" s="18">
        <v>8</v>
      </c>
      <c r="G37" s="19">
        <v>2613</v>
      </c>
      <c r="H37" s="19">
        <v>20904</v>
      </c>
      <c r="I37" s="20">
        <v>1907.49</v>
      </c>
      <c r="J37" s="17" t="s">
        <v>116</v>
      </c>
      <c r="K37" s="17" t="s">
        <v>117</v>
      </c>
      <c r="L37" s="17" t="s">
        <v>40</v>
      </c>
      <c r="M37" s="19">
        <v>15259.92</v>
      </c>
      <c r="N37" s="19">
        <v>5644.08</v>
      </c>
      <c r="O37" s="17">
        <v>27</v>
      </c>
      <c r="P37" s="17" t="s">
        <v>26</v>
      </c>
      <c r="Q37" s="17">
        <v>12</v>
      </c>
      <c r="R37" s="17" t="s">
        <v>27</v>
      </c>
      <c r="S37" s="14" t="str">
        <f t="shared" si="0"/>
        <v>Week 1</v>
      </c>
    </row>
    <row r="38" spans="1:19" x14ac:dyDescent="0.3">
      <c r="A38" s="8" t="s">
        <v>150</v>
      </c>
      <c r="B38" s="9">
        <v>43070</v>
      </c>
      <c r="C38" s="10" t="s">
        <v>151</v>
      </c>
      <c r="D38" s="10" t="s">
        <v>21</v>
      </c>
      <c r="E38" s="10" t="s">
        <v>91</v>
      </c>
      <c r="F38" s="11">
        <v>9</v>
      </c>
      <c r="G38" s="12">
        <v>6478.9</v>
      </c>
      <c r="H38" s="12">
        <v>58310.1</v>
      </c>
      <c r="I38" s="13">
        <v>5183.12</v>
      </c>
      <c r="J38" s="10" t="s">
        <v>54</v>
      </c>
      <c r="K38" s="10" t="s">
        <v>55</v>
      </c>
      <c r="L38" s="10" t="s">
        <v>56</v>
      </c>
      <c r="M38" s="12">
        <v>46648.08</v>
      </c>
      <c r="N38" s="12">
        <v>11662.0199999999</v>
      </c>
      <c r="O38" s="10">
        <v>19.999999999999901</v>
      </c>
      <c r="P38" s="10" t="s">
        <v>26</v>
      </c>
      <c r="Q38" s="10">
        <v>12</v>
      </c>
      <c r="R38" s="10" t="s">
        <v>27</v>
      </c>
      <c r="S38" s="14" t="str">
        <f t="shared" si="0"/>
        <v>Week 1</v>
      </c>
    </row>
    <row r="39" spans="1:19" x14ac:dyDescent="0.3">
      <c r="A39" s="15" t="s">
        <v>152</v>
      </c>
      <c r="B39" s="16">
        <v>43071</v>
      </c>
      <c r="C39" s="17" t="s">
        <v>42</v>
      </c>
      <c r="D39" s="17" t="s">
        <v>21</v>
      </c>
      <c r="E39" s="17" t="s">
        <v>37</v>
      </c>
      <c r="F39" s="18">
        <v>5</v>
      </c>
      <c r="G39" s="19">
        <v>676.7</v>
      </c>
      <c r="H39" s="19">
        <v>3383.5</v>
      </c>
      <c r="I39" s="20">
        <v>433.08800000000002</v>
      </c>
      <c r="J39" s="17" t="s">
        <v>76</v>
      </c>
      <c r="K39" s="17" t="s">
        <v>77</v>
      </c>
      <c r="L39" s="17" t="s">
        <v>56</v>
      </c>
      <c r="M39" s="19">
        <v>2165.44</v>
      </c>
      <c r="N39" s="19">
        <v>1218.06</v>
      </c>
      <c r="O39" s="17">
        <v>36</v>
      </c>
      <c r="P39" s="17" t="s">
        <v>26</v>
      </c>
      <c r="Q39" s="17">
        <v>12</v>
      </c>
      <c r="R39" s="17" t="s">
        <v>27</v>
      </c>
      <c r="S39" s="14" t="str">
        <f t="shared" si="0"/>
        <v>Week 1</v>
      </c>
    </row>
    <row r="40" spans="1:19" x14ac:dyDescent="0.3">
      <c r="A40" s="8" t="s">
        <v>153</v>
      </c>
      <c r="B40" s="9">
        <v>43071</v>
      </c>
      <c r="C40" s="10" t="s">
        <v>154</v>
      </c>
      <c r="D40" s="10" t="s">
        <v>21</v>
      </c>
      <c r="E40" s="10" t="s">
        <v>31</v>
      </c>
      <c r="F40" s="11">
        <v>10</v>
      </c>
      <c r="G40" s="12">
        <v>1038.5</v>
      </c>
      <c r="H40" s="12">
        <v>10385</v>
      </c>
      <c r="I40" s="13">
        <v>498.479999999999</v>
      </c>
      <c r="J40" s="10" t="s">
        <v>155</v>
      </c>
      <c r="K40" s="10" t="s">
        <v>156</v>
      </c>
      <c r="L40" s="10" t="s">
        <v>56</v>
      </c>
      <c r="M40" s="12">
        <v>4984.7999999999902</v>
      </c>
      <c r="N40" s="12">
        <v>5400.2</v>
      </c>
      <c r="O40" s="10">
        <v>52</v>
      </c>
      <c r="P40" s="10" t="s">
        <v>26</v>
      </c>
      <c r="Q40" s="10">
        <v>12</v>
      </c>
      <c r="R40" s="10" t="s">
        <v>27</v>
      </c>
      <c r="S40" s="14" t="str">
        <f t="shared" si="0"/>
        <v>Week 1</v>
      </c>
    </row>
    <row r="41" spans="1:19" x14ac:dyDescent="0.3">
      <c r="A41" s="15" t="s">
        <v>157</v>
      </c>
      <c r="B41" s="16">
        <v>43071</v>
      </c>
      <c r="C41" s="17" t="s">
        <v>158</v>
      </c>
      <c r="D41" s="17" t="s">
        <v>21</v>
      </c>
      <c r="E41" s="17" t="s">
        <v>44</v>
      </c>
      <c r="F41" s="18">
        <v>9</v>
      </c>
      <c r="G41" s="19">
        <v>3879.3</v>
      </c>
      <c r="H41" s="19">
        <v>34913.700000000004</v>
      </c>
      <c r="I41" s="20">
        <v>3219.819</v>
      </c>
      <c r="J41" s="17" t="s">
        <v>159</v>
      </c>
      <c r="K41" s="17" t="s">
        <v>160</v>
      </c>
      <c r="L41" s="17" t="s">
        <v>25</v>
      </c>
      <c r="M41" s="19">
        <v>28978.370999999999</v>
      </c>
      <c r="N41" s="19">
        <v>5935.3289999999997</v>
      </c>
      <c r="O41" s="17">
        <v>17</v>
      </c>
      <c r="P41" s="17" t="s">
        <v>26</v>
      </c>
      <c r="Q41" s="17">
        <v>12</v>
      </c>
      <c r="R41" s="17" t="s">
        <v>27</v>
      </c>
      <c r="S41" s="14" t="str">
        <f t="shared" si="0"/>
        <v>Week 1</v>
      </c>
    </row>
    <row r="42" spans="1:19" x14ac:dyDescent="0.3">
      <c r="A42" s="8" t="s">
        <v>161</v>
      </c>
      <c r="B42" s="9">
        <v>43071</v>
      </c>
      <c r="C42" s="10" t="s">
        <v>162</v>
      </c>
      <c r="D42" s="10" t="s">
        <v>21</v>
      </c>
      <c r="E42" s="10" t="s">
        <v>62</v>
      </c>
      <c r="F42" s="11">
        <v>9</v>
      </c>
      <c r="G42" s="12">
        <v>6472.2</v>
      </c>
      <c r="H42" s="12">
        <v>58249.799999999996</v>
      </c>
      <c r="I42" s="13">
        <v>5371.9259999999904</v>
      </c>
      <c r="J42" s="10" t="s">
        <v>163</v>
      </c>
      <c r="K42" s="10" t="s">
        <v>164</v>
      </c>
      <c r="L42" s="10" t="s">
        <v>40</v>
      </c>
      <c r="M42" s="12">
        <v>48347.333999999901</v>
      </c>
      <c r="N42" s="12">
        <v>9902.4660000000003</v>
      </c>
      <c r="O42" s="10">
        <v>17</v>
      </c>
      <c r="P42" s="10" t="s">
        <v>26</v>
      </c>
      <c r="Q42" s="10">
        <v>12</v>
      </c>
      <c r="R42" s="10" t="s">
        <v>27</v>
      </c>
      <c r="S42" s="14" t="str">
        <f t="shared" si="0"/>
        <v>Week 1</v>
      </c>
    </row>
    <row r="43" spans="1:19" x14ac:dyDescent="0.3">
      <c r="A43" s="15" t="s">
        <v>165</v>
      </c>
      <c r="B43" s="16">
        <v>43071</v>
      </c>
      <c r="C43" s="17" t="s">
        <v>166</v>
      </c>
      <c r="D43" s="17" t="s">
        <v>43</v>
      </c>
      <c r="E43" s="17" t="s">
        <v>167</v>
      </c>
      <c r="F43" s="18">
        <v>12</v>
      </c>
      <c r="G43" s="19">
        <v>1132.3</v>
      </c>
      <c r="H43" s="19">
        <v>13587.599999999999</v>
      </c>
      <c r="I43" s="20">
        <v>951.13199999999995</v>
      </c>
      <c r="J43" s="17" t="s">
        <v>23</v>
      </c>
      <c r="K43" s="17" t="s">
        <v>24</v>
      </c>
      <c r="L43" s="17" t="s">
        <v>25</v>
      </c>
      <c r="M43" s="19">
        <v>11413.583999999901</v>
      </c>
      <c r="N43" s="19">
        <v>2174.0159999999901</v>
      </c>
      <c r="O43" s="17">
        <v>15.999999999999901</v>
      </c>
      <c r="P43" s="17" t="s">
        <v>26</v>
      </c>
      <c r="Q43" s="17">
        <v>12</v>
      </c>
      <c r="R43" s="17" t="s">
        <v>27</v>
      </c>
      <c r="S43" s="14" t="str">
        <f t="shared" si="0"/>
        <v>Week 1</v>
      </c>
    </row>
    <row r="44" spans="1:19" x14ac:dyDescent="0.3">
      <c r="A44" s="8" t="s">
        <v>168</v>
      </c>
      <c r="B44" s="9">
        <v>43071</v>
      </c>
      <c r="C44" s="10" t="s">
        <v>136</v>
      </c>
      <c r="D44" s="10" t="s">
        <v>30</v>
      </c>
      <c r="E44" s="10" t="s">
        <v>103</v>
      </c>
      <c r="F44" s="11">
        <v>10</v>
      </c>
      <c r="G44" s="12">
        <v>3390.2</v>
      </c>
      <c r="H44" s="12">
        <v>33902</v>
      </c>
      <c r="I44" s="13">
        <v>2000.2180000000001</v>
      </c>
      <c r="J44" s="10" t="s">
        <v>121</v>
      </c>
      <c r="K44" s="10" t="s">
        <v>122</v>
      </c>
      <c r="L44" s="10" t="s">
        <v>34</v>
      </c>
      <c r="M44" s="12">
        <v>20002.18</v>
      </c>
      <c r="N44" s="12">
        <v>13899.82</v>
      </c>
      <c r="O44" s="10">
        <v>41</v>
      </c>
      <c r="P44" s="10" t="s">
        <v>26</v>
      </c>
      <c r="Q44" s="10">
        <v>12</v>
      </c>
      <c r="R44" s="10" t="s">
        <v>27</v>
      </c>
      <c r="S44" s="14" t="str">
        <f t="shared" si="0"/>
        <v>Week 1</v>
      </c>
    </row>
    <row r="45" spans="1:19" x14ac:dyDescent="0.3">
      <c r="A45" s="15" t="s">
        <v>169</v>
      </c>
      <c r="B45" s="16">
        <v>43071</v>
      </c>
      <c r="C45" s="17" t="s">
        <v>170</v>
      </c>
      <c r="D45" s="17" t="s">
        <v>21</v>
      </c>
      <c r="E45" s="17" t="s">
        <v>73</v>
      </c>
      <c r="F45" s="18">
        <v>9</v>
      </c>
      <c r="G45" s="19">
        <v>3845.8</v>
      </c>
      <c r="H45" s="19">
        <v>34612.200000000004</v>
      </c>
      <c r="I45" s="20">
        <v>1845.9839999999999</v>
      </c>
      <c r="J45" s="17" t="s">
        <v>159</v>
      </c>
      <c r="K45" s="17" t="s">
        <v>160</v>
      </c>
      <c r="L45" s="17" t="s">
        <v>25</v>
      </c>
      <c r="M45" s="19">
        <v>16613.856</v>
      </c>
      <c r="N45" s="19">
        <v>17998.344000000001</v>
      </c>
      <c r="O45" s="17">
        <v>52</v>
      </c>
      <c r="P45" s="17" t="s">
        <v>26</v>
      </c>
      <c r="Q45" s="17">
        <v>12</v>
      </c>
      <c r="R45" s="17" t="s">
        <v>27</v>
      </c>
      <c r="S45" s="14" t="str">
        <f t="shared" si="0"/>
        <v>Week 1</v>
      </c>
    </row>
    <row r="46" spans="1:19" x14ac:dyDescent="0.3">
      <c r="A46" s="8" t="s">
        <v>171</v>
      </c>
      <c r="B46" s="9">
        <v>43071</v>
      </c>
      <c r="C46" s="10" t="s">
        <v>172</v>
      </c>
      <c r="D46" s="10" t="s">
        <v>21</v>
      </c>
      <c r="E46" s="10" t="s">
        <v>127</v>
      </c>
      <c r="F46" s="11">
        <v>10</v>
      </c>
      <c r="G46" s="12">
        <v>187.6</v>
      </c>
      <c r="H46" s="12">
        <v>1876</v>
      </c>
      <c r="I46" s="13">
        <v>91.923999999999893</v>
      </c>
      <c r="J46" s="10" t="s">
        <v>94</v>
      </c>
      <c r="K46" s="10" t="s">
        <v>95</v>
      </c>
      <c r="L46" s="10" t="s">
        <v>40</v>
      </c>
      <c r="M46" s="12">
        <v>919.23999999999899</v>
      </c>
      <c r="N46" s="12">
        <v>956.76</v>
      </c>
      <c r="O46" s="10">
        <v>51</v>
      </c>
      <c r="P46" s="10" t="s">
        <v>26</v>
      </c>
      <c r="Q46" s="10">
        <v>12</v>
      </c>
      <c r="R46" s="10" t="s">
        <v>27</v>
      </c>
      <c r="S46" s="14" t="str">
        <f t="shared" si="0"/>
        <v>Week 1</v>
      </c>
    </row>
    <row r="47" spans="1:19" x14ac:dyDescent="0.3">
      <c r="A47" s="15" t="s">
        <v>173</v>
      </c>
      <c r="B47" s="16">
        <v>43071</v>
      </c>
      <c r="C47" s="17" t="s">
        <v>174</v>
      </c>
      <c r="D47" s="17" t="s">
        <v>21</v>
      </c>
      <c r="E47" s="17" t="s">
        <v>91</v>
      </c>
      <c r="F47" s="18">
        <v>9</v>
      </c>
      <c r="G47" s="19">
        <v>268</v>
      </c>
      <c r="H47" s="19">
        <v>2412</v>
      </c>
      <c r="I47" s="20">
        <v>123.28</v>
      </c>
      <c r="J47" s="17" t="s">
        <v>54</v>
      </c>
      <c r="K47" s="17" t="s">
        <v>55</v>
      </c>
      <c r="L47" s="17" t="s">
        <v>56</v>
      </c>
      <c r="M47" s="19">
        <v>1109.52</v>
      </c>
      <c r="N47" s="19">
        <v>1302.48</v>
      </c>
      <c r="O47" s="17">
        <v>54</v>
      </c>
      <c r="P47" s="17" t="s">
        <v>26</v>
      </c>
      <c r="Q47" s="17">
        <v>12</v>
      </c>
      <c r="R47" s="17" t="s">
        <v>27</v>
      </c>
      <c r="S47" s="14" t="str">
        <f t="shared" si="0"/>
        <v>Week 1</v>
      </c>
    </row>
    <row r="48" spans="1:19" x14ac:dyDescent="0.3">
      <c r="A48" s="8" t="s">
        <v>175</v>
      </c>
      <c r="B48" s="9">
        <v>43071</v>
      </c>
      <c r="C48" s="10" t="s">
        <v>176</v>
      </c>
      <c r="D48" s="10" t="s">
        <v>21</v>
      </c>
      <c r="E48" s="10" t="s">
        <v>31</v>
      </c>
      <c r="F48" s="11">
        <v>7</v>
      </c>
      <c r="G48" s="12">
        <v>971.5</v>
      </c>
      <c r="H48" s="12">
        <v>6800.5</v>
      </c>
      <c r="I48" s="13">
        <v>505.18</v>
      </c>
      <c r="J48" s="10" t="s">
        <v>177</v>
      </c>
      <c r="K48" s="10" t="s">
        <v>178</v>
      </c>
      <c r="L48" s="10" t="s">
        <v>40</v>
      </c>
      <c r="M48" s="12">
        <v>3536.26</v>
      </c>
      <c r="N48" s="12">
        <v>3264.24</v>
      </c>
      <c r="O48" s="10">
        <v>48</v>
      </c>
      <c r="P48" s="10" t="s">
        <v>26</v>
      </c>
      <c r="Q48" s="10">
        <v>12</v>
      </c>
      <c r="R48" s="10" t="s">
        <v>27</v>
      </c>
      <c r="S48" s="14" t="str">
        <f t="shared" si="0"/>
        <v>Week 1</v>
      </c>
    </row>
    <row r="49" spans="1:19" x14ac:dyDescent="0.3">
      <c r="A49" s="15" t="s">
        <v>179</v>
      </c>
      <c r="B49" s="16">
        <v>43071</v>
      </c>
      <c r="C49" s="17" t="s">
        <v>180</v>
      </c>
      <c r="D49" s="17" t="s">
        <v>21</v>
      </c>
      <c r="E49" s="17" t="s">
        <v>149</v>
      </c>
      <c r="F49" s="18">
        <v>10</v>
      </c>
      <c r="G49" s="19">
        <v>1118.9000000000001</v>
      </c>
      <c r="H49" s="19">
        <v>11189</v>
      </c>
      <c r="I49" s="20">
        <v>783.23</v>
      </c>
      <c r="J49" s="17" t="s">
        <v>63</v>
      </c>
      <c r="K49" s="17" t="s">
        <v>64</v>
      </c>
      <c r="L49" s="17" t="s">
        <v>34</v>
      </c>
      <c r="M49" s="19">
        <v>7832.3</v>
      </c>
      <c r="N49" s="19">
        <v>3356.7</v>
      </c>
      <c r="O49" s="17">
        <v>30</v>
      </c>
      <c r="P49" s="17" t="s">
        <v>26</v>
      </c>
      <c r="Q49" s="17">
        <v>12</v>
      </c>
      <c r="R49" s="17" t="s">
        <v>27</v>
      </c>
      <c r="S49" s="14" t="str">
        <f t="shared" si="0"/>
        <v>Week 1</v>
      </c>
    </row>
    <row r="50" spans="1:19" x14ac:dyDescent="0.3">
      <c r="A50" s="8" t="s">
        <v>181</v>
      </c>
      <c r="B50" s="9">
        <v>43071</v>
      </c>
      <c r="C50" s="10" t="s">
        <v>182</v>
      </c>
      <c r="D50" s="10" t="s">
        <v>21</v>
      </c>
      <c r="E50" s="10" t="s">
        <v>103</v>
      </c>
      <c r="F50" s="11">
        <v>6</v>
      </c>
      <c r="G50" s="12">
        <v>2371.8000000000002</v>
      </c>
      <c r="H50" s="12">
        <v>14230.800000000001</v>
      </c>
      <c r="I50" s="13">
        <v>1778.85</v>
      </c>
      <c r="J50" s="10" t="s">
        <v>32</v>
      </c>
      <c r="K50" s="10" t="s">
        <v>33</v>
      </c>
      <c r="L50" s="10" t="s">
        <v>34</v>
      </c>
      <c r="M50" s="12">
        <v>10673.1</v>
      </c>
      <c r="N50" s="12">
        <v>3557.7</v>
      </c>
      <c r="O50" s="10">
        <v>25</v>
      </c>
      <c r="P50" s="10" t="s">
        <v>26</v>
      </c>
      <c r="Q50" s="10">
        <v>12</v>
      </c>
      <c r="R50" s="10" t="s">
        <v>27</v>
      </c>
      <c r="S50" s="14" t="str">
        <f t="shared" si="0"/>
        <v>Week 1</v>
      </c>
    </row>
    <row r="51" spans="1:19" x14ac:dyDescent="0.3">
      <c r="A51" s="15" t="s">
        <v>183</v>
      </c>
      <c r="B51" s="16">
        <v>43071</v>
      </c>
      <c r="C51" s="17" t="s">
        <v>148</v>
      </c>
      <c r="D51" s="17" t="s">
        <v>21</v>
      </c>
      <c r="E51" s="17" t="s">
        <v>103</v>
      </c>
      <c r="F51" s="18">
        <v>7</v>
      </c>
      <c r="G51" s="19">
        <v>4013.3</v>
      </c>
      <c r="H51" s="19">
        <v>28093.100000000002</v>
      </c>
      <c r="I51" s="20">
        <v>2367.8470000000002</v>
      </c>
      <c r="J51" s="17" t="s">
        <v>177</v>
      </c>
      <c r="K51" s="17" t="s">
        <v>178</v>
      </c>
      <c r="L51" s="17" t="s">
        <v>40</v>
      </c>
      <c r="M51" s="19">
        <v>16574.929</v>
      </c>
      <c r="N51" s="19">
        <v>11518.171</v>
      </c>
      <c r="O51" s="17">
        <v>41</v>
      </c>
      <c r="P51" s="17" t="s">
        <v>26</v>
      </c>
      <c r="Q51" s="17">
        <v>12</v>
      </c>
      <c r="R51" s="17" t="s">
        <v>27</v>
      </c>
      <c r="S51" s="14" t="str">
        <f t="shared" si="0"/>
        <v>Week 1</v>
      </c>
    </row>
    <row r="52" spans="1:19" x14ac:dyDescent="0.3">
      <c r="A52" s="8" t="s">
        <v>184</v>
      </c>
      <c r="B52" s="9">
        <v>43071</v>
      </c>
      <c r="C52" s="10" t="s">
        <v>185</v>
      </c>
      <c r="D52" s="10" t="s">
        <v>43</v>
      </c>
      <c r="E52" s="10" t="s">
        <v>115</v>
      </c>
      <c r="F52" s="11">
        <v>6</v>
      </c>
      <c r="G52" s="12">
        <v>3865.9</v>
      </c>
      <c r="H52" s="12">
        <v>23195.4</v>
      </c>
      <c r="I52" s="13">
        <v>2396.8580000000002</v>
      </c>
      <c r="J52" s="10" t="s">
        <v>54</v>
      </c>
      <c r="K52" s="10" t="s">
        <v>55</v>
      </c>
      <c r="L52" s="10" t="s">
        <v>56</v>
      </c>
      <c r="M52" s="12">
        <v>14381.147999999999</v>
      </c>
      <c r="N52" s="12">
        <v>8814.2520000000004</v>
      </c>
      <c r="O52" s="10">
        <v>38</v>
      </c>
      <c r="P52" s="10" t="s">
        <v>26</v>
      </c>
      <c r="Q52" s="10">
        <v>12</v>
      </c>
      <c r="R52" s="10" t="s">
        <v>27</v>
      </c>
      <c r="S52" s="14" t="str">
        <f t="shared" si="0"/>
        <v>Week 1</v>
      </c>
    </row>
    <row r="53" spans="1:19" x14ac:dyDescent="0.3">
      <c r="A53" s="15" t="s">
        <v>186</v>
      </c>
      <c r="B53" s="16">
        <v>43071</v>
      </c>
      <c r="C53" s="17" t="s">
        <v>126</v>
      </c>
      <c r="D53" s="17" t="s">
        <v>21</v>
      </c>
      <c r="E53" s="17" t="s">
        <v>91</v>
      </c>
      <c r="F53" s="18">
        <v>5</v>
      </c>
      <c r="G53" s="19">
        <v>1775.5</v>
      </c>
      <c r="H53" s="19">
        <v>8877.5</v>
      </c>
      <c r="I53" s="20">
        <v>1065.3</v>
      </c>
      <c r="J53" s="17" t="s">
        <v>54</v>
      </c>
      <c r="K53" s="17" t="s">
        <v>55</v>
      </c>
      <c r="L53" s="17" t="s">
        <v>56</v>
      </c>
      <c r="M53" s="19">
        <v>5326.5</v>
      </c>
      <c r="N53" s="19">
        <v>3551</v>
      </c>
      <c r="O53" s="17">
        <v>40</v>
      </c>
      <c r="P53" s="17" t="s">
        <v>26</v>
      </c>
      <c r="Q53" s="17">
        <v>12</v>
      </c>
      <c r="R53" s="17" t="s">
        <v>27</v>
      </c>
      <c r="S53" s="14" t="str">
        <f t="shared" si="0"/>
        <v>Week 1</v>
      </c>
    </row>
    <row r="54" spans="1:19" x14ac:dyDescent="0.3">
      <c r="A54" s="8" t="s">
        <v>187</v>
      </c>
      <c r="B54" s="9">
        <v>43071</v>
      </c>
      <c r="C54" s="10" t="s">
        <v>188</v>
      </c>
      <c r="D54" s="10" t="s">
        <v>21</v>
      </c>
      <c r="E54" s="10" t="s">
        <v>127</v>
      </c>
      <c r="F54" s="11">
        <v>5</v>
      </c>
      <c r="G54" s="12">
        <v>1105.5</v>
      </c>
      <c r="H54" s="12">
        <v>5527.5</v>
      </c>
      <c r="I54" s="13">
        <v>707.52</v>
      </c>
      <c r="J54" s="10" t="s">
        <v>32</v>
      </c>
      <c r="K54" s="10" t="s">
        <v>33</v>
      </c>
      <c r="L54" s="10" t="s">
        <v>34</v>
      </c>
      <c r="M54" s="12">
        <v>3537.6</v>
      </c>
      <c r="N54" s="12">
        <v>1989.9</v>
      </c>
      <c r="O54" s="10">
        <v>36</v>
      </c>
      <c r="P54" s="10" t="s">
        <v>26</v>
      </c>
      <c r="Q54" s="10">
        <v>12</v>
      </c>
      <c r="R54" s="10" t="s">
        <v>27</v>
      </c>
      <c r="S54" s="14" t="str">
        <f t="shared" si="0"/>
        <v>Week 1</v>
      </c>
    </row>
    <row r="55" spans="1:19" x14ac:dyDescent="0.3">
      <c r="A55" s="15" t="s">
        <v>189</v>
      </c>
      <c r="B55" s="16">
        <v>43071</v>
      </c>
      <c r="C55" s="17" t="s">
        <v>190</v>
      </c>
      <c r="D55" s="17" t="s">
        <v>43</v>
      </c>
      <c r="E55" s="17" t="s">
        <v>191</v>
      </c>
      <c r="F55" s="18">
        <v>5</v>
      </c>
      <c r="G55" s="19">
        <v>6164</v>
      </c>
      <c r="H55" s="19">
        <v>30820</v>
      </c>
      <c r="I55" s="20">
        <v>4129.88</v>
      </c>
      <c r="J55" s="17" t="s">
        <v>23</v>
      </c>
      <c r="K55" s="17" t="s">
        <v>24</v>
      </c>
      <c r="L55" s="17" t="s">
        <v>25</v>
      </c>
      <c r="M55" s="19">
        <v>20649.400000000001</v>
      </c>
      <c r="N55" s="19">
        <v>10170.5999999999</v>
      </c>
      <c r="O55" s="17">
        <v>32.999999999999901</v>
      </c>
      <c r="P55" s="17" t="s">
        <v>26</v>
      </c>
      <c r="Q55" s="17">
        <v>12</v>
      </c>
      <c r="R55" s="17" t="s">
        <v>27</v>
      </c>
      <c r="S55" s="14" t="str">
        <f t="shared" si="0"/>
        <v>Week 1</v>
      </c>
    </row>
    <row r="56" spans="1:19" x14ac:dyDescent="0.3">
      <c r="A56" s="8" t="s">
        <v>192</v>
      </c>
      <c r="B56" s="9">
        <v>43071</v>
      </c>
      <c r="C56" s="10" t="s">
        <v>188</v>
      </c>
      <c r="D56" s="10" t="s">
        <v>30</v>
      </c>
      <c r="E56" s="10" t="s">
        <v>103</v>
      </c>
      <c r="F56" s="11">
        <v>9</v>
      </c>
      <c r="G56" s="12">
        <v>2412</v>
      </c>
      <c r="H56" s="12">
        <v>21708</v>
      </c>
      <c r="I56" s="13">
        <v>1784.8799999999901</v>
      </c>
      <c r="J56" s="10" t="s">
        <v>116</v>
      </c>
      <c r="K56" s="10" t="s">
        <v>117</v>
      </c>
      <c r="L56" s="10" t="s">
        <v>40</v>
      </c>
      <c r="M56" s="12">
        <v>16063.9199999999</v>
      </c>
      <c r="N56" s="12">
        <v>5644.08</v>
      </c>
      <c r="O56" s="10">
        <v>26</v>
      </c>
      <c r="P56" s="10" t="s">
        <v>26</v>
      </c>
      <c r="Q56" s="10">
        <v>12</v>
      </c>
      <c r="R56" s="10" t="s">
        <v>27</v>
      </c>
      <c r="S56" s="14" t="str">
        <f t="shared" si="0"/>
        <v>Week 1</v>
      </c>
    </row>
    <row r="57" spans="1:19" x14ac:dyDescent="0.3">
      <c r="A57" s="15" t="s">
        <v>193</v>
      </c>
      <c r="B57" s="16">
        <v>43071</v>
      </c>
      <c r="C57" s="17" t="s">
        <v>194</v>
      </c>
      <c r="D57" s="17" t="s">
        <v>21</v>
      </c>
      <c r="E57" s="17" t="s">
        <v>146</v>
      </c>
      <c r="F57" s="18">
        <v>8</v>
      </c>
      <c r="G57" s="19">
        <v>3966.4</v>
      </c>
      <c r="H57" s="19">
        <v>31731.200000000001</v>
      </c>
      <c r="I57" s="20">
        <v>2300.5119999999902</v>
      </c>
      <c r="J57" s="17" t="s">
        <v>32</v>
      </c>
      <c r="K57" s="17" t="s">
        <v>33</v>
      </c>
      <c r="L57" s="17" t="s">
        <v>34</v>
      </c>
      <c r="M57" s="19">
        <v>18404.0959999999</v>
      </c>
      <c r="N57" s="19">
        <v>13327.103999999999</v>
      </c>
      <c r="O57" s="17">
        <v>42</v>
      </c>
      <c r="P57" s="17" t="s">
        <v>26</v>
      </c>
      <c r="Q57" s="17">
        <v>12</v>
      </c>
      <c r="R57" s="17" t="s">
        <v>27</v>
      </c>
      <c r="S57" s="14" t="str">
        <f t="shared" si="0"/>
        <v>Week 1</v>
      </c>
    </row>
    <row r="58" spans="1:19" x14ac:dyDescent="0.3">
      <c r="A58" s="8" t="s">
        <v>195</v>
      </c>
      <c r="B58" s="9">
        <v>43071</v>
      </c>
      <c r="C58" s="10" t="s">
        <v>166</v>
      </c>
      <c r="D58" s="10" t="s">
        <v>21</v>
      </c>
      <c r="E58" s="10" t="s">
        <v>115</v>
      </c>
      <c r="F58" s="11">
        <v>5</v>
      </c>
      <c r="G58" s="12">
        <v>2365.1</v>
      </c>
      <c r="H58" s="12">
        <v>11825.5</v>
      </c>
      <c r="I58" s="13">
        <v>1702.8719999999901</v>
      </c>
      <c r="J58" s="10" t="s">
        <v>32</v>
      </c>
      <c r="K58" s="10" t="s">
        <v>33</v>
      </c>
      <c r="L58" s="10" t="s">
        <v>34</v>
      </c>
      <c r="M58" s="12">
        <v>8514.3599999999897</v>
      </c>
      <c r="N58" s="12">
        <v>3311.14</v>
      </c>
      <c r="O58" s="10">
        <v>28</v>
      </c>
      <c r="P58" s="10" t="s">
        <v>26</v>
      </c>
      <c r="Q58" s="10">
        <v>12</v>
      </c>
      <c r="R58" s="10" t="s">
        <v>27</v>
      </c>
      <c r="S58" s="14" t="str">
        <f t="shared" si="0"/>
        <v>Week 1</v>
      </c>
    </row>
    <row r="59" spans="1:19" x14ac:dyDescent="0.3">
      <c r="A59" s="15" t="s">
        <v>196</v>
      </c>
      <c r="B59" s="16">
        <v>43071</v>
      </c>
      <c r="C59" s="17" t="s">
        <v>61</v>
      </c>
      <c r="D59" s="17" t="s">
        <v>21</v>
      </c>
      <c r="E59" s="17" t="s">
        <v>197</v>
      </c>
      <c r="F59" s="18">
        <v>7</v>
      </c>
      <c r="G59" s="19">
        <v>2525.9</v>
      </c>
      <c r="H59" s="19">
        <v>17681.3</v>
      </c>
      <c r="I59" s="20">
        <v>1338.7270000000001</v>
      </c>
      <c r="J59" s="17" t="s">
        <v>121</v>
      </c>
      <c r="K59" s="17" t="s">
        <v>122</v>
      </c>
      <c r="L59" s="17" t="s">
        <v>34</v>
      </c>
      <c r="M59" s="19">
        <v>9371.0889999999999</v>
      </c>
      <c r="N59" s="19">
        <v>8310.2109999999993</v>
      </c>
      <c r="O59" s="17">
        <v>47</v>
      </c>
      <c r="P59" s="17" t="s">
        <v>26</v>
      </c>
      <c r="Q59" s="17">
        <v>12</v>
      </c>
      <c r="R59" s="17" t="s">
        <v>27</v>
      </c>
      <c r="S59" s="14" t="str">
        <f t="shared" si="0"/>
        <v>Week 1</v>
      </c>
    </row>
    <row r="60" spans="1:19" x14ac:dyDescent="0.3">
      <c r="A60" s="8" t="s">
        <v>198</v>
      </c>
      <c r="B60" s="9">
        <v>43071</v>
      </c>
      <c r="C60" s="10" t="s">
        <v>199</v>
      </c>
      <c r="D60" s="10" t="s">
        <v>43</v>
      </c>
      <c r="E60" s="10" t="s">
        <v>93</v>
      </c>
      <c r="F60" s="11">
        <v>12</v>
      </c>
      <c r="G60" s="12">
        <v>1085.4000000000001</v>
      </c>
      <c r="H60" s="12">
        <v>13024.800000000001</v>
      </c>
      <c r="I60" s="13">
        <v>477.57600000000002</v>
      </c>
      <c r="J60" s="10" t="s">
        <v>32</v>
      </c>
      <c r="K60" s="10" t="s">
        <v>33</v>
      </c>
      <c r="L60" s="10" t="s">
        <v>34</v>
      </c>
      <c r="M60" s="12">
        <v>5730.9120000000003</v>
      </c>
      <c r="N60" s="12">
        <v>7293.8879999999999</v>
      </c>
      <c r="O60" s="10">
        <v>56</v>
      </c>
      <c r="P60" s="10" t="s">
        <v>26</v>
      </c>
      <c r="Q60" s="10">
        <v>12</v>
      </c>
      <c r="R60" s="10" t="s">
        <v>27</v>
      </c>
      <c r="S60" s="14" t="str">
        <f t="shared" si="0"/>
        <v>Week 1</v>
      </c>
    </row>
    <row r="61" spans="1:19" x14ac:dyDescent="0.3">
      <c r="A61" s="15" t="s">
        <v>200</v>
      </c>
      <c r="B61" s="16">
        <v>43071</v>
      </c>
      <c r="C61" s="17" t="s">
        <v>201</v>
      </c>
      <c r="D61" s="17" t="s">
        <v>21</v>
      </c>
      <c r="E61" s="17" t="s">
        <v>31</v>
      </c>
      <c r="F61" s="18">
        <v>11</v>
      </c>
      <c r="G61" s="19">
        <v>1815.7</v>
      </c>
      <c r="H61" s="19">
        <v>19972.7</v>
      </c>
      <c r="I61" s="20">
        <v>1434.403</v>
      </c>
      <c r="J61" s="17" t="s">
        <v>69</v>
      </c>
      <c r="K61" s="17" t="s">
        <v>70</v>
      </c>
      <c r="L61" s="17" t="s">
        <v>25</v>
      </c>
      <c r="M61" s="19">
        <v>15778.433000000001</v>
      </c>
      <c r="N61" s="19">
        <v>4194.2669999999998</v>
      </c>
      <c r="O61" s="17">
        <v>21</v>
      </c>
      <c r="P61" s="17" t="s">
        <v>26</v>
      </c>
      <c r="Q61" s="17">
        <v>12</v>
      </c>
      <c r="R61" s="17" t="s">
        <v>27</v>
      </c>
      <c r="S61" s="14" t="str">
        <f t="shared" si="0"/>
        <v>Week 1</v>
      </c>
    </row>
    <row r="62" spans="1:19" x14ac:dyDescent="0.3">
      <c r="A62" s="8" t="s">
        <v>202</v>
      </c>
      <c r="B62" s="9">
        <v>43071</v>
      </c>
      <c r="C62" s="10" t="s">
        <v>20</v>
      </c>
      <c r="D62" s="10" t="s">
        <v>30</v>
      </c>
      <c r="E62" s="10" t="s">
        <v>103</v>
      </c>
      <c r="F62" s="11">
        <v>7</v>
      </c>
      <c r="G62" s="12">
        <v>3966.4</v>
      </c>
      <c r="H62" s="12">
        <v>27764.799999999999</v>
      </c>
      <c r="I62" s="13">
        <v>2379.84</v>
      </c>
      <c r="J62" s="10" t="s">
        <v>23</v>
      </c>
      <c r="K62" s="10" t="s">
        <v>24</v>
      </c>
      <c r="L62" s="10" t="s">
        <v>25</v>
      </c>
      <c r="M62" s="12">
        <v>16658.88</v>
      </c>
      <c r="N62" s="12">
        <v>11105.9199999999</v>
      </c>
      <c r="O62" s="10">
        <v>40</v>
      </c>
      <c r="P62" s="10" t="s">
        <v>26</v>
      </c>
      <c r="Q62" s="10">
        <v>12</v>
      </c>
      <c r="R62" s="10" t="s">
        <v>27</v>
      </c>
      <c r="S62" s="14" t="str">
        <f t="shared" si="0"/>
        <v>Week 1</v>
      </c>
    </row>
    <row r="63" spans="1:19" x14ac:dyDescent="0.3">
      <c r="A63" s="15" t="s">
        <v>203</v>
      </c>
      <c r="B63" s="16">
        <v>43071</v>
      </c>
      <c r="C63" s="17" t="s">
        <v>86</v>
      </c>
      <c r="D63" s="17" t="s">
        <v>21</v>
      </c>
      <c r="E63" s="17" t="s">
        <v>73</v>
      </c>
      <c r="F63" s="18">
        <v>8</v>
      </c>
      <c r="G63" s="19">
        <v>1098.8</v>
      </c>
      <c r="H63" s="19">
        <v>8790.4</v>
      </c>
      <c r="I63" s="20">
        <v>483.47199999999998</v>
      </c>
      <c r="J63" s="17" t="s">
        <v>204</v>
      </c>
      <c r="K63" s="17" t="s">
        <v>205</v>
      </c>
      <c r="L63" s="17" t="s">
        <v>34</v>
      </c>
      <c r="M63" s="19">
        <v>3867.7759999999998</v>
      </c>
      <c r="N63" s="19">
        <v>4922.6239999999998</v>
      </c>
      <c r="O63" s="17">
        <v>56</v>
      </c>
      <c r="P63" s="17" t="s">
        <v>26</v>
      </c>
      <c r="Q63" s="17">
        <v>12</v>
      </c>
      <c r="R63" s="17" t="s">
        <v>27</v>
      </c>
      <c r="S63" s="14" t="str">
        <f t="shared" si="0"/>
        <v>Week 1</v>
      </c>
    </row>
    <row r="64" spans="1:19" x14ac:dyDescent="0.3">
      <c r="A64" s="8" t="s">
        <v>206</v>
      </c>
      <c r="B64" s="9">
        <v>43071</v>
      </c>
      <c r="C64" s="10" t="s">
        <v>207</v>
      </c>
      <c r="D64" s="10" t="s">
        <v>21</v>
      </c>
      <c r="E64" s="10" t="s">
        <v>49</v>
      </c>
      <c r="F64" s="11">
        <v>9</v>
      </c>
      <c r="G64" s="12">
        <v>1326.6</v>
      </c>
      <c r="H64" s="12">
        <v>11939.4</v>
      </c>
      <c r="I64" s="13">
        <v>809.226</v>
      </c>
      <c r="J64" s="10" t="s">
        <v>23</v>
      </c>
      <c r="K64" s="10" t="s">
        <v>24</v>
      </c>
      <c r="L64" s="10" t="s">
        <v>25</v>
      </c>
      <c r="M64" s="12">
        <v>7283.0339999999997</v>
      </c>
      <c r="N64" s="12">
        <v>4656.366</v>
      </c>
      <c r="O64" s="10">
        <v>38.999999999999901</v>
      </c>
      <c r="P64" s="10" t="s">
        <v>26</v>
      </c>
      <c r="Q64" s="10">
        <v>12</v>
      </c>
      <c r="R64" s="10" t="s">
        <v>27</v>
      </c>
      <c r="S64" s="14" t="str">
        <f t="shared" si="0"/>
        <v>Week 1</v>
      </c>
    </row>
    <row r="65" spans="1:19" x14ac:dyDescent="0.3">
      <c r="A65" s="15" t="s">
        <v>208</v>
      </c>
      <c r="B65" s="16">
        <v>43071</v>
      </c>
      <c r="C65" s="17" t="s">
        <v>209</v>
      </c>
      <c r="D65" s="17" t="s">
        <v>30</v>
      </c>
      <c r="E65" s="17" t="s">
        <v>191</v>
      </c>
      <c r="F65" s="18">
        <v>12</v>
      </c>
      <c r="G65" s="19">
        <v>5775.4</v>
      </c>
      <c r="H65" s="19">
        <v>69304.799999999988</v>
      </c>
      <c r="I65" s="20">
        <v>4273.7960000000003</v>
      </c>
      <c r="J65" s="17" t="s">
        <v>87</v>
      </c>
      <c r="K65" s="17" t="s">
        <v>88</v>
      </c>
      <c r="L65" s="17" t="s">
        <v>56</v>
      </c>
      <c r="M65" s="19">
        <v>51285.552000000003</v>
      </c>
      <c r="N65" s="19">
        <v>18019.248</v>
      </c>
      <c r="O65" s="17">
        <v>26</v>
      </c>
      <c r="P65" s="17" t="s">
        <v>26</v>
      </c>
      <c r="Q65" s="17">
        <v>12</v>
      </c>
      <c r="R65" s="17" t="s">
        <v>27</v>
      </c>
      <c r="S65" s="14" t="str">
        <f t="shared" si="0"/>
        <v>Week 1</v>
      </c>
    </row>
    <row r="66" spans="1:19" x14ac:dyDescent="0.3">
      <c r="A66" s="8" t="s">
        <v>210</v>
      </c>
      <c r="B66" s="9">
        <v>43071</v>
      </c>
      <c r="C66" s="10" t="s">
        <v>211</v>
      </c>
      <c r="D66" s="10" t="s">
        <v>21</v>
      </c>
      <c r="E66" s="10" t="s">
        <v>91</v>
      </c>
      <c r="F66" s="11">
        <v>11</v>
      </c>
      <c r="G66" s="12">
        <v>2512.5</v>
      </c>
      <c r="H66" s="12">
        <v>27637.5</v>
      </c>
      <c r="I66" s="13">
        <v>2060.25</v>
      </c>
      <c r="J66" s="10" t="s">
        <v>212</v>
      </c>
      <c r="K66" s="10" t="s">
        <v>213</v>
      </c>
      <c r="L66" s="10" t="s">
        <v>34</v>
      </c>
      <c r="M66" s="12">
        <v>22662.75</v>
      </c>
      <c r="N66" s="12">
        <v>4974.75</v>
      </c>
      <c r="O66" s="10">
        <v>18</v>
      </c>
      <c r="P66" s="10" t="s">
        <v>26</v>
      </c>
      <c r="Q66" s="10">
        <v>12</v>
      </c>
      <c r="R66" s="10" t="s">
        <v>27</v>
      </c>
      <c r="S66" s="14" t="str">
        <f t="shared" si="0"/>
        <v>Week 1</v>
      </c>
    </row>
    <row r="67" spans="1:19" x14ac:dyDescent="0.3">
      <c r="A67" s="15" t="s">
        <v>214</v>
      </c>
      <c r="B67" s="16">
        <v>43071</v>
      </c>
      <c r="C67" s="17" t="s">
        <v>215</v>
      </c>
      <c r="D67" s="17" t="s">
        <v>21</v>
      </c>
      <c r="E67" s="17" t="s">
        <v>103</v>
      </c>
      <c r="F67" s="18">
        <v>9</v>
      </c>
      <c r="G67" s="19">
        <v>3162.4</v>
      </c>
      <c r="H67" s="19">
        <v>28461.600000000002</v>
      </c>
      <c r="I67" s="20">
        <v>2624.7919999999999</v>
      </c>
      <c r="J67" s="17" t="s">
        <v>23</v>
      </c>
      <c r="K67" s="17" t="s">
        <v>24</v>
      </c>
      <c r="L67" s="17" t="s">
        <v>25</v>
      </c>
      <c r="M67" s="19">
        <v>23623.128000000001</v>
      </c>
      <c r="N67" s="19">
        <v>4838.4719999999998</v>
      </c>
      <c r="O67" s="17">
        <v>17</v>
      </c>
      <c r="P67" s="17" t="s">
        <v>26</v>
      </c>
      <c r="Q67" s="17">
        <v>12</v>
      </c>
      <c r="R67" s="17" t="s">
        <v>27</v>
      </c>
      <c r="S67" s="14" t="str">
        <f t="shared" ref="S67:S130" si="1">"Week "&amp;INT((DAY(B67)-1)/7)+1</f>
        <v>Week 1</v>
      </c>
    </row>
    <row r="68" spans="1:19" x14ac:dyDescent="0.3">
      <c r="A68" s="8" t="s">
        <v>216</v>
      </c>
      <c r="B68" s="9">
        <v>43071</v>
      </c>
      <c r="C68" s="10" t="s">
        <v>217</v>
      </c>
      <c r="D68" s="10" t="s">
        <v>30</v>
      </c>
      <c r="E68" s="10" t="s">
        <v>146</v>
      </c>
      <c r="F68" s="11">
        <v>9</v>
      </c>
      <c r="G68" s="12">
        <v>1755.4</v>
      </c>
      <c r="H68" s="12">
        <v>15798.6</v>
      </c>
      <c r="I68" s="13">
        <v>983.024</v>
      </c>
      <c r="J68" s="10" t="s">
        <v>218</v>
      </c>
      <c r="K68" s="10" t="s">
        <v>219</v>
      </c>
      <c r="L68" s="10" t="s">
        <v>34</v>
      </c>
      <c r="M68" s="12">
        <v>8847.2160000000003</v>
      </c>
      <c r="N68" s="12">
        <v>6951.384</v>
      </c>
      <c r="O68" s="10">
        <v>44</v>
      </c>
      <c r="P68" s="10" t="s">
        <v>26</v>
      </c>
      <c r="Q68" s="10">
        <v>12</v>
      </c>
      <c r="R68" s="10" t="s">
        <v>27</v>
      </c>
      <c r="S68" s="14" t="str">
        <f t="shared" si="1"/>
        <v>Week 1</v>
      </c>
    </row>
    <row r="69" spans="1:19" x14ac:dyDescent="0.3">
      <c r="A69" s="15" t="s">
        <v>220</v>
      </c>
      <c r="B69" s="16">
        <v>43071</v>
      </c>
      <c r="C69" s="17" t="s">
        <v>221</v>
      </c>
      <c r="D69" s="17" t="s">
        <v>30</v>
      </c>
      <c r="E69" s="17" t="s">
        <v>44</v>
      </c>
      <c r="F69" s="18">
        <v>9</v>
      </c>
      <c r="G69" s="19">
        <v>4006.6</v>
      </c>
      <c r="H69" s="19">
        <v>36059.4</v>
      </c>
      <c r="I69" s="20">
        <v>2283.7619999999902</v>
      </c>
      <c r="J69" s="17" t="s">
        <v>222</v>
      </c>
      <c r="K69" s="17" t="s">
        <v>223</v>
      </c>
      <c r="L69" s="17" t="s">
        <v>25</v>
      </c>
      <c r="M69" s="19">
        <v>20553.857999999898</v>
      </c>
      <c r="N69" s="19">
        <v>15505.541999999999</v>
      </c>
      <c r="O69" s="17">
        <v>43</v>
      </c>
      <c r="P69" s="17" t="s">
        <v>26</v>
      </c>
      <c r="Q69" s="17">
        <v>12</v>
      </c>
      <c r="R69" s="17" t="s">
        <v>27</v>
      </c>
      <c r="S69" s="14" t="str">
        <f t="shared" si="1"/>
        <v>Week 1</v>
      </c>
    </row>
    <row r="70" spans="1:19" x14ac:dyDescent="0.3">
      <c r="A70" s="8" t="s">
        <v>224</v>
      </c>
      <c r="B70" s="9">
        <v>43071</v>
      </c>
      <c r="C70" s="10" t="s">
        <v>72</v>
      </c>
      <c r="D70" s="10" t="s">
        <v>21</v>
      </c>
      <c r="E70" s="10" t="s">
        <v>103</v>
      </c>
      <c r="F70" s="11">
        <v>11</v>
      </c>
      <c r="G70" s="12">
        <v>1989.9</v>
      </c>
      <c r="H70" s="12">
        <v>21888.9</v>
      </c>
      <c r="I70" s="13">
        <v>935.25300000000004</v>
      </c>
      <c r="J70" s="10" t="s">
        <v>225</v>
      </c>
      <c r="K70" s="10" t="s">
        <v>226</v>
      </c>
      <c r="L70" s="10" t="s">
        <v>25</v>
      </c>
      <c r="M70" s="12">
        <v>10287.782999999999</v>
      </c>
      <c r="N70" s="12">
        <v>11601.117</v>
      </c>
      <c r="O70" s="10">
        <v>53</v>
      </c>
      <c r="P70" s="10" t="s">
        <v>26</v>
      </c>
      <c r="Q70" s="10">
        <v>12</v>
      </c>
      <c r="R70" s="10" t="s">
        <v>27</v>
      </c>
      <c r="S70" s="14" t="str">
        <f t="shared" si="1"/>
        <v>Week 1</v>
      </c>
    </row>
    <row r="71" spans="1:19" x14ac:dyDescent="0.3">
      <c r="A71" s="15" t="s">
        <v>227</v>
      </c>
      <c r="B71" s="16">
        <v>43071</v>
      </c>
      <c r="C71" s="17" t="s">
        <v>138</v>
      </c>
      <c r="D71" s="17" t="s">
        <v>43</v>
      </c>
      <c r="E71" s="17" t="s">
        <v>228</v>
      </c>
      <c r="F71" s="18">
        <v>5</v>
      </c>
      <c r="G71" s="19">
        <v>1118.9000000000001</v>
      </c>
      <c r="H71" s="19">
        <v>5594.5</v>
      </c>
      <c r="I71" s="20">
        <v>749.66300000000001</v>
      </c>
      <c r="J71" s="17" t="s">
        <v>54</v>
      </c>
      <c r="K71" s="17" t="s">
        <v>55</v>
      </c>
      <c r="L71" s="17" t="s">
        <v>56</v>
      </c>
      <c r="M71" s="19">
        <v>3748.3150000000001</v>
      </c>
      <c r="N71" s="19">
        <v>1846.1849999999899</v>
      </c>
      <c r="O71" s="17">
        <v>32.999999999999901</v>
      </c>
      <c r="P71" s="17" t="s">
        <v>26</v>
      </c>
      <c r="Q71" s="17">
        <v>12</v>
      </c>
      <c r="R71" s="17" t="s">
        <v>27</v>
      </c>
      <c r="S71" s="14" t="str">
        <f t="shared" si="1"/>
        <v>Week 1</v>
      </c>
    </row>
    <row r="72" spans="1:19" x14ac:dyDescent="0.3">
      <c r="A72" s="8" t="s">
        <v>229</v>
      </c>
      <c r="B72" s="9">
        <v>43071</v>
      </c>
      <c r="C72" s="10" t="s">
        <v>162</v>
      </c>
      <c r="D72" s="10" t="s">
        <v>21</v>
      </c>
      <c r="E72" s="10" t="s">
        <v>230</v>
      </c>
      <c r="F72" s="11">
        <v>11</v>
      </c>
      <c r="G72" s="12">
        <v>3832.4</v>
      </c>
      <c r="H72" s="12">
        <v>42156.4</v>
      </c>
      <c r="I72" s="13">
        <v>2107.8200000000002</v>
      </c>
      <c r="J72" s="10" t="s">
        <v>231</v>
      </c>
      <c r="K72" s="10" t="s">
        <v>232</v>
      </c>
      <c r="L72" s="10" t="s">
        <v>40</v>
      </c>
      <c r="M72" s="12">
        <v>23186.02</v>
      </c>
      <c r="N72" s="12">
        <v>18970.38</v>
      </c>
      <c r="O72" s="10">
        <v>45</v>
      </c>
      <c r="P72" s="10" t="s">
        <v>26</v>
      </c>
      <c r="Q72" s="10">
        <v>12</v>
      </c>
      <c r="R72" s="10" t="s">
        <v>27</v>
      </c>
      <c r="S72" s="14" t="str">
        <f t="shared" si="1"/>
        <v>Week 1</v>
      </c>
    </row>
    <row r="73" spans="1:19" x14ac:dyDescent="0.3">
      <c r="A73" s="15" t="s">
        <v>233</v>
      </c>
      <c r="B73" s="16">
        <v>43071</v>
      </c>
      <c r="C73" s="17" t="s">
        <v>234</v>
      </c>
      <c r="D73" s="17" t="s">
        <v>21</v>
      </c>
      <c r="E73" s="17" t="s">
        <v>146</v>
      </c>
      <c r="F73" s="18">
        <v>6</v>
      </c>
      <c r="G73" s="19">
        <v>194.3</v>
      </c>
      <c r="H73" s="19">
        <v>1165.8000000000002</v>
      </c>
      <c r="I73" s="20">
        <v>102.979</v>
      </c>
      <c r="J73" s="17" t="s">
        <v>38</v>
      </c>
      <c r="K73" s="17" t="s">
        <v>39</v>
      </c>
      <c r="L73" s="17" t="s">
        <v>40</v>
      </c>
      <c r="M73" s="19">
        <v>617.87400000000002</v>
      </c>
      <c r="N73" s="19">
        <v>547.92600000000004</v>
      </c>
      <c r="O73" s="17">
        <v>47</v>
      </c>
      <c r="P73" s="17" t="s">
        <v>26</v>
      </c>
      <c r="Q73" s="17">
        <v>12</v>
      </c>
      <c r="R73" s="17" t="s">
        <v>27</v>
      </c>
      <c r="S73" s="14" t="str">
        <f t="shared" si="1"/>
        <v>Week 1</v>
      </c>
    </row>
    <row r="74" spans="1:19" x14ac:dyDescent="0.3">
      <c r="A74" s="8" t="s">
        <v>235</v>
      </c>
      <c r="B74" s="9">
        <v>43071</v>
      </c>
      <c r="C74" s="10" t="s">
        <v>236</v>
      </c>
      <c r="D74" s="10" t="s">
        <v>21</v>
      </c>
      <c r="E74" s="10" t="s">
        <v>115</v>
      </c>
      <c r="F74" s="11">
        <v>10</v>
      </c>
      <c r="G74" s="12">
        <v>2211</v>
      </c>
      <c r="H74" s="12">
        <v>22110</v>
      </c>
      <c r="I74" s="13">
        <v>1857.24</v>
      </c>
      <c r="J74" s="10" t="s">
        <v>23</v>
      </c>
      <c r="K74" s="10" t="s">
        <v>24</v>
      </c>
      <c r="L74" s="10" t="s">
        <v>25</v>
      </c>
      <c r="M74" s="12">
        <v>18572.400000000001</v>
      </c>
      <c r="N74" s="12">
        <v>3537.5999999999899</v>
      </c>
      <c r="O74" s="10">
        <v>15.999999999999901</v>
      </c>
      <c r="P74" s="10" t="s">
        <v>26</v>
      </c>
      <c r="Q74" s="10">
        <v>12</v>
      </c>
      <c r="R74" s="10" t="s">
        <v>27</v>
      </c>
      <c r="S74" s="14" t="str">
        <f t="shared" si="1"/>
        <v>Week 1</v>
      </c>
    </row>
    <row r="75" spans="1:19" x14ac:dyDescent="0.3">
      <c r="A75" s="15" t="s">
        <v>237</v>
      </c>
      <c r="B75" s="16">
        <v>43071</v>
      </c>
      <c r="C75" s="17" t="s">
        <v>201</v>
      </c>
      <c r="D75" s="17" t="s">
        <v>30</v>
      </c>
      <c r="E75" s="17" t="s">
        <v>62</v>
      </c>
      <c r="F75" s="18">
        <v>11</v>
      </c>
      <c r="G75" s="19">
        <v>2860.9</v>
      </c>
      <c r="H75" s="19">
        <v>31469.9</v>
      </c>
      <c r="I75" s="20">
        <v>1316.0139999999999</v>
      </c>
      <c r="J75" s="17" t="s">
        <v>45</v>
      </c>
      <c r="K75" s="17" t="s">
        <v>46</v>
      </c>
      <c r="L75" s="17" t="s">
        <v>34</v>
      </c>
      <c r="M75" s="19">
        <v>14476.154</v>
      </c>
      <c r="N75" s="19">
        <v>16993.745999999999</v>
      </c>
      <c r="O75" s="17">
        <v>53.999999999999901</v>
      </c>
      <c r="P75" s="17" t="s">
        <v>26</v>
      </c>
      <c r="Q75" s="17">
        <v>12</v>
      </c>
      <c r="R75" s="17" t="s">
        <v>27</v>
      </c>
      <c r="S75" s="14" t="str">
        <f t="shared" si="1"/>
        <v>Week 1</v>
      </c>
    </row>
    <row r="76" spans="1:19" x14ac:dyDescent="0.3">
      <c r="A76" s="8" t="s">
        <v>238</v>
      </c>
      <c r="B76" s="9">
        <v>43071</v>
      </c>
      <c r="C76" s="10" t="s">
        <v>239</v>
      </c>
      <c r="D76" s="10" t="s">
        <v>21</v>
      </c>
      <c r="E76" s="10" t="s">
        <v>37</v>
      </c>
      <c r="F76" s="11">
        <v>12</v>
      </c>
      <c r="G76" s="12">
        <v>214.4</v>
      </c>
      <c r="H76" s="12">
        <v>2572.8000000000002</v>
      </c>
      <c r="I76" s="13">
        <v>150.07999999999899</v>
      </c>
      <c r="J76" s="10" t="s">
        <v>32</v>
      </c>
      <c r="K76" s="10" t="s">
        <v>33</v>
      </c>
      <c r="L76" s="10" t="s">
        <v>34</v>
      </c>
      <c r="M76" s="12">
        <v>1800.95999999999</v>
      </c>
      <c r="N76" s="12">
        <v>771.84</v>
      </c>
      <c r="O76" s="10">
        <v>30</v>
      </c>
      <c r="P76" s="10" t="s">
        <v>26</v>
      </c>
      <c r="Q76" s="10">
        <v>12</v>
      </c>
      <c r="R76" s="10" t="s">
        <v>27</v>
      </c>
      <c r="S76" s="14" t="str">
        <f t="shared" si="1"/>
        <v>Week 1</v>
      </c>
    </row>
    <row r="77" spans="1:19" x14ac:dyDescent="0.3">
      <c r="A77" s="15" t="s">
        <v>240</v>
      </c>
      <c r="B77" s="16">
        <v>43071</v>
      </c>
      <c r="C77" s="17" t="s">
        <v>241</v>
      </c>
      <c r="D77" s="17" t="s">
        <v>30</v>
      </c>
      <c r="E77" s="17" t="s">
        <v>91</v>
      </c>
      <c r="F77" s="18">
        <v>9</v>
      </c>
      <c r="G77" s="19">
        <v>2680</v>
      </c>
      <c r="H77" s="19">
        <v>24120</v>
      </c>
      <c r="I77" s="20">
        <v>1259.5999999999999</v>
      </c>
      <c r="J77" s="17" t="s">
        <v>212</v>
      </c>
      <c r="K77" s="17" t="s">
        <v>213</v>
      </c>
      <c r="L77" s="17" t="s">
        <v>34</v>
      </c>
      <c r="M77" s="19">
        <v>11336.4</v>
      </c>
      <c r="N77" s="19">
        <v>12783.6</v>
      </c>
      <c r="O77" s="17">
        <v>53</v>
      </c>
      <c r="P77" s="17" t="s">
        <v>26</v>
      </c>
      <c r="Q77" s="17">
        <v>12</v>
      </c>
      <c r="R77" s="17" t="s">
        <v>27</v>
      </c>
      <c r="S77" s="14" t="str">
        <f t="shared" si="1"/>
        <v>Week 1</v>
      </c>
    </row>
    <row r="78" spans="1:19" x14ac:dyDescent="0.3">
      <c r="A78" s="8" t="s">
        <v>242</v>
      </c>
      <c r="B78" s="9">
        <v>43072</v>
      </c>
      <c r="C78" s="10" t="s">
        <v>145</v>
      </c>
      <c r="D78" s="10" t="s">
        <v>30</v>
      </c>
      <c r="E78" s="10" t="s">
        <v>149</v>
      </c>
      <c r="F78" s="11">
        <v>10</v>
      </c>
      <c r="G78" s="12">
        <v>3886</v>
      </c>
      <c r="H78" s="12">
        <v>38860</v>
      </c>
      <c r="I78" s="13">
        <v>2720.2</v>
      </c>
      <c r="J78" s="10" t="s">
        <v>45</v>
      </c>
      <c r="K78" s="10" t="s">
        <v>46</v>
      </c>
      <c r="L78" s="10" t="s">
        <v>34</v>
      </c>
      <c r="M78" s="12">
        <v>27202</v>
      </c>
      <c r="N78" s="12">
        <v>11658</v>
      </c>
      <c r="O78" s="10">
        <v>30</v>
      </c>
      <c r="P78" s="10" t="s">
        <v>26</v>
      </c>
      <c r="Q78" s="10">
        <v>12</v>
      </c>
      <c r="R78" s="10" t="s">
        <v>27</v>
      </c>
      <c r="S78" s="14" t="str">
        <f t="shared" si="1"/>
        <v>Week 1</v>
      </c>
    </row>
    <row r="79" spans="1:19" x14ac:dyDescent="0.3">
      <c r="A79" s="15" t="s">
        <v>243</v>
      </c>
      <c r="B79" s="16">
        <v>43072</v>
      </c>
      <c r="C79" s="17" t="s">
        <v>68</v>
      </c>
      <c r="D79" s="17" t="s">
        <v>30</v>
      </c>
      <c r="E79" s="17" t="s">
        <v>127</v>
      </c>
      <c r="F79" s="18">
        <v>8</v>
      </c>
      <c r="G79" s="19">
        <v>1681.7</v>
      </c>
      <c r="H79" s="19">
        <v>13453.6</v>
      </c>
      <c r="I79" s="20">
        <v>992.20299999999997</v>
      </c>
      <c r="J79" s="17" t="s">
        <v>32</v>
      </c>
      <c r="K79" s="17" t="s">
        <v>33</v>
      </c>
      <c r="L79" s="17" t="s">
        <v>34</v>
      </c>
      <c r="M79" s="19">
        <v>7937.6239999999998</v>
      </c>
      <c r="N79" s="19">
        <v>5515.9759999999997</v>
      </c>
      <c r="O79" s="17">
        <v>41</v>
      </c>
      <c r="P79" s="17" t="s">
        <v>26</v>
      </c>
      <c r="Q79" s="17">
        <v>12</v>
      </c>
      <c r="R79" s="17" t="s">
        <v>27</v>
      </c>
      <c r="S79" s="14" t="str">
        <f t="shared" si="1"/>
        <v>Week 1</v>
      </c>
    </row>
    <row r="80" spans="1:19" x14ac:dyDescent="0.3">
      <c r="A80" s="8" t="s">
        <v>244</v>
      </c>
      <c r="B80" s="9">
        <v>43072</v>
      </c>
      <c r="C80" s="10" t="s">
        <v>158</v>
      </c>
      <c r="D80" s="10" t="s">
        <v>21</v>
      </c>
      <c r="E80" s="10" t="s">
        <v>49</v>
      </c>
      <c r="F80" s="11">
        <v>7</v>
      </c>
      <c r="G80" s="12">
        <v>2271.3000000000002</v>
      </c>
      <c r="H80" s="12">
        <v>15899.100000000002</v>
      </c>
      <c r="I80" s="13">
        <v>1635.336</v>
      </c>
      <c r="J80" s="10" t="s">
        <v>132</v>
      </c>
      <c r="K80" s="10" t="s">
        <v>133</v>
      </c>
      <c r="L80" s="10" t="s">
        <v>34</v>
      </c>
      <c r="M80" s="12">
        <v>11447.352000000001</v>
      </c>
      <c r="N80" s="12">
        <v>4451.7479999999996</v>
      </c>
      <c r="O80" s="10">
        <v>28</v>
      </c>
      <c r="P80" s="10" t="s">
        <v>26</v>
      </c>
      <c r="Q80" s="10">
        <v>12</v>
      </c>
      <c r="R80" s="10" t="s">
        <v>27</v>
      </c>
      <c r="S80" s="14" t="str">
        <f t="shared" si="1"/>
        <v>Week 1</v>
      </c>
    </row>
    <row r="81" spans="1:19" x14ac:dyDescent="0.3">
      <c r="A81" s="15" t="s">
        <v>245</v>
      </c>
      <c r="B81" s="16">
        <v>43072</v>
      </c>
      <c r="C81" s="17" t="s">
        <v>182</v>
      </c>
      <c r="D81" s="17" t="s">
        <v>21</v>
      </c>
      <c r="E81" s="17" t="s">
        <v>59</v>
      </c>
      <c r="F81" s="18">
        <v>6</v>
      </c>
      <c r="G81" s="19">
        <v>3832.4</v>
      </c>
      <c r="H81" s="19">
        <v>22994.400000000001</v>
      </c>
      <c r="I81" s="20">
        <v>2721.0039999999999</v>
      </c>
      <c r="J81" s="17" t="s">
        <v>63</v>
      </c>
      <c r="K81" s="17" t="s">
        <v>64</v>
      </c>
      <c r="L81" s="17" t="s">
        <v>34</v>
      </c>
      <c r="M81" s="19">
        <v>16326.023999999999</v>
      </c>
      <c r="N81" s="19">
        <v>6668.3760000000002</v>
      </c>
      <c r="O81" s="17">
        <v>29</v>
      </c>
      <c r="P81" s="17" t="s">
        <v>26</v>
      </c>
      <c r="Q81" s="17">
        <v>12</v>
      </c>
      <c r="R81" s="17" t="s">
        <v>27</v>
      </c>
      <c r="S81" s="14" t="str">
        <f t="shared" si="1"/>
        <v>Week 1</v>
      </c>
    </row>
    <row r="82" spans="1:19" x14ac:dyDescent="0.3">
      <c r="A82" s="8" t="s">
        <v>246</v>
      </c>
      <c r="B82" s="9">
        <v>43072</v>
      </c>
      <c r="C82" s="10" t="s">
        <v>247</v>
      </c>
      <c r="D82" s="10" t="s">
        <v>21</v>
      </c>
      <c r="E82" s="10" t="s">
        <v>149</v>
      </c>
      <c r="F82" s="11">
        <v>8</v>
      </c>
      <c r="G82" s="12">
        <v>227.8</v>
      </c>
      <c r="H82" s="12">
        <v>1822.4</v>
      </c>
      <c r="I82" s="13">
        <v>136.68</v>
      </c>
      <c r="J82" s="10" t="s">
        <v>32</v>
      </c>
      <c r="K82" s="10" t="s">
        <v>33</v>
      </c>
      <c r="L82" s="10" t="s">
        <v>34</v>
      </c>
      <c r="M82" s="12">
        <v>1093.44</v>
      </c>
      <c r="N82" s="12">
        <v>728.96</v>
      </c>
      <c r="O82" s="10">
        <v>40</v>
      </c>
      <c r="P82" s="10" t="s">
        <v>26</v>
      </c>
      <c r="Q82" s="10">
        <v>12</v>
      </c>
      <c r="R82" s="10" t="s">
        <v>27</v>
      </c>
      <c r="S82" s="14" t="str">
        <f t="shared" si="1"/>
        <v>Week 1</v>
      </c>
    </row>
    <row r="83" spans="1:19" x14ac:dyDescent="0.3">
      <c r="A83" s="15" t="s">
        <v>248</v>
      </c>
      <c r="B83" s="16">
        <v>43072</v>
      </c>
      <c r="C83" s="17" t="s">
        <v>249</v>
      </c>
      <c r="D83" s="17" t="s">
        <v>30</v>
      </c>
      <c r="E83" s="17" t="s">
        <v>62</v>
      </c>
      <c r="F83" s="18">
        <v>6</v>
      </c>
      <c r="G83" s="19">
        <v>3926.2</v>
      </c>
      <c r="H83" s="19">
        <v>23557.199999999997</v>
      </c>
      <c r="I83" s="20">
        <v>1845.3140000000001</v>
      </c>
      <c r="J83" s="17" t="s">
        <v>76</v>
      </c>
      <c r="K83" s="17" t="s">
        <v>77</v>
      </c>
      <c r="L83" s="17" t="s">
        <v>56</v>
      </c>
      <c r="M83" s="19">
        <v>11071.884</v>
      </c>
      <c r="N83" s="19">
        <v>12485.316000000001</v>
      </c>
      <c r="O83" s="17">
        <v>53</v>
      </c>
      <c r="P83" s="17" t="s">
        <v>26</v>
      </c>
      <c r="Q83" s="17">
        <v>12</v>
      </c>
      <c r="R83" s="17" t="s">
        <v>27</v>
      </c>
      <c r="S83" s="14" t="str">
        <f t="shared" si="1"/>
        <v>Week 1</v>
      </c>
    </row>
    <row r="84" spans="1:19" x14ac:dyDescent="0.3">
      <c r="A84" s="8" t="s">
        <v>250</v>
      </c>
      <c r="B84" s="9">
        <v>43072</v>
      </c>
      <c r="C84" s="10" t="s">
        <v>251</v>
      </c>
      <c r="D84" s="10" t="s">
        <v>30</v>
      </c>
      <c r="E84" s="10" t="s">
        <v>252</v>
      </c>
      <c r="F84" s="11">
        <v>8</v>
      </c>
      <c r="G84" s="12">
        <v>3899.4</v>
      </c>
      <c r="H84" s="12">
        <v>31195.200000000001</v>
      </c>
      <c r="I84" s="13">
        <v>2027.6880000000001</v>
      </c>
      <c r="J84" s="10" t="s">
        <v>38</v>
      </c>
      <c r="K84" s="10" t="s">
        <v>39</v>
      </c>
      <c r="L84" s="10" t="s">
        <v>40</v>
      </c>
      <c r="M84" s="12">
        <v>16221.504000000001</v>
      </c>
      <c r="N84" s="12">
        <v>14973.696</v>
      </c>
      <c r="O84" s="10">
        <v>48</v>
      </c>
      <c r="P84" s="10" t="s">
        <v>26</v>
      </c>
      <c r="Q84" s="10">
        <v>12</v>
      </c>
      <c r="R84" s="10" t="s">
        <v>27</v>
      </c>
      <c r="S84" s="14" t="str">
        <f t="shared" si="1"/>
        <v>Week 1</v>
      </c>
    </row>
    <row r="85" spans="1:19" x14ac:dyDescent="0.3">
      <c r="A85" s="15" t="s">
        <v>253</v>
      </c>
      <c r="B85" s="16">
        <v>43072</v>
      </c>
      <c r="C85" s="17" t="s">
        <v>254</v>
      </c>
      <c r="D85" s="17" t="s">
        <v>21</v>
      </c>
      <c r="E85" s="17" t="s">
        <v>31</v>
      </c>
      <c r="F85" s="18">
        <v>10</v>
      </c>
      <c r="G85" s="19">
        <v>1159.0999999999999</v>
      </c>
      <c r="H85" s="19">
        <v>11591</v>
      </c>
      <c r="I85" s="20">
        <v>741.82399999999996</v>
      </c>
      <c r="J85" s="17" t="s">
        <v>83</v>
      </c>
      <c r="K85" s="17" t="s">
        <v>84</v>
      </c>
      <c r="L85" s="17" t="s">
        <v>34</v>
      </c>
      <c r="M85" s="19">
        <v>7418.24</v>
      </c>
      <c r="N85" s="19">
        <v>4172.76</v>
      </c>
      <c r="O85" s="17">
        <v>36</v>
      </c>
      <c r="P85" s="17" t="s">
        <v>26</v>
      </c>
      <c r="Q85" s="17">
        <v>12</v>
      </c>
      <c r="R85" s="17" t="s">
        <v>27</v>
      </c>
      <c r="S85" s="14" t="str">
        <f t="shared" si="1"/>
        <v>Week 1</v>
      </c>
    </row>
    <row r="86" spans="1:19" x14ac:dyDescent="0.3">
      <c r="A86" s="8" t="s">
        <v>255</v>
      </c>
      <c r="B86" s="9">
        <v>43072</v>
      </c>
      <c r="C86" s="10" t="s">
        <v>256</v>
      </c>
      <c r="D86" s="10" t="s">
        <v>21</v>
      </c>
      <c r="E86" s="10" t="s">
        <v>149</v>
      </c>
      <c r="F86" s="11">
        <v>9</v>
      </c>
      <c r="G86" s="12">
        <v>1721.9</v>
      </c>
      <c r="H86" s="12">
        <v>15497.1</v>
      </c>
      <c r="I86" s="13">
        <v>1360.3009999999999</v>
      </c>
      <c r="J86" s="10" t="s">
        <v>257</v>
      </c>
      <c r="K86" s="10" t="s">
        <v>258</v>
      </c>
      <c r="L86" s="10" t="s">
        <v>25</v>
      </c>
      <c r="M86" s="12">
        <v>12242.709000000001</v>
      </c>
      <c r="N86" s="12">
        <v>3254.3909999999901</v>
      </c>
      <c r="O86" s="10">
        <v>20.999999999999901</v>
      </c>
      <c r="P86" s="10" t="s">
        <v>26</v>
      </c>
      <c r="Q86" s="10">
        <v>12</v>
      </c>
      <c r="R86" s="10" t="s">
        <v>27</v>
      </c>
      <c r="S86" s="14" t="str">
        <f t="shared" si="1"/>
        <v>Week 1</v>
      </c>
    </row>
    <row r="87" spans="1:19" x14ac:dyDescent="0.3">
      <c r="A87" s="15" t="s">
        <v>259</v>
      </c>
      <c r="B87" s="16">
        <v>43072</v>
      </c>
      <c r="C87" s="17" t="s">
        <v>247</v>
      </c>
      <c r="D87" s="17" t="s">
        <v>21</v>
      </c>
      <c r="E87" s="17" t="s">
        <v>73</v>
      </c>
      <c r="F87" s="18">
        <v>8</v>
      </c>
      <c r="G87" s="19">
        <v>3343.3</v>
      </c>
      <c r="H87" s="19">
        <v>26746.400000000001</v>
      </c>
      <c r="I87" s="20">
        <v>2540.9079999999999</v>
      </c>
      <c r="J87" s="17" t="s">
        <v>94</v>
      </c>
      <c r="K87" s="17" t="s">
        <v>95</v>
      </c>
      <c r="L87" s="17" t="s">
        <v>40</v>
      </c>
      <c r="M87" s="19">
        <v>20327.263999999999</v>
      </c>
      <c r="N87" s="19">
        <v>6419.1359999999904</v>
      </c>
      <c r="O87" s="17">
        <v>23.999999999999901</v>
      </c>
      <c r="P87" s="17" t="s">
        <v>26</v>
      </c>
      <c r="Q87" s="17">
        <v>12</v>
      </c>
      <c r="R87" s="17" t="s">
        <v>27</v>
      </c>
      <c r="S87" s="14" t="str">
        <f t="shared" si="1"/>
        <v>Week 1</v>
      </c>
    </row>
    <row r="88" spans="1:19" x14ac:dyDescent="0.3">
      <c r="A88" s="8" t="s">
        <v>260</v>
      </c>
      <c r="B88" s="9">
        <v>43072</v>
      </c>
      <c r="C88" s="10" t="s">
        <v>261</v>
      </c>
      <c r="D88" s="10" t="s">
        <v>21</v>
      </c>
      <c r="E88" s="10" t="s">
        <v>167</v>
      </c>
      <c r="F88" s="11">
        <v>5</v>
      </c>
      <c r="G88" s="12">
        <v>1098.8</v>
      </c>
      <c r="H88" s="12">
        <v>5494</v>
      </c>
      <c r="I88" s="13">
        <v>901.01599999999996</v>
      </c>
      <c r="J88" s="10" t="s">
        <v>225</v>
      </c>
      <c r="K88" s="10" t="s">
        <v>226</v>
      </c>
      <c r="L88" s="10" t="s">
        <v>25</v>
      </c>
      <c r="M88" s="12">
        <v>4505.08</v>
      </c>
      <c r="N88" s="12">
        <v>988.92</v>
      </c>
      <c r="O88" s="10">
        <v>18</v>
      </c>
      <c r="P88" s="10" t="s">
        <v>26</v>
      </c>
      <c r="Q88" s="10">
        <v>12</v>
      </c>
      <c r="R88" s="10" t="s">
        <v>27</v>
      </c>
      <c r="S88" s="14" t="str">
        <f t="shared" si="1"/>
        <v>Week 1</v>
      </c>
    </row>
    <row r="89" spans="1:19" x14ac:dyDescent="0.3">
      <c r="A89" s="15" t="s">
        <v>262</v>
      </c>
      <c r="B89" s="16">
        <v>43072</v>
      </c>
      <c r="C89" s="17" t="s">
        <v>151</v>
      </c>
      <c r="D89" s="17" t="s">
        <v>43</v>
      </c>
      <c r="E89" s="17" t="s">
        <v>146</v>
      </c>
      <c r="F89" s="18">
        <v>6</v>
      </c>
      <c r="G89" s="19">
        <v>1788.9</v>
      </c>
      <c r="H89" s="19">
        <v>10733.400000000001</v>
      </c>
      <c r="I89" s="20">
        <v>1216.452</v>
      </c>
      <c r="J89" s="17" t="s">
        <v>104</v>
      </c>
      <c r="K89" s="17" t="s">
        <v>105</v>
      </c>
      <c r="L89" s="17" t="s">
        <v>25</v>
      </c>
      <c r="M89" s="19">
        <v>7298.7120000000004</v>
      </c>
      <c r="N89" s="19">
        <v>3434.6880000000001</v>
      </c>
      <c r="O89" s="17">
        <v>31.999999999999901</v>
      </c>
      <c r="P89" s="17" t="s">
        <v>26</v>
      </c>
      <c r="Q89" s="17">
        <v>12</v>
      </c>
      <c r="R89" s="17" t="s">
        <v>27</v>
      </c>
      <c r="S89" s="14" t="str">
        <f t="shared" si="1"/>
        <v>Week 1</v>
      </c>
    </row>
    <row r="90" spans="1:19" x14ac:dyDescent="0.3">
      <c r="A90" s="8" t="s">
        <v>263</v>
      </c>
      <c r="B90" s="9">
        <v>43072</v>
      </c>
      <c r="C90" s="10" t="s">
        <v>264</v>
      </c>
      <c r="D90" s="10" t="s">
        <v>21</v>
      </c>
      <c r="E90" s="10" t="s">
        <v>265</v>
      </c>
      <c r="F90" s="11">
        <v>5</v>
      </c>
      <c r="G90" s="12">
        <v>1922.9</v>
      </c>
      <c r="H90" s="12">
        <v>9614.5</v>
      </c>
      <c r="I90" s="13">
        <v>1288.3430000000001</v>
      </c>
      <c r="J90" s="10" t="s">
        <v>266</v>
      </c>
      <c r="K90" s="10" t="s">
        <v>267</v>
      </c>
      <c r="L90" s="10" t="s">
        <v>34</v>
      </c>
      <c r="M90" s="12">
        <v>6441.7150000000001</v>
      </c>
      <c r="N90" s="12">
        <v>3172.7849999999999</v>
      </c>
      <c r="O90" s="10">
        <v>32.999999999999901</v>
      </c>
      <c r="P90" s="10" t="s">
        <v>26</v>
      </c>
      <c r="Q90" s="10">
        <v>12</v>
      </c>
      <c r="R90" s="10" t="s">
        <v>27</v>
      </c>
      <c r="S90" s="14" t="str">
        <f t="shared" si="1"/>
        <v>Week 1</v>
      </c>
    </row>
    <row r="91" spans="1:19" x14ac:dyDescent="0.3">
      <c r="A91" s="15" t="s">
        <v>268</v>
      </c>
      <c r="B91" s="16">
        <v>43072</v>
      </c>
      <c r="C91" s="17" t="s">
        <v>180</v>
      </c>
      <c r="D91" s="17" t="s">
        <v>21</v>
      </c>
      <c r="E91" s="17" t="s">
        <v>49</v>
      </c>
      <c r="F91" s="18">
        <v>7</v>
      </c>
      <c r="G91" s="19">
        <v>2673.3</v>
      </c>
      <c r="H91" s="19">
        <v>18713.100000000002</v>
      </c>
      <c r="I91" s="20">
        <v>1256.451</v>
      </c>
      <c r="J91" s="17" t="s">
        <v>54</v>
      </c>
      <c r="K91" s="17" t="s">
        <v>55</v>
      </c>
      <c r="L91" s="17" t="s">
        <v>56</v>
      </c>
      <c r="M91" s="19">
        <v>8795.1569999999992</v>
      </c>
      <c r="N91" s="19">
        <v>9917.9429999999993</v>
      </c>
      <c r="O91" s="17">
        <v>53</v>
      </c>
      <c r="P91" s="17" t="s">
        <v>26</v>
      </c>
      <c r="Q91" s="17">
        <v>12</v>
      </c>
      <c r="R91" s="17" t="s">
        <v>27</v>
      </c>
      <c r="S91" s="14" t="str">
        <f t="shared" si="1"/>
        <v>Week 1</v>
      </c>
    </row>
    <row r="92" spans="1:19" x14ac:dyDescent="0.3">
      <c r="A92" s="8" t="s">
        <v>269</v>
      </c>
      <c r="B92" s="9">
        <v>43072</v>
      </c>
      <c r="C92" s="10" t="s">
        <v>270</v>
      </c>
      <c r="D92" s="10" t="s">
        <v>43</v>
      </c>
      <c r="E92" s="10" t="s">
        <v>37</v>
      </c>
      <c r="F92" s="11">
        <v>5</v>
      </c>
      <c r="G92" s="12">
        <v>167.5</v>
      </c>
      <c r="H92" s="12">
        <v>837.5</v>
      </c>
      <c r="I92" s="13">
        <v>100.5</v>
      </c>
      <c r="J92" s="10" t="s">
        <v>116</v>
      </c>
      <c r="K92" s="10" t="s">
        <v>117</v>
      </c>
      <c r="L92" s="10" t="s">
        <v>40</v>
      </c>
      <c r="M92" s="12">
        <v>502.5</v>
      </c>
      <c r="N92" s="12">
        <v>335</v>
      </c>
      <c r="O92" s="10">
        <v>40</v>
      </c>
      <c r="P92" s="10" t="s">
        <v>26</v>
      </c>
      <c r="Q92" s="10">
        <v>12</v>
      </c>
      <c r="R92" s="10" t="s">
        <v>27</v>
      </c>
      <c r="S92" s="14" t="str">
        <f t="shared" si="1"/>
        <v>Week 1</v>
      </c>
    </row>
    <row r="93" spans="1:19" x14ac:dyDescent="0.3">
      <c r="A93" s="15" t="s">
        <v>271</v>
      </c>
      <c r="B93" s="16">
        <v>43072</v>
      </c>
      <c r="C93" s="17" t="s">
        <v>234</v>
      </c>
      <c r="D93" s="17" t="s">
        <v>30</v>
      </c>
      <c r="E93" s="17" t="s">
        <v>252</v>
      </c>
      <c r="F93" s="18">
        <v>6</v>
      </c>
      <c r="G93" s="19">
        <v>951.4</v>
      </c>
      <c r="H93" s="19">
        <v>5708.4</v>
      </c>
      <c r="I93" s="20">
        <v>761.12</v>
      </c>
      <c r="J93" s="17" t="s">
        <v>23</v>
      </c>
      <c r="K93" s="17" t="s">
        <v>24</v>
      </c>
      <c r="L93" s="17" t="s">
        <v>25</v>
      </c>
      <c r="M93" s="19">
        <v>4566.72</v>
      </c>
      <c r="N93" s="19">
        <v>1141.6799999999901</v>
      </c>
      <c r="O93" s="17">
        <v>19.999999999999901</v>
      </c>
      <c r="P93" s="17" t="s">
        <v>26</v>
      </c>
      <c r="Q93" s="17">
        <v>12</v>
      </c>
      <c r="R93" s="17" t="s">
        <v>27</v>
      </c>
      <c r="S93" s="14" t="str">
        <f t="shared" si="1"/>
        <v>Week 1</v>
      </c>
    </row>
    <row r="94" spans="1:19" x14ac:dyDescent="0.3">
      <c r="A94" s="8" t="s">
        <v>272</v>
      </c>
      <c r="B94" s="9">
        <v>43072</v>
      </c>
      <c r="C94" s="10" t="s">
        <v>273</v>
      </c>
      <c r="D94" s="10" t="s">
        <v>21</v>
      </c>
      <c r="E94" s="10" t="s">
        <v>103</v>
      </c>
      <c r="F94" s="11">
        <v>11</v>
      </c>
      <c r="G94" s="12">
        <v>3999.9</v>
      </c>
      <c r="H94" s="12">
        <v>43998.9</v>
      </c>
      <c r="I94" s="13">
        <v>2279.9429999999902</v>
      </c>
      <c r="J94" s="10" t="s">
        <v>54</v>
      </c>
      <c r="K94" s="10" t="s">
        <v>55</v>
      </c>
      <c r="L94" s="10" t="s">
        <v>56</v>
      </c>
      <c r="M94" s="12">
        <v>25079.372999999901</v>
      </c>
      <c r="N94" s="12">
        <v>18919.526999999998</v>
      </c>
      <c r="O94" s="10">
        <v>43</v>
      </c>
      <c r="P94" s="10" t="s">
        <v>26</v>
      </c>
      <c r="Q94" s="10">
        <v>12</v>
      </c>
      <c r="R94" s="10" t="s">
        <v>27</v>
      </c>
      <c r="S94" s="14" t="str">
        <f t="shared" si="1"/>
        <v>Week 1</v>
      </c>
    </row>
    <row r="95" spans="1:19" x14ac:dyDescent="0.3">
      <c r="A95" s="15" t="s">
        <v>274</v>
      </c>
      <c r="B95" s="16">
        <v>43072</v>
      </c>
      <c r="C95" s="17" t="s">
        <v>275</v>
      </c>
      <c r="D95" s="17" t="s">
        <v>21</v>
      </c>
      <c r="E95" s="17" t="s">
        <v>127</v>
      </c>
      <c r="F95" s="18">
        <v>10</v>
      </c>
      <c r="G95" s="19">
        <v>241.2</v>
      </c>
      <c r="H95" s="19">
        <v>2412</v>
      </c>
      <c r="I95" s="20">
        <v>135.072</v>
      </c>
      <c r="J95" s="17" t="s">
        <v>23</v>
      </c>
      <c r="K95" s="17" t="s">
        <v>24</v>
      </c>
      <c r="L95" s="17" t="s">
        <v>25</v>
      </c>
      <c r="M95" s="19">
        <v>1350.72</v>
      </c>
      <c r="N95" s="19">
        <v>1061.27999999999</v>
      </c>
      <c r="O95" s="17">
        <v>43.999999999999901</v>
      </c>
      <c r="P95" s="17" t="s">
        <v>26</v>
      </c>
      <c r="Q95" s="17">
        <v>12</v>
      </c>
      <c r="R95" s="17" t="s">
        <v>27</v>
      </c>
      <c r="S95" s="14" t="str">
        <f t="shared" si="1"/>
        <v>Week 1</v>
      </c>
    </row>
    <row r="96" spans="1:19" x14ac:dyDescent="0.3">
      <c r="A96" s="8" t="s">
        <v>276</v>
      </c>
      <c r="B96" s="9">
        <v>43072</v>
      </c>
      <c r="C96" s="10" t="s">
        <v>277</v>
      </c>
      <c r="D96" s="10" t="s">
        <v>30</v>
      </c>
      <c r="E96" s="10" t="s">
        <v>73</v>
      </c>
      <c r="F96" s="11">
        <v>5</v>
      </c>
      <c r="G96" s="12">
        <v>924.6</v>
      </c>
      <c r="H96" s="12">
        <v>4623</v>
      </c>
      <c r="I96" s="13">
        <v>564.00599999999997</v>
      </c>
      <c r="J96" s="10" t="s">
        <v>177</v>
      </c>
      <c r="K96" s="10" t="s">
        <v>178</v>
      </c>
      <c r="L96" s="10" t="s">
        <v>40</v>
      </c>
      <c r="M96" s="12">
        <v>2820.0299999999902</v>
      </c>
      <c r="N96" s="12">
        <v>1802.97</v>
      </c>
      <c r="O96" s="10">
        <v>39</v>
      </c>
      <c r="P96" s="10" t="s">
        <v>26</v>
      </c>
      <c r="Q96" s="10">
        <v>12</v>
      </c>
      <c r="R96" s="10" t="s">
        <v>27</v>
      </c>
      <c r="S96" s="14" t="str">
        <f t="shared" si="1"/>
        <v>Week 1</v>
      </c>
    </row>
    <row r="97" spans="1:19" x14ac:dyDescent="0.3">
      <c r="A97" s="15" t="s">
        <v>278</v>
      </c>
      <c r="B97" s="16">
        <v>43072</v>
      </c>
      <c r="C97" s="17" t="s">
        <v>279</v>
      </c>
      <c r="D97" s="17" t="s">
        <v>21</v>
      </c>
      <c r="E97" s="17" t="s">
        <v>31</v>
      </c>
      <c r="F97" s="18">
        <v>7</v>
      </c>
      <c r="G97" s="19">
        <v>3504.1</v>
      </c>
      <c r="H97" s="19">
        <v>24528.7</v>
      </c>
      <c r="I97" s="20">
        <v>2207.5830000000001</v>
      </c>
      <c r="J97" s="17" t="s">
        <v>225</v>
      </c>
      <c r="K97" s="17" t="s">
        <v>226</v>
      </c>
      <c r="L97" s="17" t="s">
        <v>25</v>
      </c>
      <c r="M97" s="19">
        <v>15453.081</v>
      </c>
      <c r="N97" s="19">
        <v>9075.6190000000006</v>
      </c>
      <c r="O97" s="17">
        <v>37</v>
      </c>
      <c r="P97" s="17" t="s">
        <v>26</v>
      </c>
      <c r="Q97" s="17">
        <v>12</v>
      </c>
      <c r="R97" s="17" t="s">
        <v>27</v>
      </c>
      <c r="S97" s="14" t="str">
        <f t="shared" si="1"/>
        <v>Week 1</v>
      </c>
    </row>
    <row r="98" spans="1:19" x14ac:dyDescent="0.3">
      <c r="A98" s="8" t="s">
        <v>280</v>
      </c>
      <c r="B98" s="9">
        <v>43072</v>
      </c>
      <c r="C98" s="10" t="s">
        <v>176</v>
      </c>
      <c r="D98" s="10" t="s">
        <v>21</v>
      </c>
      <c r="E98" s="10" t="s">
        <v>91</v>
      </c>
      <c r="F98" s="11">
        <v>12</v>
      </c>
      <c r="G98" s="12">
        <v>1139</v>
      </c>
      <c r="H98" s="12">
        <v>13668</v>
      </c>
      <c r="I98" s="13">
        <v>569.5</v>
      </c>
      <c r="J98" s="10" t="s">
        <v>23</v>
      </c>
      <c r="K98" s="10" t="s">
        <v>24</v>
      </c>
      <c r="L98" s="10" t="s">
        <v>25</v>
      </c>
      <c r="M98" s="12">
        <v>6834</v>
      </c>
      <c r="N98" s="12">
        <v>6834</v>
      </c>
      <c r="O98" s="10">
        <v>50</v>
      </c>
      <c r="P98" s="10" t="s">
        <v>26</v>
      </c>
      <c r="Q98" s="10">
        <v>12</v>
      </c>
      <c r="R98" s="10" t="s">
        <v>27</v>
      </c>
      <c r="S98" s="14" t="str">
        <f t="shared" si="1"/>
        <v>Week 1</v>
      </c>
    </row>
    <row r="99" spans="1:19" x14ac:dyDescent="0.3">
      <c r="A99" s="15" t="s">
        <v>281</v>
      </c>
      <c r="B99" s="16">
        <v>43072</v>
      </c>
      <c r="C99" s="17" t="s">
        <v>282</v>
      </c>
      <c r="D99" s="17" t="s">
        <v>30</v>
      </c>
      <c r="E99" s="17" t="s">
        <v>31</v>
      </c>
      <c r="F99" s="18">
        <v>11</v>
      </c>
      <c r="G99" s="19">
        <v>1125.5999999999999</v>
      </c>
      <c r="H99" s="19">
        <v>12381.599999999999</v>
      </c>
      <c r="I99" s="20">
        <v>619.08000000000004</v>
      </c>
      <c r="J99" s="17" t="s">
        <v>218</v>
      </c>
      <c r="K99" s="17" t="s">
        <v>219</v>
      </c>
      <c r="L99" s="17" t="s">
        <v>34</v>
      </c>
      <c r="M99" s="19">
        <v>6809.88</v>
      </c>
      <c r="N99" s="19">
        <v>5571.72</v>
      </c>
      <c r="O99" s="17">
        <v>44.999999999999901</v>
      </c>
      <c r="P99" s="17" t="s">
        <v>26</v>
      </c>
      <c r="Q99" s="17">
        <v>12</v>
      </c>
      <c r="R99" s="17" t="s">
        <v>27</v>
      </c>
      <c r="S99" s="14" t="str">
        <f t="shared" si="1"/>
        <v>Week 1</v>
      </c>
    </row>
    <row r="100" spans="1:19" x14ac:dyDescent="0.3">
      <c r="A100" s="8" t="s">
        <v>283</v>
      </c>
      <c r="B100" s="9">
        <v>43072</v>
      </c>
      <c r="C100" s="10" t="s">
        <v>176</v>
      </c>
      <c r="D100" s="10" t="s">
        <v>43</v>
      </c>
      <c r="E100" s="10" t="s">
        <v>284</v>
      </c>
      <c r="F100" s="11">
        <v>8</v>
      </c>
      <c r="G100" s="12">
        <v>2405.3000000000002</v>
      </c>
      <c r="H100" s="12">
        <v>19242.400000000001</v>
      </c>
      <c r="I100" s="13">
        <v>1154.5440000000001</v>
      </c>
      <c r="J100" s="10" t="s">
        <v>76</v>
      </c>
      <c r="K100" s="10" t="s">
        <v>77</v>
      </c>
      <c r="L100" s="10" t="s">
        <v>56</v>
      </c>
      <c r="M100" s="12">
        <v>9236.3520000000008</v>
      </c>
      <c r="N100" s="12">
        <v>10006.048000000001</v>
      </c>
      <c r="O100" s="10">
        <v>52</v>
      </c>
      <c r="P100" s="10" t="s">
        <v>26</v>
      </c>
      <c r="Q100" s="10">
        <v>12</v>
      </c>
      <c r="R100" s="10" t="s">
        <v>27</v>
      </c>
      <c r="S100" s="14" t="str">
        <f t="shared" si="1"/>
        <v>Week 1</v>
      </c>
    </row>
    <row r="101" spans="1:19" x14ac:dyDescent="0.3">
      <c r="A101" s="15" t="s">
        <v>285</v>
      </c>
      <c r="B101" s="16">
        <v>43072</v>
      </c>
      <c r="C101" s="17" t="s">
        <v>286</v>
      </c>
      <c r="D101" s="17" t="s">
        <v>30</v>
      </c>
      <c r="E101" s="17" t="s">
        <v>103</v>
      </c>
      <c r="F101" s="18">
        <v>5</v>
      </c>
      <c r="G101" s="19">
        <v>1755.4</v>
      </c>
      <c r="H101" s="19">
        <v>8777</v>
      </c>
      <c r="I101" s="20">
        <v>754.822</v>
      </c>
      <c r="J101" s="17" t="s">
        <v>257</v>
      </c>
      <c r="K101" s="17" t="s">
        <v>258</v>
      </c>
      <c r="L101" s="17" t="s">
        <v>25</v>
      </c>
      <c r="M101" s="19">
        <v>3774.11</v>
      </c>
      <c r="N101" s="19">
        <v>5002.8899999999903</v>
      </c>
      <c r="O101" s="17">
        <v>56.999999999999901</v>
      </c>
      <c r="P101" s="17" t="s">
        <v>26</v>
      </c>
      <c r="Q101" s="17">
        <v>12</v>
      </c>
      <c r="R101" s="17" t="s">
        <v>27</v>
      </c>
      <c r="S101" s="14" t="str">
        <f t="shared" si="1"/>
        <v>Week 1</v>
      </c>
    </row>
    <row r="102" spans="1:19" x14ac:dyDescent="0.3">
      <c r="A102" s="8" t="s">
        <v>287</v>
      </c>
      <c r="B102" s="9">
        <v>43072</v>
      </c>
      <c r="C102" s="10" t="s">
        <v>288</v>
      </c>
      <c r="D102" s="10" t="s">
        <v>30</v>
      </c>
      <c r="E102" s="10" t="s">
        <v>31</v>
      </c>
      <c r="F102" s="11">
        <v>8</v>
      </c>
      <c r="G102" s="12">
        <v>1922.9</v>
      </c>
      <c r="H102" s="12">
        <v>15383.2</v>
      </c>
      <c r="I102" s="13">
        <v>999.90800000000002</v>
      </c>
      <c r="J102" s="10" t="s">
        <v>289</v>
      </c>
      <c r="K102" s="10" t="s">
        <v>290</v>
      </c>
      <c r="L102" s="10" t="s">
        <v>34</v>
      </c>
      <c r="M102" s="12">
        <v>7999.2640000000001</v>
      </c>
      <c r="N102" s="12">
        <v>7383.9359999999997</v>
      </c>
      <c r="O102" s="10">
        <v>48</v>
      </c>
      <c r="P102" s="10" t="s">
        <v>26</v>
      </c>
      <c r="Q102" s="10">
        <v>12</v>
      </c>
      <c r="R102" s="10" t="s">
        <v>27</v>
      </c>
      <c r="S102" s="14" t="str">
        <f t="shared" si="1"/>
        <v>Week 1</v>
      </c>
    </row>
    <row r="103" spans="1:19" x14ac:dyDescent="0.3">
      <c r="A103" s="15" t="s">
        <v>291</v>
      </c>
      <c r="B103" s="16">
        <v>43072</v>
      </c>
      <c r="C103" s="17" t="s">
        <v>20</v>
      </c>
      <c r="D103" s="17" t="s">
        <v>43</v>
      </c>
      <c r="E103" s="17" t="s">
        <v>91</v>
      </c>
      <c r="F103" s="18">
        <v>7</v>
      </c>
      <c r="G103" s="19">
        <v>924.6</v>
      </c>
      <c r="H103" s="19">
        <v>6472.2</v>
      </c>
      <c r="I103" s="20">
        <v>665.71199999999999</v>
      </c>
      <c r="J103" s="17" t="s">
        <v>257</v>
      </c>
      <c r="K103" s="17" t="s">
        <v>258</v>
      </c>
      <c r="L103" s="17" t="s">
        <v>25</v>
      </c>
      <c r="M103" s="19">
        <v>4659.9840000000004</v>
      </c>
      <c r="N103" s="19">
        <v>1812.2159999999899</v>
      </c>
      <c r="O103" s="17">
        <v>27.999999999999901</v>
      </c>
      <c r="P103" s="17" t="s">
        <v>26</v>
      </c>
      <c r="Q103" s="17">
        <v>12</v>
      </c>
      <c r="R103" s="17" t="s">
        <v>27</v>
      </c>
      <c r="S103" s="14" t="str">
        <f t="shared" si="1"/>
        <v>Week 1</v>
      </c>
    </row>
    <row r="104" spans="1:19" x14ac:dyDescent="0.3">
      <c r="A104" s="8" t="s">
        <v>292</v>
      </c>
      <c r="B104" s="9">
        <v>43072</v>
      </c>
      <c r="C104" s="10" t="s">
        <v>86</v>
      </c>
      <c r="D104" s="10" t="s">
        <v>21</v>
      </c>
      <c r="E104" s="10" t="s">
        <v>91</v>
      </c>
      <c r="F104" s="11">
        <v>11</v>
      </c>
      <c r="G104" s="12">
        <v>1179.2</v>
      </c>
      <c r="H104" s="12">
        <v>12971.2</v>
      </c>
      <c r="I104" s="13">
        <v>825.43999999999903</v>
      </c>
      <c r="J104" s="10" t="s">
        <v>54</v>
      </c>
      <c r="K104" s="10" t="s">
        <v>55</v>
      </c>
      <c r="L104" s="10" t="s">
        <v>56</v>
      </c>
      <c r="M104" s="12">
        <v>9079.84</v>
      </c>
      <c r="N104" s="12">
        <v>3891.36</v>
      </c>
      <c r="O104" s="10">
        <v>30</v>
      </c>
      <c r="P104" s="10" t="s">
        <v>26</v>
      </c>
      <c r="Q104" s="10">
        <v>12</v>
      </c>
      <c r="R104" s="10" t="s">
        <v>27</v>
      </c>
      <c r="S104" s="14" t="str">
        <f t="shared" si="1"/>
        <v>Week 1</v>
      </c>
    </row>
    <row r="105" spans="1:19" x14ac:dyDescent="0.3">
      <c r="A105" s="15" t="s">
        <v>293</v>
      </c>
      <c r="B105" s="16">
        <v>43072</v>
      </c>
      <c r="C105" s="17" t="s">
        <v>294</v>
      </c>
      <c r="D105" s="17" t="s">
        <v>30</v>
      </c>
      <c r="E105" s="17" t="s">
        <v>228</v>
      </c>
      <c r="F105" s="18">
        <v>5</v>
      </c>
      <c r="G105" s="19">
        <v>991.6</v>
      </c>
      <c r="H105" s="19">
        <v>4958</v>
      </c>
      <c r="I105" s="20">
        <v>743.7</v>
      </c>
      <c r="J105" s="17" t="s">
        <v>54</v>
      </c>
      <c r="K105" s="17" t="s">
        <v>55</v>
      </c>
      <c r="L105" s="17" t="s">
        <v>56</v>
      </c>
      <c r="M105" s="19">
        <v>3718.5</v>
      </c>
      <c r="N105" s="19">
        <v>1239.5</v>
      </c>
      <c r="O105" s="17">
        <v>25</v>
      </c>
      <c r="P105" s="17" t="s">
        <v>26</v>
      </c>
      <c r="Q105" s="17">
        <v>12</v>
      </c>
      <c r="R105" s="17" t="s">
        <v>27</v>
      </c>
      <c r="S105" s="14" t="str">
        <f t="shared" si="1"/>
        <v>Week 1</v>
      </c>
    </row>
    <row r="106" spans="1:19" x14ac:dyDescent="0.3">
      <c r="A106" s="8" t="s">
        <v>295</v>
      </c>
      <c r="B106" s="9">
        <v>43072</v>
      </c>
      <c r="C106" s="10" t="s">
        <v>100</v>
      </c>
      <c r="D106" s="10" t="s">
        <v>30</v>
      </c>
      <c r="E106" s="10" t="s">
        <v>73</v>
      </c>
      <c r="F106" s="11">
        <v>6</v>
      </c>
      <c r="G106" s="12">
        <v>174.2</v>
      </c>
      <c r="H106" s="12">
        <v>1045.1999999999998</v>
      </c>
      <c r="I106" s="13">
        <v>69.680000000000007</v>
      </c>
      <c r="J106" s="10" t="s">
        <v>32</v>
      </c>
      <c r="K106" s="10" t="s">
        <v>33</v>
      </c>
      <c r="L106" s="10" t="s">
        <v>34</v>
      </c>
      <c r="M106" s="12">
        <v>418.08</v>
      </c>
      <c r="N106" s="12">
        <v>627.12</v>
      </c>
      <c r="O106" s="10">
        <v>60</v>
      </c>
      <c r="P106" s="10" t="s">
        <v>26</v>
      </c>
      <c r="Q106" s="10">
        <v>12</v>
      </c>
      <c r="R106" s="10" t="s">
        <v>27</v>
      </c>
      <c r="S106" s="14" t="str">
        <f t="shared" si="1"/>
        <v>Week 1</v>
      </c>
    </row>
    <row r="107" spans="1:19" x14ac:dyDescent="0.3">
      <c r="A107" s="15" t="s">
        <v>296</v>
      </c>
      <c r="B107" s="16">
        <v>43072</v>
      </c>
      <c r="C107" s="17" t="s">
        <v>297</v>
      </c>
      <c r="D107" s="17" t="s">
        <v>30</v>
      </c>
      <c r="E107" s="17" t="s">
        <v>146</v>
      </c>
      <c r="F107" s="18">
        <v>9</v>
      </c>
      <c r="G107" s="19">
        <v>2499.1</v>
      </c>
      <c r="H107" s="19">
        <v>22491.899999999998</v>
      </c>
      <c r="I107" s="20">
        <v>1599.424</v>
      </c>
      <c r="J107" s="17" t="s">
        <v>97</v>
      </c>
      <c r="K107" s="17" t="s">
        <v>98</v>
      </c>
      <c r="L107" s="17" t="s">
        <v>56</v>
      </c>
      <c r="M107" s="19">
        <v>14394.815999999901</v>
      </c>
      <c r="N107" s="19">
        <v>8097.0839999999898</v>
      </c>
      <c r="O107" s="17">
        <v>36</v>
      </c>
      <c r="P107" s="17" t="s">
        <v>26</v>
      </c>
      <c r="Q107" s="17">
        <v>12</v>
      </c>
      <c r="R107" s="17" t="s">
        <v>27</v>
      </c>
      <c r="S107" s="14" t="str">
        <f t="shared" si="1"/>
        <v>Week 1</v>
      </c>
    </row>
    <row r="108" spans="1:19" x14ac:dyDescent="0.3">
      <c r="A108" s="8" t="s">
        <v>298</v>
      </c>
      <c r="B108" s="9">
        <v>43072</v>
      </c>
      <c r="C108" s="10" t="s">
        <v>299</v>
      </c>
      <c r="D108" s="10" t="s">
        <v>30</v>
      </c>
      <c r="E108" s="10" t="s">
        <v>37</v>
      </c>
      <c r="F108" s="11">
        <v>10</v>
      </c>
      <c r="G108" s="12">
        <v>1695.1</v>
      </c>
      <c r="H108" s="12">
        <v>16951</v>
      </c>
      <c r="I108" s="13">
        <v>1440.835</v>
      </c>
      <c r="J108" s="10" t="s">
        <v>54</v>
      </c>
      <c r="K108" s="10" t="s">
        <v>55</v>
      </c>
      <c r="L108" s="10" t="s">
        <v>56</v>
      </c>
      <c r="M108" s="12">
        <v>14408.35</v>
      </c>
      <c r="N108" s="12">
        <v>2542.6499999999901</v>
      </c>
      <c r="O108" s="10">
        <v>14.999999999999901</v>
      </c>
      <c r="P108" s="10" t="s">
        <v>26</v>
      </c>
      <c r="Q108" s="10">
        <v>12</v>
      </c>
      <c r="R108" s="10" t="s">
        <v>27</v>
      </c>
      <c r="S108" s="14" t="str">
        <f t="shared" si="1"/>
        <v>Week 1</v>
      </c>
    </row>
    <row r="109" spans="1:19" x14ac:dyDescent="0.3">
      <c r="A109" s="15" t="s">
        <v>300</v>
      </c>
      <c r="B109" s="16">
        <v>43072</v>
      </c>
      <c r="C109" s="17" t="s">
        <v>58</v>
      </c>
      <c r="D109" s="17" t="s">
        <v>43</v>
      </c>
      <c r="E109" s="17" t="s">
        <v>115</v>
      </c>
      <c r="F109" s="18">
        <v>9</v>
      </c>
      <c r="G109" s="19">
        <v>810.7</v>
      </c>
      <c r="H109" s="19">
        <v>7296.3</v>
      </c>
      <c r="I109" s="20">
        <v>486.42</v>
      </c>
      <c r="J109" s="17" t="s">
        <v>23</v>
      </c>
      <c r="K109" s="17" t="s">
        <v>24</v>
      </c>
      <c r="L109" s="17" t="s">
        <v>25</v>
      </c>
      <c r="M109" s="19">
        <v>4377.78</v>
      </c>
      <c r="N109" s="19">
        <v>2918.52</v>
      </c>
      <c r="O109" s="17">
        <v>40</v>
      </c>
      <c r="P109" s="17" t="s">
        <v>26</v>
      </c>
      <c r="Q109" s="17">
        <v>12</v>
      </c>
      <c r="R109" s="17" t="s">
        <v>27</v>
      </c>
      <c r="S109" s="14" t="str">
        <f t="shared" si="1"/>
        <v>Week 1</v>
      </c>
    </row>
    <row r="110" spans="1:19" x14ac:dyDescent="0.3">
      <c r="A110" s="8" t="s">
        <v>301</v>
      </c>
      <c r="B110" s="9">
        <v>43072</v>
      </c>
      <c r="C110" s="10" t="s">
        <v>107</v>
      </c>
      <c r="D110" s="10" t="s">
        <v>21</v>
      </c>
      <c r="E110" s="10" t="s">
        <v>191</v>
      </c>
      <c r="F110" s="11">
        <v>5</v>
      </c>
      <c r="G110" s="12">
        <v>2539.3000000000002</v>
      </c>
      <c r="H110" s="12">
        <v>12696.5</v>
      </c>
      <c r="I110" s="13">
        <v>1828.296</v>
      </c>
      <c r="J110" s="10" t="s">
        <v>116</v>
      </c>
      <c r="K110" s="10" t="s">
        <v>117</v>
      </c>
      <c r="L110" s="10" t="s">
        <v>40</v>
      </c>
      <c r="M110" s="12">
        <v>9141.48</v>
      </c>
      <c r="N110" s="12">
        <v>3555.02</v>
      </c>
      <c r="O110" s="10">
        <v>28</v>
      </c>
      <c r="P110" s="10" t="s">
        <v>26</v>
      </c>
      <c r="Q110" s="10">
        <v>12</v>
      </c>
      <c r="R110" s="10" t="s">
        <v>27</v>
      </c>
      <c r="S110" s="14" t="str">
        <f t="shared" si="1"/>
        <v>Week 1</v>
      </c>
    </row>
    <row r="111" spans="1:19" x14ac:dyDescent="0.3">
      <c r="A111" s="15" t="s">
        <v>302</v>
      </c>
      <c r="B111" s="16">
        <v>43072</v>
      </c>
      <c r="C111" s="17" t="s">
        <v>251</v>
      </c>
      <c r="D111" s="17" t="s">
        <v>21</v>
      </c>
      <c r="E111" s="17" t="s">
        <v>115</v>
      </c>
      <c r="F111" s="18">
        <v>6</v>
      </c>
      <c r="G111" s="19">
        <v>931.3</v>
      </c>
      <c r="H111" s="19">
        <v>5587.7999999999993</v>
      </c>
      <c r="I111" s="20">
        <v>596.03200000000004</v>
      </c>
      <c r="J111" s="17" t="s">
        <v>116</v>
      </c>
      <c r="K111" s="17" t="s">
        <v>117</v>
      </c>
      <c r="L111" s="17" t="s">
        <v>40</v>
      </c>
      <c r="M111" s="19">
        <v>3576.192</v>
      </c>
      <c r="N111" s="19">
        <v>2011.6079999999999</v>
      </c>
      <c r="O111" s="17">
        <v>36</v>
      </c>
      <c r="P111" s="17" t="s">
        <v>26</v>
      </c>
      <c r="Q111" s="17">
        <v>12</v>
      </c>
      <c r="R111" s="17" t="s">
        <v>27</v>
      </c>
      <c r="S111" s="14" t="str">
        <f t="shared" si="1"/>
        <v>Week 1</v>
      </c>
    </row>
    <row r="112" spans="1:19" x14ac:dyDescent="0.3">
      <c r="A112" s="8" t="s">
        <v>303</v>
      </c>
      <c r="B112" s="9">
        <v>43072</v>
      </c>
      <c r="C112" s="10" t="s">
        <v>304</v>
      </c>
      <c r="D112" s="10" t="s">
        <v>43</v>
      </c>
      <c r="E112" s="10" t="s">
        <v>149</v>
      </c>
      <c r="F112" s="11">
        <v>7</v>
      </c>
      <c r="G112" s="12">
        <v>2706.8</v>
      </c>
      <c r="H112" s="12">
        <v>18947.600000000002</v>
      </c>
      <c r="I112" s="13">
        <v>1569.944</v>
      </c>
      <c r="J112" s="10" t="s">
        <v>104</v>
      </c>
      <c r="K112" s="10" t="s">
        <v>105</v>
      </c>
      <c r="L112" s="10" t="s">
        <v>25</v>
      </c>
      <c r="M112" s="12">
        <v>10989.608</v>
      </c>
      <c r="N112" s="12">
        <v>7957.9920000000002</v>
      </c>
      <c r="O112" s="10">
        <v>42</v>
      </c>
      <c r="P112" s="10" t="s">
        <v>26</v>
      </c>
      <c r="Q112" s="10">
        <v>12</v>
      </c>
      <c r="R112" s="10" t="s">
        <v>27</v>
      </c>
      <c r="S112" s="14" t="str">
        <f t="shared" si="1"/>
        <v>Week 1</v>
      </c>
    </row>
    <row r="113" spans="1:19" x14ac:dyDescent="0.3">
      <c r="A113" s="15" t="s">
        <v>305</v>
      </c>
      <c r="B113" s="16">
        <v>43072</v>
      </c>
      <c r="C113" s="17" t="s">
        <v>126</v>
      </c>
      <c r="D113" s="17" t="s">
        <v>21</v>
      </c>
      <c r="E113" s="17" t="s">
        <v>306</v>
      </c>
      <c r="F113" s="18">
        <v>7</v>
      </c>
      <c r="G113" s="19">
        <v>891.1</v>
      </c>
      <c r="H113" s="19">
        <v>6237.7</v>
      </c>
      <c r="I113" s="20">
        <v>543.57100000000003</v>
      </c>
      <c r="J113" s="17" t="s">
        <v>54</v>
      </c>
      <c r="K113" s="17" t="s">
        <v>55</v>
      </c>
      <c r="L113" s="17" t="s">
        <v>56</v>
      </c>
      <c r="M113" s="19">
        <v>3804.9969999999998</v>
      </c>
      <c r="N113" s="19">
        <v>2432.70299999999</v>
      </c>
      <c r="O113" s="17">
        <v>38.999999999999901</v>
      </c>
      <c r="P113" s="17" t="s">
        <v>26</v>
      </c>
      <c r="Q113" s="17">
        <v>12</v>
      </c>
      <c r="R113" s="17" t="s">
        <v>27</v>
      </c>
      <c r="S113" s="14" t="str">
        <f t="shared" si="1"/>
        <v>Week 1</v>
      </c>
    </row>
    <row r="114" spans="1:19" x14ac:dyDescent="0.3">
      <c r="A114" s="8" t="s">
        <v>307</v>
      </c>
      <c r="B114" s="9">
        <v>43072</v>
      </c>
      <c r="C114" s="10" t="s">
        <v>308</v>
      </c>
      <c r="D114" s="10" t="s">
        <v>21</v>
      </c>
      <c r="E114" s="10" t="s">
        <v>44</v>
      </c>
      <c r="F114" s="11">
        <v>11</v>
      </c>
      <c r="G114" s="12">
        <v>1011.7</v>
      </c>
      <c r="H114" s="12">
        <v>11128.7</v>
      </c>
      <c r="I114" s="13">
        <v>708.18999999999903</v>
      </c>
      <c r="J114" s="10" t="s">
        <v>23</v>
      </c>
      <c r="K114" s="10" t="s">
        <v>24</v>
      </c>
      <c r="L114" s="10" t="s">
        <v>25</v>
      </c>
      <c r="M114" s="12">
        <v>7790.0899999999901</v>
      </c>
      <c r="N114" s="12">
        <v>3338.61</v>
      </c>
      <c r="O114" s="10">
        <v>30</v>
      </c>
      <c r="P114" s="10" t="s">
        <v>26</v>
      </c>
      <c r="Q114" s="10">
        <v>12</v>
      </c>
      <c r="R114" s="10" t="s">
        <v>27</v>
      </c>
      <c r="S114" s="14" t="str">
        <f t="shared" si="1"/>
        <v>Week 1</v>
      </c>
    </row>
    <row r="115" spans="1:19" x14ac:dyDescent="0.3">
      <c r="A115" s="15" t="s">
        <v>309</v>
      </c>
      <c r="B115" s="16">
        <v>43073</v>
      </c>
      <c r="C115" s="17" t="s">
        <v>277</v>
      </c>
      <c r="D115" s="17" t="s">
        <v>21</v>
      </c>
      <c r="E115" s="17" t="s">
        <v>91</v>
      </c>
      <c r="F115" s="18">
        <v>10</v>
      </c>
      <c r="G115" s="19">
        <v>2525.9</v>
      </c>
      <c r="H115" s="19">
        <v>25259</v>
      </c>
      <c r="I115" s="20">
        <v>1793.3889999999999</v>
      </c>
      <c r="J115" s="17" t="s">
        <v>54</v>
      </c>
      <c r="K115" s="17" t="s">
        <v>55</v>
      </c>
      <c r="L115" s="17" t="s">
        <v>56</v>
      </c>
      <c r="M115" s="19">
        <v>17933.89</v>
      </c>
      <c r="N115" s="19">
        <v>7325.11</v>
      </c>
      <c r="O115" s="17">
        <v>29</v>
      </c>
      <c r="P115" s="17" t="s">
        <v>26</v>
      </c>
      <c r="Q115" s="17">
        <v>12</v>
      </c>
      <c r="R115" s="17" t="s">
        <v>27</v>
      </c>
      <c r="S115" s="14" t="str">
        <f t="shared" si="1"/>
        <v>Week 1</v>
      </c>
    </row>
    <row r="116" spans="1:19" x14ac:dyDescent="0.3">
      <c r="A116" s="8" t="s">
        <v>310</v>
      </c>
      <c r="B116" s="9">
        <v>43073</v>
      </c>
      <c r="C116" s="10" t="s">
        <v>311</v>
      </c>
      <c r="D116" s="10" t="s">
        <v>21</v>
      </c>
      <c r="E116" s="10" t="s">
        <v>44</v>
      </c>
      <c r="F116" s="11">
        <v>7</v>
      </c>
      <c r="G116" s="12">
        <v>850.9</v>
      </c>
      <c r="H116" s="12">
        <v>5956.3</v>
      </c>
      <c r="I116" s="13">
        <v>553.08500000000004</v>
      </c>
      <c r="J116" s="10" t="s">
        <v>32</v>
      </c>
      <c r="K116" s="10" t="s">
        <v>33</v>
      </c>
      <c r="L116" s="10" t="s">
        <v>34</v>
      </c>
      <c r="M116" s="12">
        <v>3871.5949999999998</v>
      </c>
      <c r="N116" s="12">
        <v>2084.7049999999999</v>
      </c>
      <c r="O116" s="10">
        <v>35</v>
      </c>
      <c r="P116" s="10" t="s">
        <v>26</v>
      </c>
      <c r="Q116" s="10">
        <v>12</v>
      </c>
      <c r="R116" s="10" t="s">
        <v>27</v>
      </c>
      <c r="S116" s="14" t="str">
        <f t="shared" si="1"/>
        <v>Week 1</v>
      </c>
    </row>
    <row r="117" spans="1:19" x14ac:dyDescent="0.3">
      <c r="A117" s="15" t="s">
        <v>312</v>
      </c>
      <c r="B117" s="16">
        <v>43073</v>
      </c>
      <c r="C117" s="17" t="s">
        <v>251</v>
      </c>
      <c r="D117" s="17" t="s">
        <v>21</v>
      </c>
      <c r="E117" s="17" t="s">
        <v>228</v>
      </c>
      <c r="F117" s="18">
        <v>11</v>
      </c>
      <c r="G117" s="19">
        <v>3919.5</v>
      </c>
      <c r="H117" s="19">
        <v>43114.5</v>
      </c>
      <c r="I117" s="20">
        <v>2038.14</v>
      </c>
      <c r="J117" s="17" t="s">
        <v>257</v>
      </c>
      <c r="K117" s="17" t="s">
        <v>258</v>
      </c>
      <c r="L117" s="17" t="s">
        <v>25</v>
      </c>
      <c r="M117" s="19">
        <v>22419.54</v>
      </c>
      <c r="N117" s="19">
        <v>20694.96</v>
      </c>
      <c r="O117" s="17">
        <v>48</v>
      </c>
      <c r="P117" s="17" t="s">
        <v>26</v>
      </c>
      <c r="Q117" s="17">
        <v>12</v>
      </c>
      <c r="R117" s="17" t="s">
        <v>27</v>
      </c>
      <c r="S117" s="14" t="str">
        <f t="shared" si="1"/>
        <v>Week 1</v>
      </c>
    </row>
    <row r="118" spans="1:19" x14ac:dyDescent="0.3">
      <c r="A118" s="8" t="s">
        <v>313</v>
      </c>
      <c r="B118" s="9">
        <v>43073</v>
      </c>
      <c r="C118" s="10" t="s">
        <v>314</v>
      </c>
      <c r="D118" s="10" t="s">
        <v>30</v>
      </c>
      <c r="E118" s="10" t="s">
        <v>306</v>
      </c>
      <c r="F118" s="11">
        <v>8</v>
      </c>
      <c r="G118" s="12">
        <v>877.7</v>
      </c>
      <c r="H118" s="12">
        <v>7021.6</v>
      </c>
      <c r="I118" s="13">
        <v>351.08</v>
      </c>
      <c r="J118" s="10" t="s">
        <v>225</v>
      </c>
      <c r="K118" s="10" t="s">
        <v>226</v>
      </c>
      <c r="L118" s="10" t="s">
        <v>25</v>
      </c>
      <c r="M118" s="12">
        <v>2808.64</v>
      </c>
      <c r="N118" s="12">
        <v>4212.96</v>
      </c>
      <c r="O118" s="10">
        <v>60</v>
      </c>
      <c r="P118" s="10" t="s">
        <v>26</v>
      </c>
      <c r="Q118" s="10">
        <v>12</v>
      </c>
      <c r="R118" s="10" t="s">
        <v>27</v>
      </c>
      <c r="S118" s="14" t="str">
        <f t="shared" si="1"/>
        <v>Week 1</v>
      </c>
    </row>
    <row r="119" spans="1:19" x14ac:dyDescent="0.3">
      <c r="A119" s="15" t="s">
        <v>315</v>
      </c>
      <c r="B119" s="16">
        <v>43073</v>
      </c>
      <c r="C119" s="17" t="s">
        <v>316</v>
      </c>
      <c r="D119" s="17" t="s">
        <v>21</v>
      </c>
      <c r="E119" s="17" t="s">
        <v>62</v>
      </c>
      <c r="F119" s="18">
        <v>5</v>
      </c>
      <c r="G119" s="19">
        <v>984.9</v>
      </c>
      <c r="H119" s="19">
        <v>4924.5</v>
      </c>
      <c r="I119" s="20">
        <v>630.33600000000001</v>
      </c>
      <c r="J119" s="17" t="s">
        <v>257</v>
      </c>
      <c r="K119" s="17" t="s">
        <v>258</v>
      </c>
      <c r="L119" s="17" t="s">
        <v>25</v>
      </c>
      <c r="M119" s="19">
        <v>3151.68</v>
      </c>
      <c r="N119" s="19">
        <v>1772.8199999999899</v>
      </c>
      <c r="O119" s="17">
        <v>35.999999999999901</v>
      </c>
      <c r="P119" s="17" t="s">
        <v>26</v>
      </c>
      <c r="Q119" s="17">
        <v>12</v>
      </c>
      <c r="R119" s="17" t="s">
        <v>27</v>
      </c>
      <c r="S119" s="14" t="str">
        <f t="shared" si="1"/>
        <v>Week 1</v>
      </c>
    </row>
    <row r="120" spans="1:19" x14ac:dyDescent="0.3">
      <c r="A120" s="8" t="s">
        <v>317</v>
      </c>
      <c r="B120" s="9">
        <v>43073</v>
      </c>
      <c r="C120" s="10" t="s">
        <v>126</v>
      </c>
      <c r="D120" s="10" t="s">
        <v>21</v>
      </c>
      <c r="E120" s="10" t="s">
        <v>149</v>
      </c>
      <c r="F120" s="11">
        <v>10</v>
      </c>
      <c r="G120" s="12">
        <v>958.1</v>
      </c>
      <c r="H120" s="12">
        <v>9581</v>
      </c>
      <c r="I120" s="13">
        <v>517.37400000000002</v>
      </c>
      <c r="J120" s="10" t="s">
        <v>32</v>
      </c>
      <c r="K120" s="10" t="s">
        <v>33</v>
      </c>
      <c r="L120" s="10" t="s">
        <v>34</v>
      </c>
      <c r="M120" s="12">
        <v>5173.74</v>
      </c>
      <c r="N120" s="12">
        <v>4407.26</v>
      </c>
      <c r="O120" s="10">
        <v>46</v>
      </c>
      <c r="P120" s="10" t="s">
        <v>26</v>
      </c>
      <c r="Q120" s="10">
        <v>12</v>
      </c>
      <c r="R120" s="10" t="s">
        <v>27</v>
      </c>
      <c r="S120" s="14" t="str">
        <f t="shared" si="1"/>
        <v>Week 1</v>
      </c>
    </row>
    <row r="121" spans="1:19" x14ac:dyDescent="0.3">
      <c r="A121" s="15" t="s">
        <v>318</v>
      </c>
      <c r="B121" s="16">
        <v>43073</v>
      </c>
      <c r="C121" s="17" t="s">
        <v>319</v>
      </c>
      <c r="D121" s="17" t="s">
        <v>21</v>
      </c>
      <c r="E121" s="17" t="s">
        <v>37</v>
      </c>
      <c r="F121" s="18">
        <v>6</v>
      </c>
      <c r="G121" s="19">
        <v>2365.1</v>
      </c>
      <c r="H121" s="19">
        <v>14190.599999999999</v>
      </c>
      <c r="I121" s="20">
        <v>1986.68399999999</v>
      </c>
      <c r="J121" s="17" t="s">
        <v>45</v>
      </c>
      <c r="K121" s="17" t="s">
        <v>46</v>
      </c>
      <c r="L121" s="17" t="s">
        <v>34</v>
      </c>
      <c r="M121" s="19">
        <v>11920.103999999999</v>
      </c>
      <c r="N121" s="19">
        <v>2270.4959999999901</v>
      </c>
      <c r="O121" s="17">
        <v>15.999999999999901</v>
      </c>
      <c r="P121" s="17" t="s">
        <v>26</v>
      </c>
      <c r="Q121" s="17">
        <v>12</v>
      </c>
      <c r="R121" s="17" t="s">
        <v>27</v>
      </c>
      <c r="S121" s="14" t="str">
        <f t="shared" si="1"/>
        <v>Week 1</v>
      </c>
    </row>
    <row r="122" spans="1:19" x14ac:dyDescent="0.3">
      <c r="A122" s="8" t="s">
        <v>320</v>
      </c>
      <c r="B122" s="9">
        <v>43073</v>
      </c>
      <c r="C122" s="10" t="s">
        <v>321</v>
      </c>
      <c r="D122" s="10" t="s">
        <v>21</v>
      </c>
      <c r="E122" s="10" t="s">
        <v>31</v>
      </c>
      <c r="F122" s="11">
        <v>6</v>
      </c>
      <c r="G122" s="12">
        <v>1098.8</v>
      </c>
      <c r="H122" s="12">
        <v>6592.7999999999993</v>
      </c>
      <c r="I122" s="13">
        <v>912.003999999999</v>
      </c>
      <c r="J122" s="10" t="s">
        <v>38</v>
      </c>
      <c r="K122" s="10" t="s">
        <v>39</v>
      </c>
      <c r="L122" s="10" t="s">
        <v>40</v>
      </c>
      <c r="M122" s="12">
        <v>5472.0239999999903</v>
      </c>
      <c r="N122" s="12">
        <v>1120.7759999999901</v>
      </c>
      <c r="O122" s="10">
        <v>17</v>
      </c>
      <c r="P122" s="10" t="s">
        <v>26</v>
      </c>
      <c r="Q122" s="10">
        <v>12</v>
      </c>
      <c r="R122" s="10" t="s">
        <v>27</v>
      </c>
      <c r="S122" s="14" t="str">
        <f t="shared" si="1"/>
        <v>Week 1</v>
      </c>
    </row>
    <row r="123" spans="1:19" x14ac:dyDescent="0.3">
      <c r="A123" s="15" t="s">
        <v>322</v>
      </c>
      <c r="B123" s="16">
        <v>43073</v>
      </c>
      <c r="C123" s="17" t="s">
        <v>286</v>
      </c>
      <c r="D123" s="17" t="s">
        <v>21</v>
      </c>
      <c r="E123" s="17" t="s">
        <v>120</v>
      </c>
      <c r="F123" s="18">
        <v>11</v>
      </c>
      <c r="G123" s="19">
        <v>2720.2</v>
      </c>
      <c r="H123" s="19">
        <v>29922.199999999997</v>
      </c>
      <c r="I123" s="20">
        <v>1251.2919999999999</v>
      </c>
      <c r="J123" s="17" t="s">
        <v>83</v>
      </c>
      <c r="K123" s="17" t="s">
        <v>84</v>
      </c>
      <c r="L123" s="17" t="s">
        <v>34</v>
      </c>
      <c r="M123" s="19">
        <v>13764.212</v>
      </c>
      <c r="N123" s="19">
        <v>16157.987999999999</v>
      </c>
      <c r="O123" s="17">
        <v>54</v>
      </c>
      <c r="P123" s="17" t="s">
        <v>26</v>
      </c>
      <c r="Q123" s="17">
        <v>12</v>
      </c>
      <c r="R123" s="17" t="s">
        <v>27</v>
      </c>
      <c r="S123" s="14" t="str">
        <f t="shared" si="1"/>
        <v>Week 1</v>
      </c>
    </row>
    <row r="124" spans="1:19" x14ac:dyDescent="0.3">
      <c r="A124" s="8" t="s">
        <v>323</v>
      </c>
      <c r="B124" s="9">
        <v>43073</v>
      </c>
      <c r="C124" s="10" t="s">
        <v>129</v>
      </c>
      <c r="D124" s="10" t="s">
        <v>21</v>
      </c>
      <c r="E124" s="10" t="s">
        <v>284</v>
      </c>
      <c r="F124" s="11">
        <v>9</v>
      </c>
      <c r="G124" s="12">
        <v>3410.3</v>
      </c>
      <c r="H124" s="12">
        <v>30692.7</v>
      </c>
      <c r="I124" s="13">
        <v>2387.21</v>
      </c>
      <c r="J124" s="10" t="s">
        <v>23</v>
      </c>
      <c r="K124" s="10" t="s">
        <v>24</v>
      </c>
      <c r="L124" s="10" t="s">
        <v>25</v>
      </c>
      <c r="M124" s="12">
        <v>21484.89</v>
      </c>
      <c r="N124" s="12">
        <v>9207.81</v>
      </c>
      <c r="O124" s="10">
        <v>30</v>
      </c>
      <c r="P124" s="10" t="s">
        <v>26</v>
      </c>
      <c r="Q124" s="10">
        <v>12</v>
      </c>
      <c r="R124" s="10" t="s">
        <v>27</v>
      </c>
      <c r="S124" s="14" t="str">
        <f t="shared" si="1"/>
        <v>Week 1</v>
      </c>
    </row>
    <row r="125" spans="1:19" x14ac:dyDescent="0.3">
      <c r="A125" s="15" t="s">
        <v>324</v>
      </c>
      <c r="B125" s="16">
        <v>43073</v>
      </c>
      <c r="C125" s="17" t="s">
        <v>325</v>
      </c>
      <c r="D125" s="17" t="s">
        <v>30</v>
      </c>
      <c r="E125" s="17" t="s">
        <v>326</v>
      </c>
      <c r="F125" s="18">
        <v>5</v>
      </c>
      <c r="G125" s="19">
        <v>1125.5999999999999</v>
      </c>
      <c r="H125" s="19">
        <v>5628</v>
      </c>
      <c r="I125" s="20">
        <v>709.12800000000004</v>
      </c>
      <c r="J125" s="17" t="s">
        <v>87</v>
      </c>
      <c r="K125" s="17" t="s">
        <v>88</v>
      </c>
      <c r="L125" s="17" t="s">
        <v>56</v>
      </c>
      <c r="M125" s="19">
        <v>3545.64</v>
      </c>
      <c r="N125" s="19">
        <v>2082.36</v>
      </c>
      <c r="O125" s="17">
        <v>37</v>
      </c>
      <c r="P125" s="17" t="s">
        <v>26</v>
      </c>
      <c r="Q125" s="17">
        <v>12</v>
      </c>
      <c r="R125" s="17" t="s">
        <v>27</v>
      </c>
      <c r="S125" s="14" t="str">
        <f t="shared" si="1"/>
        <v>Week 1</v>
      </c>
    </row>
    <row r="126" spans="1:19" x14ac:dyDescent="0.3">
      <c r="A126" s="8" t="s">
        <v>327</v>
      </c>
      <c r="B126" s="9">
        <v>43073</v>
      </c>
      <c r="C126" s="10" t="s">
        <v>328</v>
      </c>
      <c r="D126" s="10" t="s">
        <v>21</v>
      </c>
      <c r="E126" s="10" t="s">
        <v>146</v>
      </c>
      <c r="F126" s="11">
        <v>12</v>
      </c>
      <c r="G126" s="12">
        <v>2452.1999999999998</v>
      </c>
      <c r="H126" s="12">
        <v>29426.399999999998</v>
      </c>
      <c r="I126" s="13">
        <v>1814.6279999999999</v>
      </c>
      <c r="J126" s="10" t="s">
        <v>54</v>
      </c>
      <c r="K126" s="10" t="s">
        <v>55</v>
      </c>
      <c r="L126" s="10" t="s">
        <v>56</v>
      </c>
      <c r="M126" s="12">
        <v>21775.536</v>
      </c>
      <c r="N126" s="12">
        <v>7650.8639999999996</v>
      </c>
      <c r="O126" s="10">
        <v>26</v>
      </c>
      <c r="P126" s="10" t="s">
        <v>26</v>
      </c>
      <c r="Q126" s="10">
        <v>12</v>
      </c>
      <c r="R126" s="10" t="s">
        <v>27</v>
      </c>
      <c r="S126" s="14" t="str">
        <f t="shared" si="1"/>
        <v>Week 1</v>
      </c>
    </row>
    <row r="127" spans="1:19" x14ac:dyDescent="0.3">
      <c r="A127" s="15" t="s">
        <v>329</v>
      </c>
      <c r="B127" s="16">
        <v>43073</v>
      </c>
      <c r="C127" s="17" t="s">
        <v>36</v>
      </c>
      <c r="D127" s="17" t="s">
        <v>21</v>
      </c>
      <c r="E127" s="17" t="s">
        <v>37</v>
      </c>
      <c r="F127" s="18">
        <v>11</v>
      </c>
      <c r="G127" s="19">
        <v>3912.8</v>
      </c>
      <c r="H127" s="19">
        <v>43040.800000000003</v>
      </c>
      <c r="I127" s="20">
        <v>2934.6</v>
      </c>
      <c r="J127" s="17" t="s">
        <v>54</v>
      </c>
      <c r="K127" s="17" t="s">
        <v>55</v>
      </c>
      <c r="L127" s="17" t="s">
        <v>56</v>
      </c>
      <c r="M127" s="19">
        <v>32280.6</v>
      </c>
      <c r="N127" s="19">
        <v>10760.199999999901</v>
      </c>
      <c r="O127" s="17">
        <v>24.999999999999901</v>
      </c>
      <c r="P127" s="17" t="s">
        <v>26</v>
      </c>
      <c r="Q127" s="17">
        <v>12</v>
      </c>
      <c r="R127" s="17" t="s">
        <v>27</v>
      </c>
      <c r="S127" s="14" t="str">
        <f t="shared" si="1"/>
        <v>Week 1</v>
      </c>
    </row>
    <row r="128" spans="1:19" x14ac:dyDescent="0.3">
      <c r="A128" s="8" t="s">
        <v>330</v>
      </c>
      <c r="B128" s="9">
        <v>43073</v>
      </c>
      <c r="C128" s="10" t="s">
        <v>112</v>
      </c>
      <c r="D128" s="10" t="s">
        <v>30</v>
      </c>
      <c r="E128" s="10" t="s">
        <v>93</v>
      </c>
      <c r="F128" s="11">
        <v>11</v>
      </c>
      <c r="G128" s="12">
        <v>2847.5</v>
      </c>
      <c r="H128" s="12">
        <v>31322.5</v>
      </c>
      <c r="I128" s="13">
        <v>1708.5</v>
      </c>
      <c r="J128" s="10" t="s">
        <v>94</v>
      </c>
      <c r="K128" s="10" t="s">
        <v>95</v>
      </c>
      <c r="L128" s="10" t="s">
        <v>40</v>
      </c>
      <c r="M128" s="12">
        <v>18793.5</v>
      </c>
      <c r="N128" s="12">
        <v>12529</v>
      </c>
      <c r="O128" s="10">
        <v>40</v>
      </c>
      <c r="P128" s="10" t="s">
        <v>26</v>
      </c>
      <c r="Q128" s="10">
        <v>12</v>
      </c>
      <c r="R128" s="10" t="s">
        <v>27</v>
      </c>
      <c r="S128" s="14" t="str">
        <f t="shared" si="1"/>
        <v>Week 1</v>
      </c>
    </row>
    <row r="129" spans="1:19" x14ac:dyDescent="0.3">
      <c r="A129" s="15" t="s">
        <v>331</v>
      </c>
      <c r="B129" s="16">
        <v>43073</v>
      </c>
      <c r="C129" s="17" t="s">
        <v>325</v>
      </c>
      <c r="D129" s="17" t="s">
        <v>30</v>
      </c>
      <c r="E129" s="17" t="s">
        <v>62</v>
      </c>
      <c r="F129" s="18">
        <v>7</v>
      </c>
      <c r="G129" s="19">
        <v>180.9</v>
      </c>
      <c r="H129" s="19">
        <v>1266.3</v>
      </c>
      <c r="I129" s="20">
        <v>86.831999999999994</v>
      </c>
      <c r="J129" s="17" t="s">
        <v>38</v>
      </c>
      <c r="K129" s="17" t="s">
        <v>39</v>
      </c>
      <c r="L129" s="17" t="s">
        <v>40</v>
      </c>
      <c r="M129" s="19">
        <v>607.82399999999996</v>
      </c>
      <c r="N129" s="19">
        <v>658.476</v>
      </c>
      <c r="O129" s="17">
        <v>52</v>
      </c>
      <c r="P129" s="17" t="s">
        <v>26</v>
      </c>
      <c r="Q129" s="17">
        <v>12</v>
      </c>
      <c r="R129" s="17" t="s">
        <v>27</v>
      </c>
      <c r="S129" s="14" t="str">
        <f t="shared" si="1"/>
        <v>Week 1</v>
      </c>
    </row>
    <row r="130" spans="1:19" x14ac:dyDescent="0.3">
      <c r="A130" s="8" t="s">
        <v>332</v>
      </c>
      <c r="B130" s="9">
        <v>43073</v>
      </c>
      <c r="C130" s="10" t="s">
        <v>102</v>
      </c>
      <c r="D130" s="10" t="s">
        <v>30</v>
      </c>
      <c r="E130" s="10" t="s">
        <v>37</v>
      </c>
      <c r="F130" s="11">
        <v>7</v>
      </c>
      <c r="G130" s="12">
        <v>5648.1</v>
      </c>
      <c r="H130" s="12">
        <v>39536.700000000004</v>
      </c>
      <c r="I130" s="13">
        <v>3501.8220000000001</v>
      </c>
      <c r="J130" s="10" t="s">
        <v>218</v>
      </c>
      <c r="K130" s="10" t="s">
        <v>219</v>
      </c>
      <c r="L130" s="10" t="s">
        <v>34</v>
      </c>
      <c r="M130" s="12">
        <v>24512.754000000001</v>
      </c>
      <c r="N130" s="12">
        <v>15023.946</v>
      </c>
      <c r="O130" s="10">
        <v>38</v>
      </c>
      <c r="P130" s="10" t="s">
        <v>26</v>
      </c>
      <c r="Q130" s="10">
        <v>12</v>
      </c>
      <c r="R130" s="10" t="s">
        <v>27</v>
      </c>
      <c r="S130" s="14" t="str">
        <f t="shared" si="1"/>
        <v>Week 1</v>
      </c>
    </row>
    <row r="131" spans="1:19" x14ac:dyDescent="0.3">
      <c r="A131" s="15" t="s">
        <v>333</v>
      </c>
      <c r="B131" s="16">
        <v>43073</v>
      </c>
      <c r="C131" s="17" t="s">
        <v>180</v>
      </c>
      <c r="D131" s="17" t="s">
        <v>21</v>
      </c>
      <c r="E131" s="17" t="s">
        <v>149</v>
      </c>
      <c r="F131" s="18">
        <v>10</v>
      </c>
      <c r="G131" s="19">
        <v>1118.9000000000001</v>
      </c>
      <c r="H131" s="19">
        <v>11189</v>
      </c>
      <c r="I131" s="20">
        <v>783.23</v>
      </c>
      <c r="J131" s="17" t="s">
        <v>32</v>
      </c>
      <c r="K131" s="17" t="s">
        <v>33</v>
      </c>
      <c r="L131" s="17" t="s">
        <v>34</v>
      </c>
      <c r="M131" s="19">
        <v>7832.3</v>
      </c>
      <c r="N131" s="19">
        <v>3356.7</v>
      </c>
      <c r="O131" s="17">
        <v>30</v>
      </c>
      <c r="P131" s="17" t="s">
        <v>26</v>
      </c>
      <c r="Q131" s="17">
        <v>12</v>
      </c>
      <c r="R131" s="17" t="s">
        <v>27</v>
      </c>
      <c r="S131" s="14" t="str">
        <f t="shared" ref="S131:S194" si="2">"Week "&amp;INT((DAY(B131)-1)/7)+1</f>
        <v>Week 1</v>
      </c>
    </row>
    <row r="132" spans="1:19" x14ac:dyDescent="0.3">
      <c r="A132" s="8" t="s">
        <v>334</v>
      </c>
      <c r="B132" s="9">
        <v>43073</v>
      </c>
      <c r="C132" s="10" t="s">
        <v>335</v>
      </c>
      <c r="D132" s="10" t="s">
        <v>30</v>
      </c>
      <c r="E132" s="10" t="s">
        <v>59</v>
      </c>
      <c r="F132" s="11">
        <v>12</v>
      </c>
      <c r="G132" s="12">
        <v>1098.8</v>
      </c>
      <c r="H132" s="12">
        <v>13185.599999999999</v>
      </c>
      <c r="I132" s="13">
        <v>681.25599999999997</v>
      </c>
      <c r="J132" s="10" t="s">
        <v>177</v>
      </c>
      <c r="K132" s="10" t="s">
        <v>178</v>
      </c>
      <c r="L132" s="10" t="s">
        <v>40</v>
      </c>
      <c r="M132" s="12">
        <v>8175.0720000000001</v>
      </c>
      <c r="N132" s="12">
        <v>5010.5279999999902</v>
      </c>
      <c r="O132" s="10">
        <v>37.999999999999901</v>
      </c>
      <c r="P132" s="10" t="s">
        <v>26</v>
      </c>
      <c r="Q132" s="10">
        <v>12</v>
      </c>
      <c r="R132" s="10" t="s">
        <v>27</v>
      </c>
      <c r="S132" s="14" t="str">
        <f t="shared" si="2"/>
        <v>Week 1</v>
      </c>
    </row>
    <row r="133" spans="1:19" x14ac:dyDescent="0.3">
      <c r="A133" s="15" t="s">
        <v>336</v>
      </c>
      <c r="B133" s="16">
        <v>43073</v>
      </c>
      <c r="C133" s="17" t="s">
        <v>48</v>
      </c>
      <c r="D133" s="17" t="s">
        <v>43</v>
      </c>
      <c r="E133" s="17" t="s">
        <v>230</v>
      </c>
      <c r="F133" s="18">
        <v>7</v>
      </c>
      <c r="G133" s="19">
        <v>254.6</v>
      </c>
      <c r="H133" s="19">
        <v>1782.2</v>
      </c>
      <c r="I133" s="20">
        <v>127.3</v>
      </c>
      <c r="J133" s="17" t="s">
        <v>104</v>
      </c>
      <c r="K133" s="17" t="s">
        <v>105</v>
      </c>
      <c r="L133" s="17" t="s">
        <v>25</v>
      </c>
      <c r="M133" s="19">
        <v>891.1</v>
      </c>
      <c r="N133" s="19">
        <v>891.1</v>
      </c>
      <c r="O133" s="17">
        <v>50</v>
      </c>
      <c r="P133" s="17" t="s">
        <v>26</v>
      </c>
      <c r="Q133" s="17">
        <v>12</v>
      </c>
      <c r="R133" s="17" t="s">
        <v>27</v>
      </c>
      <c r="S133" s="14" t="str">
        <f t="shared" si="2"/>
        <v>Week 1</v>
      </c>
    </row>
    <row r="134" spans="1:19" x14ac:dyDescent="0.3">
      <c r="A134" s="8" t="s">
        <v>337</v>
      </c>
      <c r="B134" s="9">
        <v>43073</v>
      </c>
      <c r="C134" s="10" t="s">
        <v>72</v>
      </c>
      <c r="D134" s="10" t="s">
        <v>30</v>
      </c>
      <c r="E134" s="10" t="s">
        <v>59</v>
      </c>
      <c r="F134" s="11">
        <v>7</v>
      </c>
      <c r="G134" s="12">
        <v>2391.9</v>
      </c>
      <c r="H134" s="12">
        <v>16743.3</v>
      </c>
      <c r="I134" s="13">
        <v>1865.682</v>
      </c>
      <c r="J134" s="10" t="s">
        <v>97</v>
      </c>
      <c r="K134" s="10" t="s">
        <v>98</v>
      </c>
      <c r="L134" s="10" t="s">
        <v>56</v>
      </c>
      <c r="M134" s="12">
        <v>13059.773999999999</v>
      </c>
      <c r="N134" s="12">
        <v>3683.5259999999898</v>
      </c>
      <c r="O134" s="10">
        <v>21.999999999999901</v>
      </c>
      <c r="P134" s="10" t="s">
        <v>26</v>
      </c>
      <c r="Q134" s="10">
        <v>12</v>
      </c>
      <c r="R134" s="10" t="s">
        <v>27</v>
      </c>
      <c r="S134" s="14" t="str">
        <f t="shared" si="2"/>
        <v>Week 1</v>
      </c>
    </row>
    <row r="135" spans="1:19" x14ac:dyDescent="0.3">
      <c r="A135" s="15" t="s">
        <v>338</v>
      </c>
      <c r="B135" s="16">
        <v>43073</v>
      </c>
      <c r="C135" s="17" t="s">
        <v>109</v>
      </c>
      <c r="D135" s="17" t="s">
        <v>21</v>
      </c>
      <c r="E135" s="17" t="s">
        <v>62</v>
      </c>
      <c r="F135" s="18">
        <v>5</v>
      </c>
      <c r="G135" s="19">
        <v>5916.1</v>
      </c>
      <c r="H135" s="19">
        <v>29580.5</v>
      </c>
      <c r="I135" s="20">
        <v>3253.855</v>
      </c>
      <c r="J135" s="17" t="s">
        <v>104</v>
      </c>
      <c r="K135" s="17" t="s">
        <v>105</v>
      </c>
      <c r="L135" s="17" t="s">
        <v>25</v>
      </c>
      <c r="M135" s="19">
        <v>16269.275</v>
      </c>
      <c r="N135" s="19">
        <v>13311.2249999999</v>
      </c>
      <c r="O135" s="17">
        <v>44.999999999999901</v>
      </c>
      <c r="P135" s="17" t="s">
        <v>26</v>
      </c>
      <c r="Q135" s="17">
        <v>12</v>
      </c>
      <c r="R135" s="17" t="s">
        <v>27</v>
      </c>
      <c r="S135" s="14" t="str">
        <f t="shared" si="2"/>
        <v>Week 1</v>
      </c>
    </row>
    <row r="136" spans="1:19" x14ac:dyDescent="0.3">
      <c r="A136" s="8" t="s">
        <v>339</v>
      </c>
      <c r="B136" s="9">
        <v>43073</v>
      </c>
      <c r="C136" s="10" t="s">
        <v>148</v>
      </c>
      <c r="D136" s="10" t="s">
        <v>21</v>
      </c>
      <c r="E136" s="10" t="s">
        <v>37</v>
      </c>
      <c r="F136" s="11">
        <v>7</v>
      </c>
      <c r="G136" s="12">
        <v>1835.8</v>
      </c>
      <c r="H136" s="12">
        <v>12850.6</v>
      </c>
      <c r="I136" s="13">
        <v>1193.27</v>
      </c>
      <c r="J136" s="10" t="s">
        <v>225</v>
      </c>
      <c r="K136" s="10" t="s">
        <v>226</v>
      </c>
      <c r="L136" s="10" t="s">
        <v>25</v>
      </c>
      <c r="M136" s="12">
        <v>8352.89</v>
      </c>
      <c r="N136" s="12">
        <v>4497.71</v>
      </c>
      <c r="O136" s="10">
        <v>35</v>
      </c>
      <c r="P136" s="10" t="s">
        <v>26</v>
      </c>
      <c r="Q136" s="10">
        <v>12</v>
      </c>
      <c r="R136" s="10" t="s">
        <v>27</v>
      </c>
      <c r="S136" s="14" t="str">
        <f t="shared" si="2"/>
        <v>Week 1</v>
      </c>
    </row>
    <row r="137" spans="1:19" x14ac:dyDescent="0.3">
      <c r="A137" s="15" t="s">
        <v>340</v>
      </c>
      <c r="B137" s="16">
        <v>43073</v>
      </c>
      <c r="C137" s="17" t="s">
        <v>341</v>
      </c>
      <c r="D137" s="17" t="s">
        <v>21</v>
      </c>
      <c r="E137" s="17" t="s">
        <v>37</v>
      </c>
      <c r="F137" s="18">
        <v>10</v>
      </c>
      <c r="G137" s="19">
        <v>1065.3</v>
      </c>
      <c r="H137" s="19">
        <v>10653</v>
      </c>
      <c r="I137" s="20">
        <v>479.38499999999999</v>
      </c>
      <c r="J137" s="17" t="s">
        <v>54</v>
      </c>
      <c r="K137" s="17" t="s">
        <v>55</v>
      </c>
      <c r="L137" s="17" t="s">
        <v>56</v>
      </c>
      <c r="M137" s="19">
        <v>4793.8500000000004</v>
      </c>
      <c r="N137" s="19">
        <v>5859.15</v>
      </c>
      <c r="O137" s="17">
        <v>54.999999999999901</v>
      </c>
      <c r="P137" s="17" t="s">
        <v>26</v>
      </c>
      <c r="Q137" s="17">
        <v>12</v>
      </c>
      <c r="R137" s="17" t="s">
        <v>27</v>
      </c>
      <c r="S137" s="14" t="str">
        <f t="shared" si="2"/>
        <v>Week 1</v>
      </c>
    </row>
    <row r="138" spans="1:19" x14ac:dyDescent="0.3">
      <c r="A138" s="8" t="s">
        <v>342</v>
      </c>
      <c r="B138" s="9">
        <v>43073</v>
      </c>
      <c r="C138" s="10" t="s">
        <v>282</v>
      </c>
      <c r="D138" s="10" t="s">
        <v>30</v>
      </c>
      <c r="E138" s="10" t="s">
        <v>73</v>
      </c>
      <c r="F138" s="11">
        <v>7</v>
      </c>
      <c r="G138" s="12">
        <v>743.7</v>
      </c>
      <c r="H138" s="12">
        <v>5205.9000000000005</v>
      </c>
      <c r="I138" s="13">
        <v>438.78300000000002</v>
      </c>
      <c r="J138" s="10" t="s">
        <v>257</v>
      </c>
      <c r="K138" s="10" t="s">
        <v>258</v>
      </c>
      <c r="L138" s="10" t="s">
        <v>25</v>
      </c>
      <c r="M138" s="12">
        <v>3071.4810000000002</v>
      </c>
      <c r="N138" s="12">
        <v>2134.4189999999999</v>
      </c>
      <c r="O138" s="10">
        <v>41</v>
      </c>
      <c r="P138" s="10" t="s">
        <v>26</v>
      </c>
      <c r="Q138" s="10">
        <v>12</v>
      </c>
      <c r="R138" s="10" t="s">
        <v>27</v>
      </c>
      <c r="S138" s="14" t="str">
        <f t="shared" si="2"/>
        <v>Week 1</v>
      </c>
    </row>
    <row r="139" spans="1:19" x14ac:dyDescent="0.3">
      <c r="A139" s="15" t="s">
        <v>343</v>
      </c>
      <c r="B139" s="16">
        <v>43073</v>
      </c>
      <c r="C139" s="17" t="s">
        <v>166</v>
      </c>
      <c r="D139" s="17" t="s">
        <v>30</v>
      </c>
      <c r="E139" s="17" t="s">
        <v>127</v>
      </c>
      <c r="F139" s="18">
        <v>12</v>
      </c>
      <c r="G139" s="19">
        <v>1172.5</v>
      </c>
      <c r="H139" s="19">
        <v>14070</v>
      </c>
      <c r="I139" s="20">
        <v>562.79999999999995</v>
      </c>
      <c r="J139" s="17" t="s">
        <v>45</v>
      </c>
      <c r="K139" s="17" t="s">
        <v>46</v>
      </c>
      <c r="L139" s="17" t="s">
        <v>34</v>
      </c>
      <c r="M139" s="19">
        <v>6753.5999999999904</v>
      </c>
      <c r="N139" s="19">
        <v>7316.4</v>
      </c>
      <c r="O139" s="17">
        <v>52</v>
      </c>
      <c r="P139" s="17" t="s">
        <v>26</v>
      </c>
      <c r="Q139" s="17">
        <v>12</v>
      </c>
      <c r="R139" s="17" t="s">
        <v>27</v>
      </c>
      <c r="S139" s="14" t="str">
        <f t="shared" si="2"/>
        <v>Week 1</v>
      </c>
    </row>
    <row r="140" spans="1:19" x14ac:dyDescent="0.3">
      <c r="A140" s="8" t="s">
        <v>344</v>
      </c>
      <c r="B140" s="9">
        <v>43073</v>
      </c>
      <c r="C140" s="10" t="s">
        <v>345</v>
      </c>
      <c r="D140" s="10" t="s">
        <v>21</v>
      </c>
      <c r="E140" s="10" t="s">
        <v>228</v>
      </c>
      <c r="F140" s="11">
        <v>10</v>
      </c>
      <c r="G140" s="12">
        <v>1132.3</v>
      </c>
      <c r="H140" s="12">
        <v>11323</v>
      </c>
      <c r="I140" s="13">
        <v>690.70299999999997</v>
      </c>
      <c r="J140" s="10" t="s">
        <v>218</v>
      </c>
      <c r="K140" s="10" t="s">
        <v>219</v>
      </c>
      <c r="L140" s="10" t="s">
        <v>34</v>
      </c>
      <c r="M140" s="12">
        <v>6907.03</v>
      </c>
      <c r="N140" s="12">
        <v>4415.97</v>
      </c>
      <c r="O140" s="10">
        <v>39</v>
      </c>
      <c r="P140" s="10" t="s">
        <v>26</v>
      </c>
      <c r="Q140" s="10">
        <v>12</v>
      </c>
      <c r="R140" s="10" t="s">
        <v>27</v>
      </c>
      <c r="S140" s="14" t="str">
        <f t="shared" si="2"/>
        <v>Week 1</v>
      </c>
    </row>
    <row r="141" spans="1:19" x14ac:dyDescent="0.3">
      <c r="A141" s="15" t="s">
        <v>346</v>
      </c>
      <c r="B141" s="16">
        <v>43073</v>
      </c>
      <c r="C141" s="17" t="s">
        <v>347</v>
      </c>
      <c r="D141" s="17" t="s">
        <v>21</v>
      </c>
      <c r="E141" s="17" t="s">
        <v>37</v>
      </c>
      <c r="F141" s="18">
        <v>10</v>
      </c>
      <c r="G141" s="19">
        <v>1212.7</v>
      </c>
      <c r="H141" s="19">
        <v>12127</v>
      </c>
      <c r="I141" s="20">
        <v>582.096</v>
      </c>
      <c r="J141" s="17" t="s">
        <v>212</v>
      </c>
      <c r="K141" s="17" t="s">
        <v>213</v>
      </c>
      <c r="L141" s="17" t="s">
        <v>34</v>
      </c>
      <c r="M141" s="19">
        <v>5820.96</v>
      </c>
      <c r="N141" s="19">
        <v>6306.04</v>
      </c>
      <c r="O141" s="17">
        <v>52</v>
      </c>
      <c r="P141" s="17" t="s">
        <v>26</v>
      </c>
      <c r="Q141" s="17">
        <v>12</v>
      </c>
      <c r="R141" s="17" t="s">
        <v>27</v>
      </c>
      <c r="S141" s="14" t="str">
        <f t="shared" si="2"/>
        <v>Week 1</v>
      </c>
    </row>
    <row r="142" spans="1:19" x14ac:dyDescent="0.3">
      <c r="A142" s="8" t="s">
        <v>348</v>
      </c>
      <c r="B142" s="9">
        <v>43073</v>
      </c>
      <c r="C142" s="10" t="s">
        <v>349</v>
      </c>
      <c r="D142" s="10" t="s">
        <v>30</v>
      </c>
      <c r="E142" s="10" t="s">
        <v>230</v>
      </c>
      <c r="F142" s="11">
        <v>8</v>
      </c>
      <c r="G142" s="12">
        <v>3055.2</v>
      </c>
      <c r="H142" s="12">
        <v>24441.599999999999</v>
      </c>
      <c r="I142" s="13">
        <v>2230.2959999999998</v>
      </c>
      <c r="J142" s="10" t="s">
        <v>63</v>
      </c>
      <c r="K142" s="10" t="s">
        <v>64</v>
      </c>
      <c r="L142" s="10" t="s">
        <v>34</v>
      </c>
      <c r="M142" s="12">
        <v>17842.367999999999</v>
      </c>
      <c r="N142" s="12">
        <v>6599.232</v>
      </c>
      <c r="O142" s="10">
        <v>26.999999999999901</v>
      </c>
      <c r="P142" s="10" t="s">
        <v>26</v>
      </c>
      <c r="Q142" s="10">
        <v>12</v>
      </c>
      <c r="R142" s="10" t="s">
        <v>27</v>
      </c>
      <c r="S142" s="14" t="str">
        <f t="shared" si="2"/>
        <v>Week 1</v>
      </c>
    </row>
    <row r="143" spans="1:19" x14ac:dyDescent="0.3">
      <c r="A143" s="15" t="s">
        <v>350</v>
      </c>
      <c r="B143" s="16">
        <v>43073</v>
      </c>
      <c r="C143" s="17" t="s">
        <v>347</v>
      </c>
      <c r="D143" s="17" t="s">
        <v>30</v>
      </c>
      <c r="E143" s="17" t="s">
        <v>146</v>
      </c>
      <c r="F143" s="18">
        <v>10</v>
      </c>
      <c r="G143" s="19">
        <v>1031.8</v>
      </c>
      <c r="H143" s="19">
        <v>10318</v>
      </c>
      <c r="I143" s="20">
        <v>660.35199999999998</v>
      </c>
      <c r="J143" s="17" t="s">
        <v>212</v>
      </c>
      <c r="K143" s="17" t="s">
        <v>213</v>
      </c>
      <c r="L143" s="17" t="s">
        <v>34</v>
      </c>
      <c r="M143" s="19">
        <v>6603.5199999999904</v>
      </c>
      <c r="N143" s="19">
        <v>3714.48</v>
      </c>
      <c r="O143" s="17">
        <v>36</v>
      </c>
      <c r="P143" s="17" t="s">
        <v>26</v>
      </c>
      <c r="Q143" s="17">
        <v>12</v>
      </c>
      <c r="R143" s="17" t="s">
        <v>27</v>
      </c>
      <c r="S143" s="14" t="str">
        <f t="shared" si="2"/>
        <v>Week 1</v>
      </c>
    </row>
    <row r="144" spans="1:19" x14ac:dyDescent="0.3">
      <c r="A144" s="8" t="s">
        <v>351</v>
      </c>
      <c r="B144" s="9">
        <v>43073</v>
      </c>
      <c r="C144" s="10" t="s">
        <v>352</v>
      </c>
      <c r="D144" s="10" t="s">
        <v>30</v>
      </c>
      <c r="E144" s="10" t="s">
        <v>115</v>
      </c>
      <c r="F144" s="11">
        <v>9</v>
      </c>
      <c r="G144" s="12">
        <v>2814</v>
      </c>
      <c r="H144" s="12">
        <v>25326</v>
      </c>
      <c r="I144" s="13">
        <v>1181.8799999999901</v>
      </c>
      <c r="J144" s="10" t="s">
        <v>76</v>
      </c>
      <c r="K144" s="10" t="s">
        <v>77</v>
      </c>
      <c r="L144" s="10" t="s">
        <v>56</v>
      </c>
      <c r="M144" s="12">
        <v>10636.9199999999</v>
      </c>
      <c r="N144" s="12">
        <v>14689.08</v>
      </c>
      <c r="O144" s="10">
        <v>58</v>
      </c>
      <c r="P144" s="10" t="s">
        <v>26</v>
      </c>
      <c r="Q144" s="10">
        <v>12</v>
      </c>
      <c r="R144" s="10" t="s">
        <v>27</v>
      </c>
      <c r="S144" s="14" t="str">
        <f t="shared" si="2"/>
        <v>Week 1</v>
      </c>
    </row>
    <row r="145" spans="1:19" x14ac:dyDescent="0.3">
      <c r="A145" s="15" t="s">
        <v>353</v>
      </c>
      <c r="B145" s="16">
        <v>43073</v>
      </c>
      <c r="C145" s="17" t="s">
        <v>354</v>
      </c>
      <c r="D145" s="17" t="s">
        <v>21</v>
      </c>
      <c r="E145" s="17" t="s">
        <v>103</v>
      </c>
      <c r="F145" s="18">
        <v>11</v>
      </c>
      <c r="G145" s="19">
        <v>3979.8</v>
      </c>
      <c r="H145" s="19">
        <v>43777.8</v>
      </c>
      <c r="I145" s="20">
        <v>2427.6779999999999</v>
      </c>
      <c r="J145" s="17" t="s">
        <v>63</v>
      </c>
      <c r="K145" s="17" t="s">
        <v>64</v>
      </c>
      <c r="L145" s="17" t="s">
        <v>34</v>
      </c>
      <c r="M145" s="19">
        <v>26704.457999999999</v>
      </c>
      <c r="N145" s="19">
        <v>17073.342000000001</v>
      </c>
      <c r="O145" s="17">
        <v>39</v>
      </c>
      <c r="P145" s="17" t="s">
        <v>26</v>
      </c>
      <c r="Q145" s="17">
        <v>12</v>
      </c>
      <c r="R145" s="17" t="s">
        <v>27</v>
      </c>
      <c r="S145" s="14" t="str">
        <f t="shared" si="2"/>
        <v>Week 1</v>
      </c>
    </row>
    <row r="146" spans="1:19" x14ac:dyDescent="0.3">
      <c r="A146" s="8" t="s">
        <v>355</v>
      </c>
      <c r="B146" s="9">
        <v>43073</v>
      </c>
      <c r="C146" s="10" t="s">
        <v>356</v>
      </c>
      <c r="D146" s="10" t="s">
        <v>21</v>
      </c>
      <c r="E146" s="10" t="s">
        <v>73</v>
      </c>
      <c r="F146" s="11">
        <v>5</v>
      </c>
      <c r="G146" s="12">
        <v>1038.5</v>
      </c>
      <c r="H146" s="12">
        <v>5192.5</v>
      </c>
      <c r="I146" s="13">
        <v>664.64</v>
      </c>
      <c r="J146" s="10" t="s">
        <v>218</v>
      </c>
      <c r="K146" s="10" t="s">
        <v>219</v>
      </c>
      <c r="L146" s="10" t="s">
        <v>34</v>
      </c>
      <c r="M146" s="12">
        <v>3323.2</v>
      </c>
      <c r="N146" s="12">
        <v>1869.3</v>
      </c>
      <c r="O146" s="10">
        <v>36</v>
      </c>
      <c r="P146" s="10" t="s">
        <v>26</v>
      </c>
      <c r="Q146" s="10">
        <v>12</v>
      </c>
      <c r="R146" s="10" t="s">
        <v>27</v>
      </c>
      <c r="S146" s="14" t="str">
        <f t="shared" si="2"/>
        <v>Week 1</v>
      </c>
    </row>
    <row r="147" spans="1:19" x14ac:dyDescent="0.3">
      <c r="A147" s="15" t="s">
        <v>357</v>
      </c>
      <c r="B147" s="16">
        <v>43073</v>
      </c>
      <c r="C147" s="17" t="s">
        <v>358</v>
      </c>
      <c r="D147" s="17" t="s">
        <v>21</v>
      </c>
      <c r="E147" s="17" t="s">
        <v>149</v>
      </c>
      <c r="F147" s="18">
        <v>8</v>
      </c>
      <c r="G147" s="19">
        <v>1145.7</v>
      </c>
      <c r="H147" s="19">
        <v>9165.6</v>
      </c>
      <c r="I147" s="20">
        <v>618.678</v>
      </c>
      <c r="J147" s="17" t="s">
        <v>54</v>
      </c>
      <c r="K147" s="17" t="s">
        <v>55</v>
      </c>
      <c r="L147" s="17" t="s">
        <v>56</v>
      </c>
      <c r="M147" s="19">
        <v>4949.424</v>
      </c>
      <c r="N147" s="19">
        <v>4216.1759999999904</v>
      </c>
      <c r="O147" s="17">
        <v>45.999999999999901</v>
      </c>
      <c r="P147" s="17" t="s">
        <v>26</v>
      </c>
      <c r="Q147" s="17">
        <v>12</v>
      </c>
      <c r="R147" s="17" t="s">
        <v>27</v>
      </c>
      <c r="S147" s="14" t="str">
        <f t="shared" si="2"/>
        <v>Week 1</v>
      </c>
    </row>
    <row r="148" spans="1:19" x14ac:dyDescent="0.3">
      <c r="A148" s="8" t="s">
        <v>359</v>
      </c>
      <c r="B148" s="9">
        <v>43073</v>
      </c>
      <c r="C148" s="10" t="s">
        <v>221</v>
      </c>
      <c r="D148" s="10" t="s">
        <v>21</v>
      </c>
      <c r="E148" s="10" t="s">
        <v>360</v>
      </c>
      <c r="F148" s="11">
        <v>9</v>
      </c>
      <c r="G148" s="12">
        <v>964.8</v>
      </c>
      <c r="H148" s="12">
        <v>8683.1999999999989</v>
      </c>
      <c r="I148" s="13">
        <v>482.4</v>
      </c>
      <c r="J148" s="10" t="s">
        <v>32</v>
      </c>
      <c r="K148" s="10" t="s">
        <v>33</v>
      </c>
      <c r="L148" s="10" t="s">
        <v>34</v>
      </c>
      <c r="M148" s="12">
        <v>4341.6000000000004</v>
      </c>
      <c r="N148" s="12">
        <v>4341.6000000000004</v>
      </c>
      <c r="O148" s="10">
        <v>50</v>
      </c>
      <c r="P148" s="10" t="s">
        <v>26</v>
      </c>
      <c r="Q148" s="10">
        <v>12</v>
      </c>
      <c r="R148" s="10" t="s">
        <v>27</v>
      </c>
      <c r="S148" s="14" t="str">
        <f t="shared" si="2"/>
        <v>Week 1</v>
      </c>
    </row>
    <row r="149" spans="1:19" x14ac:dyDescent="0.3">
      <c r="A149" s="15" t="s">
        <v>361</v>
      </c>
      <c r="B149" s="16">
        <v>43074</v>
      </c>
      <c r="C149" s="17" t="s">
        <v>321</v>
      </c>
      <c r="D149" s="17" t="s">
        <v>30</v>
      </c>
      <c r="E149" s="17" t="s">
        <v>115</v>
      </c>
      <c r="F149" s="18">
        <v>6</v>
      </c>
      <c r="G149" s="19">
        <v>877.7</v>
      </c>
      <c r="H149" s="19">
        <v>5266.2000000000007</v>
      </c>
      <c r="I149" s="20">
        <v>561.72799999999995</v>
      </c>
      <c r="J149" s="17" t="s">
        <v>231</v>
      </c>
      <c r="K149" s="17" t="s">
        <v>232</v>
      </c>
      <c r="L149" s="17" t="s">
        <v>40</v>
      </c>
      <c r="M149" s="19">
        <v>3370.3679999999999</v>
      </c>
      <c r="N149" s="19">
        <v>1895.8320000000001</v>
      </c>
      <c r="O149" s="17">
        <v>36</v>
      </c>
      <c r="P149" s="17" t="s">
        <v>26</v>
      </c>
      <c r="Q149" s="17">
        <v>12</v>
      </c>
      <c r="R149" s="17" t="s">
        <v>27</v>
      </c>
      <c r="S149" s="14" t="str">
        <f t="shared" si="2"/>
        <v>Week 1</v>
      </c>
    </row>
    <row r="150" spans="1:19" x14ac:dyDescent="0.3">
      <c r="A150" s="8" t="s">
        <v>362</v>
      </c>
      <c r="B150" s="9">
        <v>43074</v>
      </c>
      <c r="C150" s="10" t="s">
        <v>363</v>
      </c>
      <c r="D150" s="10" t="s">
        <v>21</v>
      </c>
      <c r="E150" s="10" t="s">
        <v>49</v>
      </c>
      <c r="F150" s="11">
        <v>8</v>
      </c>
      <c r="G150" s="12">
        <v>6472.2</v>
      </c>
      <c r="H150" s="12">
        <v>51777.599999999999</v>
      </c>
      <c r="I150" s="13">
        <v>2977.212</v>
      </c>
      <c r="J150" s="10" t="s">
        <v>121</v>
      </c>
      <c r="K150" s="10" t="s">
        <v>122</v>
      </c>
      <c r="L150" s="10" t="s">
        <v>34</v>
      </c>
      <c r="M150" s="12">
        <v>23817.696</v>
      </c>
      <c r="N150" s="12">
        <v>27959.903999999999</v>
      </c>
      <c r="O150" s="10">
        <v>54</v>
      </c>
      <c r="P150" s="10" t="s">
        <v>26</v>
      </c>
      <c r="Q150" s="10">
        <v>12</v>
      </c>
      <c r="R150" s="10" t="s">
        <v>27</v>
      </c>
      <c r="S150" s="14" t="str">
        <f t="shared" si="2"/>
        <v>Week 1</v>
      </c>
    </row>
    <row r="151" spans="1:19" x14ac:dyDescent="0.3">
      <c r="A151" s="15" t="s">
        <v>364</v>
      </c>
      <c r="B151" s="16">
        <v>43074</v>
      </c>
      <c r="C151" s="17" t="s">
        <v>158</v>
      </c>
      <c r="D151" s="17" t="s">
        <v>21</v>
      </c>
      <c r="E151" s="17" t="s">
        <v>91</v>
      </c>
      <c r="F151" s="18">
        <v>8</v>
      </c>
      <c r="G151" s="19">
        <v>2311.5</v>
      </c>
      <c r="H151" s="19">
        <v>18492</v>
      </c>
      <c r="I151" s="20">
        <v>1525.59</v>
      </c>
      <c r="J151" s="17" t="s">
        <v>54</v>
      </c>
      <c r="K151" s="17" t="s">
        <v>55</v>
      </c>
      <c r="L151" s="17" t="s">
        <v>56</v>
      </c>
      <c r="M151" s="19">
        <v>12204.72</v>
      </c>
      <c r="N151" s="19">
        <v>6287.2799999999897</v>
      </c>
      <c r="O151" s="17">
        <v>33.999999999999901</v>
      </c>
      <c r="P151" s="17" t="s">
        <v>26</v>
      </c>
      <c r="Q151" s="17">
        <v>12</v>
      </c>
      <c r="R151" s="17" t="s">
        <v>27</v>
      </c>
      <c r="S151" s="14" t="str">
        <f t="shared" si="2"/>
        <v>Week 1</v>
      </c>
    </row>
    <row r="152" spans="1:19" x14ac:dyDescent="0.3">
      <c r="A152" s="8" t="s">
        <v>365</v>
      </c>
      <c r="B152" s="9">
        <v>43074</v>
      </c>
      <c r="C152" s="10" t="s">
        <v>90</v>
      </c>
      <c r="D152" s="10" t="s">
        <v>21</v>
      </c>
      <c r="E152" s="10" t="s">
        <v>284</v>
      </c>
      <c r="F152" s="11">
        <v>6</v>
      </c>
      <c r="G152" s="12">
        <v>1152.4000000000001</v>
      </c>
      <c r="H152" s="12">
        <v>6914.4000000000005</v>
      </c>
      <c r="I152" s="13">
        <v>576.20000000000005</v>
      </c>
      <c r="J152" s="10" t="s">
        <v>54</v>
      </c>
      <c r="K152" s="10" t="s">
        <v>55</v>
      </c>
      <c r="L152" s="10" t="s">
        <v>56</v>
      </c>
      <c r="M152" s="12">
        <v>3457.2</v>
      </c>
      <c r="N152" s="12">
        <v>3457.2</v>
      </c>
      <c r="O152" s="10">
        <v>50</v>
      </c>
      <c r="P152" s="10" t="s">
        <v>26</v>
      </c>
      <c r="Q152" s="10">
        <v>12</v>
      </c>
      <c r="R152" s="10" t="s">
        <v>27</v>
      </c>
      <c r="S152" s="14" t="str">
        <f t="shared" si="2"/>
        <v>Week 1</v>
      </c>
    </row>
    <row r="153" spans="1:19" x14ac:dyDescent="0.3">
      <c r="A153" s="15" t="s">
        <v>366</v>
      </c>
      <c r="B153" s="16">
        <v>43074</v>
      </c>
      <c r="C153" s="17" t="s">
        <v>367</v>
      </c>
      <c r="D153" s="17" t="s">
        <v>21</v>
      </c>
      <c r="E153" s="17" t="s">
        <v>120</v>
      </c>
      <c r="F153" s="18">
        <v>6</v>
      </c>
      <c r="G153" s="19">
        <v>6277.9</v>
      </c>
      <c r="H153" s="19">
        <v>37667.399999999994</v>
      </c>
      <c r="I153" s="20">
        <v>4959.5410000000002</v>
      </c>
      <c r="J153" s="17" t="s">
        <v>116</v>
      </c>
      <c r="K153" s="17" t="s">
        <v>117</v>
      </c>
      <c r="L153" s="17" t="s">
        <v>40</v>
      </c>
      <c r="M153" s="19">
        <v>29757.245999999999</v>
      </c>
      <c r="N153" s="19">
        <v>7910.1539999999904</v>
      </c>
      <c r="O153" s="17">
        <v>20.999999999999901</v>
      </c>
      <c r="P153" s="17" t="s">
        <v>26</v>
      </c>
      <c r="Q153" s="17">
        <v>12</v>
      </c>
      <c r="R153" s="17" t="s">
        <v>27</v>
      </c>
      <c r="S153" s="14" t="str">
        <f t="shared" si="2"/>
        <v>Week 1</v>
      </c>
    </row>
    <row r="154" spans="1:19" x14ac:dyDescent="0.3">
      <c r="A154" s="8" t="s">
        <v>368</v>
      </c>
      <c r="B154" s="9">
        <v>43074</v>
      </c>
      <c r="C154" s="10" t="s">
        <v>369</v>
      </c>
      <c r="D154" s="10" t="s">
        <v>21</v>
      </c>
      <c r="E154" s="10" t="s">
        <v>326</v>
      </c>
      <c r="F154" s="11">
        <v>7</v>
      </c>
      <c r="G154" s="12">
        <v>2653.2</v>
      </c>
      <c r="H154" s="12">
        <v>18572.399999999998</v>
      </c>
      <c r="I154" s="13">
        <v>1485.7919999999999</v>
      </c>
      <c r="J154" s="10" t="s">
        <v>32</v>
      </c>
      <c r="K154" s="10" t="s">
        <v>33</v>
      </c>
      <c r="L154" s="10" t="s">
        <v>34</v>
      </c>
      <c r="M154" s="12">
        <v>10400.544</v>
      </c>
      <c r="N154" s="12">
        <v>8171.8559999999998</v>
      </c>
      <c r="O154" s="10">
        <v>43.999999999999901</v>
      </c>
      <c r="P154" s="10" t="s">
        <v>26</v>
      </c>
      <c r="Q154" s="10">
        <v>12</v>
      </c>
      <c r="R154" s="10" t="s">
        <v>27</v>
      </c>
      <c r="S154" s="14" t="str">
        <f t="shared" si="2"/>
        <v>Week 1</v>
      </c>
    </row>
    <row r="155" spans="1:19" x14ac:dyDescent="0.3">
      <c r="A155" s="15" t="s">
        <v>370</v>
      </c>
      <c r="B155" s="16">
        <v>43074</v>
      </c>
      <c r="C155" s="17" t="s">
        <v>371</v>
      </c>
      <c r="D155" s="17" t="s">
        <v>21</v>
      </c>
      <c r="E155" s="17" t="s">
        <v>103</v>
      </c>
      <c r="F155" s="18">
        <v>7</v>
      </c>
      <c r="G155" s="19">
        <v>2673.3</v>
      </c>
      <c r="H155" s="19">
        <v>18713.100000000002</v>
      </c>
      <c r="I155" s="20">
        <v>2138.64</v>
      </c>
      <c r="J155" s="17" t="s">
        <v>23</v>
      </c>
      <c r="K155" s="17" t="s">
        <v>24</v>
      </c>
      <c r="L155" s="17" t="s">
        <v>25</v>
      </c>
      <c r="M155" s="19">
        <v>14970.48</v>
      </c>
      <c r="N155" s="19">
        <v>3742.6199999999899</v>
      </c>
      <c r="O155" s="17">
        <v>19.999999999999901</v>
      </c>
      <c r="P155" s="17" t="s">
        <v>26</v>
      </c>
      <c r="Q155" s="17">
        <v>12</v>
      </c>
      <c r="R155" s="17" t="s">
        <v>27</v>
      </c>
      <c r="S155" s="14" t="str">
        <f t="shared" si="2"/>
        <v>Week 1</v>
      </c>
    </row>
    <row r="156" spans="1:19" x14ac:dyDescent="0.3">
      <c r="A156" s="8" t="s">
        <v>372</v>
      </c>
      <c r="B156" s="9">
        <v>43074</v>
      </c>
      <c r="C156" s="10" t="s">
        <v>217</v>
      </c>
      <c r="D156" s="10" t="s">
        <v>43</v>
      </c>
      <c r="E156" s="10" t="s">
        <v>37</v>
      </c>
      <c r="F156" s="11">
        <v>9</v>
      </c>
      <c r="G156" s="12">
        <v>2512.5</v>
      </c>
      <c r="H156" s="12">
        <v>22612.5</v>
      </c>
      <c r="I156" s="13">
        <v>1231.125</v>
      </c>
      <c r="J156" s="10" t="s">
        <v>225</v>
      </c>
      <c r="K156" s="10" t="s">
        <v>226</v>
      </c>
      <c r="L156" s="10" t="s">
        <v>25</v>
      </c>
      <c r="M156" s="12">
        <v>11080.125</v>
      </c>
      <c r="N156" s="12">
        <v>11532.375</v>
      </c>
      <c r="O156" s="10">
        <v>51</v>
      </c>
      <c r="P156" s="10" t="s">
        <v>26</v>
      </c>
      <c r="Q156" s="10">
        <v>12</v>
      </c>
      <c r="R156" s="10" t="s">
        <v>27</v>
      </c>
      <c r="S156" s="14" t="str">
        <f t="shared" si="2"/>
        <v>Week 1</v>
      </c>
    </row>
    <row r="157" spans="1:19" x14ac:dyDescent="0.3">
      <c r="A157" s="15" t="s">
        <v>373</v>
      </c>
      <c r="B157" s="16">
        <v>43074</v>
      </c>
      <c r="C157" s="17" t="s">
        <v>374</v>
      </c>
      <c r="D157" s="17" t="s">
        <v>30</v>
      </c>
      <c r="E157" s="17" t="s">
        <v>167</v>
      </c>
      <c r="F157" s="18">
        <v>8</v>
      </c>
      <c r="G157" s="19">
        <v>1051.9000000000001</v>
      </c>
      <c r="H157" s="19">
        <v>8415.2000000000007</v>
      </c>
      <c r="I157" s="20">
        <v>715.29200000000003</v>
      </c>
      <c r="J157" s="17" t="s">
        <v>38</v>
      </c>
      <c r="K157" s="17" t="s">
        <v>39</v>
      </c>
      <c r="L157" s="17" t="s">
        <v>40</v>
      </c>
      <c r="M157" s="19">
        <v>5722.3360000000002</v>
      </c>
      <c r="N157" s="19">
        <v>2692.86399999999</v>
      </c>
      <c r="O157" s="17">
        <v>31.999999999999901</v>
      </c>
      <c r="P157" s="17" t="s">
        <v>26</v>
      </c>
      <c r="Q157" s="17">
        <v>12</v>
      </c>
      <c r="R157" s="17" t="s">
        <v>27</v>
      </c>
      <c r="S157" s="14" t="str">
        <f t="shared" si="2"/>
        <v>Week 1</v>
      </c>
    </row>
    <row r="158" spans="1:19" x14ac:dyDescent="0.3">
      <c r="A158" s="8" t="s">
        <v>375</v>
      </c>
      <c r="B158" s="9">
        <v>43074</v>
      </c>
      <c r="C158" s="10" t="s">
        <v>68</v>
      </c>
      <c r="D158" s="10" t="s">
        <v>21</v>
      </c>
      <c r="E158" s="10" t="s">
        <v>191</v>
      </c>
      <c r="F158" s="11">
        <v>8</v>
      </c>
      <c r="G158" s="12">
        <v>1855.9</v>
      </c>
      <c r="H158" s="12">
        <v>14847.2</v>
      </c>
      <c r="I158" s="13">
        <v>1410.4839999999999</v>
      </c>
      <c r="J158" s="10" t="s">
        <v>23</v>
      </c>
      <c r="K158" s="10" t="s">
        <v>24</v>
      </c>
      <c r="L158" s="10" t="s">
        <v>25</v>
      </c>
      <c r="M158" s="12">
        <v>11283.871999999999</v>
      </c>
      <c r="N158" s="12">
        <v>3563.32799999999</v>
      </c>
      <c r="O158" s="10">
        <v>23.999999999999901</v>
      </c>
      <c r="P158" s="10" t="s">
        <v>26</v>
      </c>
      <c r="Q158" s="10">
        <v>12</v>
      </c>
      <c r="R158" s="10" t="s">
        <v>27</v>
      </c>
      <c r="S158" s="14" t="str">
        <f t="shared" si="2"/>
        <v>Week 1</v>
      </c>
    </row>
    <row r="159" spans="1:19" x14ac:dyDescent="0.3">
      <c r="A159" s="15" t="s">
        <v>376</v>
      </c>
      <c r="B159" s="16">
        <v>43074</v>
      </c>
      <c r="C159" s="17" t="s">
        <v>109</v>
      </c>
      <c r="D159" s="17" t="s">
        <v>21</v>
      </c>
      <c r="E159" s="17" t="s">
        <v>197</v>
      </c>
      <c r="F159" s="18">
        <v>9</v>
      </c>
      <c r="G159" s="19">
        <v>1273</v>
      </c>
      <c r="H159" s="19">
        <v>11457</v>
      </c>
      <c r="I159" s="20">
        <v>1069.32</v>
      </c>
      <c r="J159" s="17" t="s">
        <v>32</v>
      </c>
      <c r="K159" s="17" t="s">
        <v>33</v>
      </c>
      <c r="L159" s="17" t="s">
        <v>34</v>
      </c>
      <c r="M159" s="19">
        <v>9623.8799999999992</v>
      </c>
      <c r="N159" s="19">
        <v>1833.12</v>
      </c>
      <c r="O159" s="17">
        <v>16</v>
      </c>
      <c r="P159" s="17" t="s">
        <v>26</v>
      </c>
      <c r="Q159" s="17">
        <v>12</v>
      </c>
      <c r="R159" s="17" t="s">
        <v>27</v>
      </c>
      <c r="S159" s="14" t="str">
        <f t="shared" si="2"/>
        <v>Week 1</v>
      </c>
    </row>
    <row r="160" spans="1:19" x14ac:dyDescent="0.3">
      <c r="A160" s="8" t="s">
        <v>377</v>
      </c>
      <c r="B160" s="9">
        <v>43074</v>
      </c>
      <c r="C160" s="10" t="s">
        <v>378</v>
      </c>
      <c r="D160" s="10" t="s">
        <v>30</v>
      </c>
      <c r="E160" s="10" t="s">
        <v>31</v>
      </c>
      <c r="F160" s="11">
        <v>9</v>
      </c>
      <c r="G160" s="12">
        <v>2432.1</v>
      </c>
      <c r="H160" s="12">
        <v>21888.899999999998</v>
      </c>
      <c r="I160" s="13">
        <v>1556.5439999999901</v>
      </c>
      <c r="J160" s="10" t="s">
        <v>54</v>
      </c>
      <c r="K160" s="10" t="s">
        <v>55</v>
      </c>
      <c r="L160" s="10" t="s">
        <v>56</v>
      </c>
      <c r="M160" s="12">
        <v>14008.895999999901</v>
      </c>
      <c r="N160" s="12">
        <v>7880.0039999999899</v>
      </c>
      <c r="O160" s="10">
        <v>36</v>
      </c>
      <c r="P160" s="10" t="s">
        <v>26</v>
      </c>
      <c r="Q160" s="10">
        <v>12</v>
      </c>
      <c r="R160" s="10" t="s">
        <v>27</v>
      </c>
      <c r="S160" s="14" t="str">
        <f t="shared" si="2"/>
        <v>Week 1</v>
      </c>
    </row>
    <row r="161" spans="1:19" x14ac:dyDescent="0.3">
      <c r="A161" s="15" t="s">
        <v>379</v>
      </c>
      <c r="B161" s="16">
        <v>43074</v>
      </c>
      <c r="C161" s="17" t="s">
        <v>380</v>
      </c>
      <c r="D161" s="17" t="s">
        <v>21</v>
      </c>
      <c r="E161" s="17" t="s">
        <v>31</v>
      </c>
      <c r="F161" s="18">
        <v>12</v>
      </c>
      <c r="G161" s="19">
        <v>1139</v>
      </c>
      <c r="H161" s="19">
        <v>13668</v>
      </c>
      <c r="I161" s="20">
        <v>728.96</v>
      </c>
      <c r="J161" s="17" t="s">
        <v>23</v>
      </c>
      <c r="K161" s="17" t="s">
        <v>24</v>
      </c>
      <c r="L161" s="17" t="s">
        <v>25</v>
      </c>
      <c r="M161" s="19">
        <v>8747.52</v>
      </c>
      <c r="N161" s="19">
        <v>4920.4799999999996</v>
      </c>
      <c r="O161" s="17">
        <v>36</v>
      </c>
      <c r="P161" s="17" t="s">
        <v>26</v>
      </c>
      <c r="Q161" s="17">
        <v>12</v>
      </c>
      <c r="R161" s="17" t="s">
        <v>27</v>
      </c>
      <c r="S161" s="14" t="str">
        <f t="shared" si="2"/>
        <v>Week 1</v>
      </c>
    </row>
    <row r="162" spans="1:19" x14ac:dyDescent="0.3">
      <c r="A162" s="8" t="s">
        <v>381</v>
      </c>
      <c r="B162" s="9">
        <v>43074</v>
      </c>
      <c r="C162" s="10" t="s">
        <v>288</v>
      </c>
      <c r="D162" s="10" t="s">
        <v>21</v>
      </c>
      <c r="E162" s="10" t="s">
        <v>91</v>
      </c>
      <c r="F162" s="11">
        <v>6</v>
      </c>
      <c r="G162" s="12">
        <v>167.5</v>
      </c>
      <c r="H162" s="12">
        <v>1005</v>
      </c>
      <c r="I162" s="13">
        <v>125.625</v>
      </c>
      <c r="J162" s="10" t="s">
        <v>83</v>
      </c>
      <c r="K162" s="10" t="s">
        <v>84</v>
      </c>
      <c r="L162" s="10" t="s">
        <v>34</v>
      </c>
      <c r="M162" s="12">
        <v>753.75</v>
      </c>
      <c r="N162" s="12">
        <v>251.25</v>
      </c>
      <c r="O162" s="10">
        <v>25</v>
      </c>
      <c r="P162" s="10" t="s">
        <v>26</v>
      </c>
      <c r="Q162" s="10">
        <v>12</v>
      </c>
      <c r="R162" s="10" t="s">
        <v>27</v>
      </c>
      <c r="S162" s="14" t="str">
        <f t="shared" si="2"/>
        <v>Week 1</v>
      </c>
    </row>
    <row r="163" spans="1:19" x14ac:dyDescent="0.3">
      <c r="A163" s="15" t="s">
        <v>382</v>
      </c>
      <c r="B163" s="16">
        <v>43074</v>
      </c>
      <c r="C163" s="17" t="s">
        <v>275</v>
      </c>
      <c r="D163" s="17" t="s">
        <v>43</v>
      </c>
      <c r="E163" s="17" t="s">
        <v>44</v>
      </c>
      <c r="F163" s="18">
        <v>11</v>
      </c>
      <c r="G163" s="19">
        <v>221.1</v>
      </c>
      <c r="H163" s="19">
        <v>2432.1</v>
      </c>
      <c r="I163" s="20">
        <v>108.339</v>
      </c>
      <c r="J163" s="17" t="s">
        <v>38</v>
      </c>
      <c r="K163" s="17" t="s">
        <v>39</v>
      </c>
      <c r="L163" s="17" t="s">
        <v>40</v>
      </c>
      <c r="M163" s="19">
        <v>1191.729</v>
      </c>
      <c r="N163" s="19">
        <v>1240.3709999999901</v>
      </c>
      <c r="O163" s="17">
        <v>51</v>
      </c>
      <c r="P163" s="17" t="s">
        <v>26</v>
      </c>
      <c r="Q163" s="17">
        <v>12</v>
      </c>
      <c r="R163" s="17" t="s">
        <v>27</v>
      </c>
      <c r="S163" s="14" t="str">
        <f t="shared" si="2"/>
        <v>Week 1</v>
      </c>
    </row>
    <row r="164" spans="1:19" x14ac:dyDescent="0.3">
      <c r="A164" s="8" t="s">
        <v>383</v>
      </c>
      <c r="B164" s="9">
        <v>43074</v>
      </c>
      <c r="C164" s="10" t="s">
        <v>384</v>
      </c>
      <c r="D164" s="10" t="s">
        <v>21</v>
      </c>
      <c r="E164" s="10" t="s">
        <v>252</v>
      </c>
      <c r="F164" s="11">
        <v>5</v>
      </c>
      <c r="G164" s="12">
        <v>3517.5</v>
      </c>
      <c r="H164" s="12">
        <v>17587.5</v>
      </c>
      <c r="I164" s="13">
        <v>2778.8249999999998</v>
      </c>
      <c r="J164" s="10" t="s">
        <v>83</v>
      </c>
      <c r="K164" s="10" t="s">
        <v>84</v>
      </c>
      <c r="L164" s="10" t="s">
        <v>34</v>
      </c>
      <c r="M164" s="12">
        <v>13894.125</v>
      </c>
      <c r="N164" s="12">
        <v>3693.37499999999</v>
      </c>
      <c r="O164" s="10">
        <v>20.999999999999901</v>
      </c>
      <c r="P164" s="10" t="s">
        <v>26</v>
      </c>
      <c r="Q164" s="10">
        <v>12</v>
      </c>
      <c r="R164" s="10" t="s">
        <v>27</v>
      </c>
      <c r="S164" s="14" t="str">
        <f t="shared" si="2"/>
        <v>Week 1</v>
      </c>
    </row>
    <row r="165" spans="1:19" x14ac:dyDescent="0.3">
      <c r="A165" s="15" t="s">
        <v>385</v>
      </c>
      <c r="B165" s="16">
        <v>43074</v>
      </c>
      <c r="C165" s="17" t="s">
        <v>335</v>
      </c>
      <c r="D165" s="17" t="s">
        <v>21</v>
      </c>
      <c r="E165" s="17" t="s">
        <v>326</v>
      </c>
      <c r="F165" s="18">
        <v>5</v>
      </c>
      <c r="G165" s="19">
        <v>1025.0999999999999</v>
      </c>
      <c r="H165" s="19">
        <v>5125.5</v>
      </c>
      <c r="I165" s="20">
        <v>420.291</v>
      </c>
      <c r="J165" s="17" t="s">
        <v>386</v>
      </c>
      <c r="K165" s="17" t="s">
        <v>387</v>
      </c>
      <c r="L165" s="17" t="s">
        <v>56</v>
      </c>
      <c r="M165" s="19">
        <v>2101.4549999999999</v>
      </c>
      <c r="N165" s="19">
        <v>3024.0450000000001</v>
      </c>
      <c r="O165" s="17">
        <v>59</v>
      </c>
      <c r="P165" s="17" t="s">
        <v>26</v>
      </c>
      <c r="Q165" s="17">
        <v>12</v>
      </c>
      <c r="R165" s="17" t="s">
        <v>27</v>
      </c>
      <c r="S165" s="14" t="str">
        <f t="shared" si="2"/>
        <v>Week 1</v>
      </c>
    </row>
    <row r="166" spans="1:19" x14ac:dyDescent="0.3">
      <c r="A166" s="8" t="s">
        <v>388</v>
      </c>
      <c r="B166" s="9">
        <v>43074</v>
      </c>
      <c r="C166" s="10" t="s">
        <v>389</v>
      </c>
      <c r="D166" s="10" t="s">
        <v>30</v>
      </c>
      <c r="E166" s="10" t="s">
        <v>49</v>
      </c>
      <c r="F166" s="11">
        <v>7</v>
      </c>
      <c r="G166" s="12">
        <v>1239.5</v>
      </c>
      <c r="H166" s="12">
        <v>8676.5</v>
      </c>
      <c r="I166" s="13">
        <v>842.86</v>
      </c>
      <c r="J166" s="10" t="s">
        <v>121</v>
      </c>
      <c r="K166" s="10" t="s">
        <v>122</v>
      </c>
      <c r="L166" s="10" t="s">
        <v>34</v>
      </c>
      <c r="M166" s="12">
        <v>5900.02</v>
      </c>
      <c r="N166" s="12">
        <v>2776.47999999999</v>
      </c>
      <c r="O166" s="10">
        <v>31.999999999999901</v>
      </c>
      <c r="P166" s="10" t="s">
        <v>26</v>
      </c>
      <c r="Q166" s="10">
        <v>12</v>
      </c>
      <c r="R166" s="10" t="s">
        <v>27</v>
      </c>
      <c r="S166" s="14" t="str">
        <f t="shared" si="2"/>
        <v>Week 1</v>
      </c>
    </row>
    <row r="167" spans="1:19" x14ac:dyDescent="0.3">
      <c r="A167" s="15" t="s">
        <v>390</v>
      </c>
      <c r="B167" s="16">
        <v>43074</v>
      </c>
      <c r="C167" s="17" t="s">
        <v>371</v>
      </c>
      <c r="D167" s="17" t="s">
        <v>30</v>
      </c>
      <c r="E167" s="17" t="s">
        <v>62</v>
      </c>
      <c r="F167" s="18">
        <v>5</v>
      </c>
      <c r="G167" s="19">
        <v>1051.9000000000001</v>
      </c>
      <c r="H167" s="19">
        <v>5259.5</v>
      </c>
      <c r="I167" s="20">
        <v>494.39299999999997</v>
      </c>
      <c r="J167" s="17" t="s">
        <v>23</v>
      </c>
      <c r="K167" s="17" t="s">
        <v>24</v>
      </c>
      <c r="L167" s="17" t="s">
        <v>25</v>
      </c>
      <c r="M167" s="19">
        <v>2471.9650000000001</v>
      </c>
      <c r="N167" s="19">
        <v>2787.5349999999999</v>
      </c>
      <c r="O167" s="17">
        <v>53</v>
      </c>
      <c r="P167" s="17" t="s">
        <v>26</v>
      </c>
      <c r="Q167" s="17">
        <v>12</v>
      </c>
      <c r="R167" s="17" t="s">
        <v>27</v>
      </c>
      <c r="S167" s="14" t="str">
        <f t="shared" si="2"/>
        <v>Week 1</v>
      </c>
    </row>
    <row r="168" spans="1:19" x14ac:dyDescent="0.3">
      <c r="A168" s="8" t="s">
        <v>391</v>
      </c>
      <c r="B168" s="9">
        <v>43074</v>
      </c>
      <c r="C168" s="10" t="s">
        <v>162</v>
      </c>
      <c r="D168" s="10" t="s">
        <v>21</v>
      </c>
      <c r="E168" s="10" t="s">
        <v>103</v>
      </c>
      <c r="F168" s="11">
        <v>12</v>
      </c>
      <c r="G168" s="12">
        <v>1708.5</v>
      </c>
      <c r="H168" s="12">
        <v>20502</v>
      </c>
      <c r="I168" s="13">
        <v>1349.7149999999999</v>
      </c>
      <c r="J168" s="10" t="s">
        <v>104</v>
      </c>
      <c r="K168" s="10" t="s">
        <v>105</v>
      </c>
      <c r="L168" s="10" t="s">
        <v>25</v>
      </c>
      <c r="M168" s="12">
        <v>16196.58</v>
      </c>
      <c r="N168" s="12">
        <v>4305.4199999999901</v>
      </c>
      <c r="O168" s="10">
        <v>20.999999999999901</v>
      </c>
      <c r="P168" s="10" t="s">
        <v>26</v>
      </c>
      <c r="Q168" s="10">
        <v>12</v>
      </c>
      <c r="R168" s="10" t="s">
        <v>27</v>
      </c>
      <c r="S168" s="14" t="str">
        <f t="shared" si="2"/>
        <v>Week 1</v>
      </c>
    </row>
    <row r="169" spans="1:19" x14ac:dyDescent="0.3">
      <c r="A169" s="15" t="s">
        <v>392</v>
      </c>
      <c r="B169" s="16">
        <v>43074</v>
      </c>
      <c r="C169" s="17" t="s">
        <v>384</v>
      </c>
      <c r="D169" s="17" t="s">
        <v>30</v>
      </c>
      <c r="E169" s="17" t="s">
        <v>326</v>
      </c>
      <c r="F169" s="18">
        <v>7</v>
      </c>
      <c r="G169" s="19">
        <v>6030</v>
      </c>
      <c r="H169" s="19">
        <v>42210</v>
      </c>
      <c r="I169" s="20">
        <v>2894.4</v>
      </c>
      <c r="J169" s="17" t="s">
        <v>393</v>
      </c>
      <c r="K169" s="17" t="s">
        <v>394</v>
      </c>
      <c r="L169" s="17" t="s">
        <v>56</v>
      </c>
      <c r="M169" s="19">
        <v>20260.8</v>
      </c>
      <c r="N169" s="19">
        <v>21949.200000000001</v>
      </c>
      <c r="O169" s="17">
        <v>52</v>
      </c>
      <c r="P169" s="17" t="s">
        <v>26</v>
      </c>
      <c r="Q169" s="17">
        <v>12</v>
      </c>
      <c r="R169" s="17" t="s">
        <v>27</v>
      </c>
      <c r="S169" s="14" t="str">
        <f t="shared" si="2"/>
        <v>Week 1</v>
      </c>
    </row>
    <row r="170" spans="1:19" x14ac:dyDescent="0.3">
      <c r="A170" s="8" t="s">
        <v>395</v>
      </c>
      <c r="B170" s="9">
        <v>43074</v>
      </c>
      <c r="C170" s="10" t="s">
        <v>201</v>
      </c>
      <c r="D170" s="10" t="s">
        <v>21</v>
      </c>
      <c r="E170" s="10" t="s">
        <v>326</v>
      </c>
      <c r="F170" s="11">
        <v>7</v>
      </c>
      <c r="G170" s="12">
        <v>2626.4</v>
      </c>
      <c r="H170" s="12">
        <v>18384.8</v>
      </c>
      <c r="I170" s="13">
        <v>1339.4639999999999</v>
      </c>
      <c r="J170" s="10" t="s">
        <v>177</v>
      </c>
      <c r="K170" s="10" t="s">
        <v>178</v>
      </c>
      <c r="L170" s="10" t="s">
        <v>40</v>
      </c>
      <c r="M170" s="12">
        <v>9376.2479999999996</v>
      </c>
      <c r="N170" s="12">
        <v>9008.5519999999906</v>
      </c>
      <c r="O170" s="10">
        <v>48.999999999999901</v>
      </c>
      <c r="P170" s="10" t="s">
        <v>26</v>
      </c>
      <c r="Q170" s="10">
        <v>12</v>
      </c>
      <c r="R170" s="10" t="s">
        <v>27</v>
      </c>
      <c r="S170" s="14" t="str">
        <f t="shared" si="2"/>
        <v>Week 1</v>
      </c>
    </row>
    <row r="171" spans="1:19" x14ac:dyDescent="0.3">
      <c r="A171" s="15" t="s">
        <v>396</v>
      </c>
      <c r="B171" s="16">
        <v>43074</v>
      </c>
      <c r="C171" s="17" t="s">
        <v>314</v>
      </c>
      <c r="D171" s="17" t="s">
        <v>43</v>
      </c>
      <c r="E171" s="17" t="s">
        <v>31</v>
      </c>
      <c r="F171" s="18">
        <v>8</v>
      </c>
      <c r="G171" s="19">
        <v>3986.5</v>
      </c>
      <c r="H171" s="19">
        <v>31892</v>
      </c>
      <c r="I171" s="20">
        <v>2152.71</v>
      </c>
      <c r="J171" s="17" t="s">
        <v>87</v>
      </c>
      <c r="K171" s="17" t="s">
        <v>88</v>
      </c>
      <c r="L171" s="17" t="s">
        <v>56</v>
      </c>
      <c r="M171" s="19">
        <v>17221.68</v>
      </c>
      <c r="N171" s="19">
        <v>14670.32</v>
      </c>
      <c r="O171" s="17">
        <v>46</v>
      </c>
      <c r="P171" s="17" t="s">
        <v>26</v>
      </c>
      <c r="Q171" s="17">
        <v>12</v>
      </c>
      <c r="R171" s="17" t="s">
        <v>27</v>
      </c>
      <c r="S171" s="14" t="str">
        <f t="shared" si="2"/>
        <v>Week 1</v>
      </c>
    </row>
    <row r="172" spans="1:19" x14ac:dyDescent="0.3">
      <c r="A172" s="8" t="s">
        <v>397</v>
      </c>
      <c r="B172" s="9">
        <v>43074</v>
      </c>
      <c r="C172" s="10" t="s">
        <v>347</v>
      </c>
      <c r="D172" s="10" t="s">
        <v>21</v>
      </c>
      <c r="E172" s="10" t="s">
        <v>93</v>
      </c>
      <c r="F172" s="11">
        <v>9</v>
      </c>
      <c r="G172" s="12">
        <v>998.3</v>
      </c>
      <c r="H172" s="12">
        <v>8984.6999999999989</v>
      </c>
      <c r="I172" s="13">
        <v>698.81</v>
      </c>
      <c r="J172" s="10" t="s">
        <v>54</v>
      </c>
      <c r="K172" s="10" t="s">
        <v>55</v>
      </c>
      <c r="L172" s="10" t="s">
        <v>56</v>
      </c>
      <c r="M172" s="12">
        <v>6289.29</v>
      </c>
      <c r="N172" s="12">
        <v>2695.41</v>
      </c>
      <c r="O172" s="10">
        <v>29.999999999999901</v>
      </c>
      <c r="P172" s="10" t="s">
        <v>26</v>
      </c>
      <c r="Q172" s="10">
        <v>12</v>
      </c>
      <c r="R172" s="10" t="s">
        <v>27</v>
      </c>
      <c r="S172" s="14" t="str">
        <f t="shared" si="2"/>
        <v>Week 1</v>
      </c>
    </row>
    <row r="173" spans="1:19" x14ac:dyDescent="0.3">
      <c r="A173" s="15" t="s">
        <v>398</v>
      </c>
      <c r="B173" s="16">
        <v>43074</v>
      </c>
      <c r="C173" s="17" t="s">
        <v>58</v>
      </c>
      <c r="D173" s="17" t="s">
        <v>21</v>
      </c>
      <c r="E173" s="17" t="s">
        <v>191</v>
      </c>
      <c r="F173" s="18">
        <v>7</v>
      </c>
      <c r="G173" s="19">
        <v>1246.2</v>
      </c>
      <c r="H173" s="19">
        <v>8723.4</v>
      </c>
      <c r="I173" s="20">
        <v>710.33399999999995</v>
      </c>
      <c r="J173" s="17" t="s">
        <v>38</v>
      </c>
      <c r="K173" s="17" t="s">
        <v>39</v>
      </c>
      <c r="L173" s="17" t="s">
        <v>40</v>
      </c>
      <c r="M173" s="19">
        <v>4972.3379999999997</v>
      </c>
      <c r="N173" s="19">
        <v>3751.0619999999999</v>
      </c>
      <c r="O173" s="17">
        <v>43</v>
      </c>
      <c r="P173" s="17" t="s">
        <v>26</v>
      </c>
      <c r="Q173" s="17">
        <v>12</v>
      </c>
      <c r="R173" s="17" t="s">
        <v>27</v>
      </c>
      <c r="S173" s="14" t="str">
        <f t="shared" si="2"/>
        <v>Week 1</v>
      </c>
    </row>
    <row r="174" spans="1:19" x14ac:dyDescent="0.3">
      <c r="A174" s="8" t="s">
        <v>399</v>
      </c>
      <c r="B174" s="9">
        <v>43074</v>
      </c>
      <c r="C174" s="10" t="s">
        <v>182</v>
      </c>
      <c r="D174" s="10" t="s">
        <v>43</v>
      </c>
      <c r="E174" s="10" t="s">
        <v>93</v>
      </c>
      <c r="F174" s="11">
        <v>8</v>
      </c>
      <c r="G174" s="12">
        <v>5768.7</v>
      </c>
      <c r="H174" s="12">
        <v>46149.599999999999</v>
      </c>
      <c r="I174" s="13">
        <v>3922.7159999999999</v>
      </c>
      <c r="J174" s="10" t="s">
        <v>54</v>
      </c>
      <c r="K174" s="10" t="s">
        <v>55</v>
      </c>
      <c r="L174" s="10" t="s">
        <v>56</v>
      </c>
      <c r="M174" s="12">
        <v>31381.727999999999</v>
      </c>
      <c r="N174" s="12">
        <v>14767.871999999899</v>
      </c>
      <c r="O174" s="10">
        <v>31.999999999999901</v>
      </c>
      <c r="P174" s="10" t="s">
        <v>26</v>
      </c>
      <c r="Q174" s="10">
        <v>12</v>
      </c>
      <c r="R174" s="10" t="s">
        <v>27</v>
      </c>
      <c r="S174" s="14" t="str">
        <f t="shared" si="2"/>
        <v>Week 1</v>
      </c>
    </row>
    <row r="175" spans="1:19" x14ac:dyDescent="0.3">
      <c r="A175" s="15" t="s">
        <v>400</v>
      </c>
      <c r="B175" s="16">
        <v>43074</v>
      </c>
      <c r="C175" s="17" t="s">
        <v>82</v>
      </c>
      <c r="D175" s="17" t="s">
        <v>21</v>
      </c>
      <c r="E175" s="17" t="s">
        <v>62</v>
      </c>
      <c r="F175" s="18">
        <v>8</v>
      </c>
      <c r="G175" s="19">
        <v>1031.8</v>
      </c>
      <c r="H175" s="19">
        <v>8254.4</v>
      </c>
      <c r="I175" s="20">
        <v>443.67399999999998</v>
      </c>
      <c r="J175" s="17" t="s">
        <v>94</v>
      </c>
      <c r="K175" s="17" t="s">
        <v>95</v>
      </c>
      <c r="L175" s="17" t="s">
        <v>40</v>
      </c>
      <c r="M175" s="19">
        <v>3549.3919999999998</v>
      </c>
      <c r="N175" s="19">
        <v>4705.0079999999998</v>
      </c>
      <c r="O175" s="17">
        <v>56.999999999999901</v>
      </c>
      <c r="P175" s="17" t="s">
        <v>26</v>
      </c>
      <c r="Q175" s="17">
        <v>12</v>
      </c>
      <c r="R175" s="17" t="s">
        <v>27</v>
      </c>
      <c r="S175" s="14" t="str">
        <f t="shared" si="2"/>
        <v>Week 1</v>
      </c>
    </row>
    <row r="176" spans="1:19" x14ac:dyDescent="0.3">
      <c r="A176" s="8" t="s">
        <v>401</v>
      </c>
      <c r="B176" s="9">
        <v>43074</v>
      </c>
      <c r="C176" s="10" t="s">
        <v>402</v>
      </c>
      <c r="D176" s="10" t="s">
        <v>43</v>
      </c>
      <c r="E176" s="10" t="s">
        <v>306</v>
      </c>
      <c r="F176" s="11">
        <v>5</v>
      </c>
      <c r="G176" s="12">
        <v>6545.9</v>
      </c>
      <c r="H176" s="12">
        <v>32729.5</v>
      </c>
      <c r="I176" s="13">
        <v>4713.0479999999998</v>
      </c>
      <c r="J176" s="10" t="s">
        <v>218</v>
      </c>
      <c r="K176" s="10" t="s">
        <v>219</v>
      </c>
      <c r="L176" s="10" t="s">
        <v>34</v>
      </c>
      <c r="M176" s="12">
        <v>23565.2399999999</v>
      </c>
      <c r="N176" s="12">
        <v>9164.26</v>
      </c>
      <c r="O176" s="10">
        <v>28</v>
      </c>
      <c r="P176" s="10" t="s">
        <v>26</v>
      </c>
      <c r="Q176" s="10">
        <v>12</v>
      </c>
      <c r="R176" s="10" t="s">
        <v>27</v>
      </c>
      <c r="S176" s="14" t="str">
        <f t="shared" si="2"/>
        <v>Week 1</v>
      </c>
    </row>
    <row r="177" spans="1:19" x14ac:dyDescent="0.3">
      <c r="A177" s="15" t="s">
        <v>403</v>
      </c>
      <c r="B177" s="16">
        <v>43074</v>
      </c>
      <c r="C177" s="17" t="s">
        <v>404</v>
      </c>
      <c r="D177" s="17" t="s">
        <v>43</v>
      </c>
      <c r="E177" s="17" t="s">
        <v>62</v>
      </c>
      <c r="F177" s="18">
        <v>5</v>
      </c>
      <c r="G177" s="19">
        <v>3423.7</v>
      </c>
      <c r="H177" s="19">
        <v>17118.5</v>
      </c>
      <c r="I177" s="20">
        <v>2191.1680000000001</v>
      </c>
      <c r="J177" s="17" t="s">
        <v>405</v>
      </c>
      <c r="K177" s="17" t="s">
        <v>406</v>
      </c>
      <c r="L177" s="17" t="s">
        <v>56</v>
      </c>
      <c r="M177" s="19">
        <v>10955.84</v>
      </c>
      <c r="N177" s="19">
        <v>6162.66</v>
      </c>
      <c r="O177" s="17">
        <v>36</v>
      </c>
      <c r="P177" s="17" t="s">
        <v>26</v>
      </c>
      <c r="Q177" s="17">
        <v>12</v>
      </c>
      <c r="R177" s="17" t="s">
        <v>27</v>
      </c>
      <c r="S177" s="14" t="str">
        <f t="shared" si="2"/>
        <v>Week 1</v>
      </c>
    </row>
    <row r="178" spans="1:19" x14ac:dyDescent="0.3">
      <c r="A178" s="8" t="s">
        <v>407</v>
      </c>
      <c r="B178" s="9">
        <v>43074</v>
      </c>
      <c r="C178" s="10" t="s">
        <v>408</v>
      </c>
      <c r="D178" s="10" t="s">
        <v>30</v>
      </c>
      <c r="E178" s="10" t="s">
        <v>127</v>
      </c>
      <c r="F178" s="11">
        <v>7</v>
      </c>
      <c r="G178" s="12">
        <v>2318.1999999999998</v>
      </c>
      <c r="H178" s="12">
        <v>16227.399999999998</v>
      </c>
      <c r="I178" s="13">
        <v>1460.4659999999999</v>
      </c>
      <c r="J178" s="10" t="s">
        <v>54</v>
      </c>
      <c r="K178" s="10" t="s">
        <v>55</v>
      </c>
      <c r="L178" s="10" t="s">
        <v>56</v>
      </c>
      <c r="M178" s="12">
        <v>10223.262000000001</v>
      </c>
      <c r="N178" s="12">
        <v>6004.1379999999999</v>
      </c>
      <c r="O178" s="10">
        <v>37</v>
      </c>
      <c r="P178" s="10" t="s">
        <v>26</v>
      </c>
      <c r="Q178" s="10">
        <v>12</v>
      </c>
      <c r="R178" s="10" t="s">
        <v>27</v>
      </c>
      <c r="S178" s="14" t="str">
        <f t="shared" si="2"/>
        <v>Week 1</v>
      </c>
    </row>
    <row r="179" spans="1:19" x14ac:dyDescent="0.3">
      <c r="A179" s="15" t="s">
        <v>409</v>
      </c>
      <c r="B179" s="16">
        <v>43074</v>
      </c>
      <c r="C179" s="17" t="s">
        <v>53</v>
      </c>
      <c r="D179" s="17" t="s">
        <v>21</v>
      </c>
      <c r="E179" s="17" t="s">
        <v>127</v>
      </c>
      <c r="F179" s="18">
        <v>5</v>
      </c>
      <c r="G179" s="19">
        <v>1005</v>
      </c>
      <c r="H179" s="19">
        <v>5025</v>
      </c>
      <c r="I179" s="20">
        <v>592.94999999999902</v>
      </c>
      <c r="J179" s="17" t="s">
        <v>54</v>
      </c>
      <c r="K179" s="17" t="s">
        <v>55</v>
      </c>
      <c r="L179" s="17" t="s">
        <v>56</v>
      </c>
      <c r="M179" s="19">
        <v>2964.74999999999</v>
      </c>
      <c r="N179" s="19">
        <v>2060.25</v>
      </c>
      <c r="O179" s="17">
        <v>41</v>
      </c>
      <c r="P179" s="17" t="s">
        <v>26</v>
      </c>
      <c r="Q179" s="17">
        <v>12</v>
      </c>
      <c r="R179" s="17" t="s">
        <v>27</v>
      </c>
      <c r="S179" s="14" t="str">
        <f t="shared" si="2"/>
        <v>Week 1</v>
      </c>
    </row>
    <row r="180" spans="1:19" x14ac:dyDescent="0.3">
      <c r="A180" s="8" t="s">
        <v>410</v>
      </c>
      <c r="B180" s="9">
        <v>43074</v>
      </c>
      <c r="C180" s="10" t="s">
        <v>114</v>
      </c>
      <c r="D180" s="10" t="s">
        <v>30</v>
      </c>
      <c r="E180" s="10" t="s">
        <v>62</v>
      </c>
      <c r="F180" s="11">
        <v>8</v>
      </c>
      <c r="G180" s="12">
        <v>3999.9</v>
      </c>
      <c r="H180" s="12">
        <v>31999.200000000001</v>
      </c>
      <c r="I180" s="13">
        <v>3319.9169999999999</v>
      </c>
      <c r="J180" s="10" t="s">
        <v>411</v>
      </c>
      <c r="K180" s="10" t="s">
        <v>412</v>
      </c>
      <c r="L180" s="10" t="s">
        <v>56</v>
      </c>
      <c r="M180" s="12">
        <v>26559.335999999999</v>
      </c>
      <c r="N180" s="12">
        <v>5439.8639999999996</v>
      </c>
      <c r="O180" s="10">
        <v>17</v>
      </c>
      <c r="P180" s="10" t="s">
        <v>26</v>
      </c>
      <c r="Q180" s="10">
        <v>12</v>
      </c>
      <c r="R180" s="10" t="s">
        <v>27</v>
      </c>
      <c r="S180" s="14" t="str">
        <f t="shared" si="2"/>
        <v>Week 1</v>
      </c>
    </row>
    <row r="181" spans="1:19" x14ac:dyDescent="0.3">
      <c r="A181" s="15" t="s">
        <v>413</v>
      </c>
      <c r="B181" s="16">
        <v>43074</v>
      </c>
      <c r="C181" s="17" t="s">
        <v>414</v>
      </c>
      <c r="D181" s="17" t="s">
        <v>30</v>
      </c>
      <c r="E181" s="17" t="s">
        <v>62</v>
      </c>
      <c r="F181" s="18">
        <v>11</v>
      </c>
      <c r="G181" s="19">
        <v>850.9</v>
      </c>
      <c r="H181" s="19">
        <v>9359.9</v>
      </c>
      <c r="I181" s="20">
        <v>714.75599999999997</v>
      </c>
      <c r="J181" s="17" t="s">
        <v>45</v>
      </c>
      <c r="K181" s="17" t="s">
        <v>46</v>
      </c>
      <c r="L181" s="17" t="s">
        <v>34</v>
      </c>
      <c r="M181" s="19">
        <v>7862.3159999999998</v>
      </c>
      <c r="N181" s="19">
        <v>1497.5839999999901</v>
      </c>
      <c r="O181" s="17">
        <v>15.999999999999901</v>
      </c>
      <c r="P181" s="17" t="s">
        <v>26</v>
      </c>
      <c r="Q181" s="17">
        <v>12</v>
      </c>
      <c r="R181" s="17" t="s">
        <v>27</v>
      </c>
      <c r="S181" s="14" t="str">
        <f t="shared" si="2"/>
        <v>Week 1</v>
      </c>
    </row>
    <row r="182" spans="1:19" x14ac:dyDescent="0.3">
      <c r="A182" s="8" t="s">
        <v>415</v>
      </c>
      <c r="B182" s="9">
        <v>43074</v>
      </c>
      <c r="C182" s="10" t="s">
        <v>416</v>
      </c>
      <c r="D182" s="10" t="s">
        <v>21</v>
      </c>
      <c r="E182" s="10" t="s">
        <v>37</v>
      </c>
      <c r="F182" s="11">
        <v>6</v>
      </c>
      <c r="G182" s="12">
        <v>2633.1</v>
      </c>
      <c r="H182" s="12">
        <v>15798.599999999999</v>
      </c>
      <c r="I182" s="13">
        <v>1079.5709999999999</v>
      </c>
      <c r="J182" s="10" t="s">
        <v>94</v>
      </c>
      <c r="K182" s="10" t="s">
        <v>95</v>
      </c>
      <c r="L182" s="10" t="s">
        <v>40</v>
      </c>
      <c r="M182" s="12">
        <v>6477.4259999999904</v>
      </c>
      <c r="N182" s="12">
        <v>9321.17399999999</v>
      </c>
      <c r="O182" s="10">
        <v>59</v>
      </c>
      <c r="P182" s="10" t="s">
        <v>26</v>
      </c>
      <c r="Q182" s="10">
        <v>12</v>
      </c>
      <c r="R182" s="10" t="s">
        <v>27</v>
      </c>
      <c r="S182" s="14" t="str">
        <f t="shared" si="2"/>
        <v>Week 1</v>
      </c>
    </row>
    <row r="183" spans="1:19" x14ac:dyDescent="0.3">
      <c r="A183" s="15" t="s">
        <v>417</v>
      </c>
      <c r="B183" s="16">
        <v>43074</v>
      </c>
      <c r="C183" s="17" t="s">
        <v>416</v>
      </c>
      <c r="D183" s="17" t="s">
        <v>30</v>
      </c>
      <c r="E183" s="17" t="s">
        <v>418</v>
      </c>
      <c r="F183" s="18">
        <v>10</v>
      </c>
      <c r="G183" s="19">
        <v>1815.7</v>
      </c>
      <c r="H183" s="19">
        <v>18157</v>
      </c>
      <c r="I183" s="20">
        <v>1525.1879999999901</v>
      </c>
      <c r="J183" s="17" t="s">
        <v>94</v>
      </c>
      <c r="K183" s="17" t="s">
        <v>95</v>
      </c>
      <c r="L183" s="17" t="s">
        <v>40</v>
      </c>
      <c r="M183" s="19">
        <v>15251.88</v>
      </c>
      <c r="N183" s="19">
        <v>2905.12</v>
      </c>
      <c r="O183" s="17">
        <v>16</v>
      </c>
      <c r="P183" s="17" t="s">
        <v>26</v>
      </c>
      <c r="Q183" s="17">
        <v>12</v>
      </c>
      <c r="R183" s="17" t="s">
        <v>27</v>
      </c>
      <c r="S183" s="14" t="str">
        <f t="shared" si="2"/>
        <v>Week 1</v>
      </c>
    </row>
    <row r="184" spans="1:19" x14ac:dyDescent="0.3">
      <c r="A184" s="8" t="s">
        <v>419</v>
      </c>
      <c r="B184" s="9">
        <v>43074</v>
      </c>
      <c r="C184" s="10" t="s">
        <v>239</v>
      </c>
      <c r="D184" s="10" t="s">
        <v>30</v>
      </c>
      <c r="E184" s="10" t="s">
        <v>93</v>
      </c>
      <c r="F184" s="11">
        <v>8</v>
      </c>
      <c r="G184" s="12">
        <v>1118.9000000000001</v>
      </c>
      <c r="H184" s="12">
        <v>8951.2000000000007</v>
      </c>
      <c r="I184" s="13">
        <v>469.93799999999999</v>
      </c>
      <c r="J184" s="10" t="s">
        <v>177</v>
      </c>
      <c r="K184" s="10" t="s">
        <v>178</v>
      </c>
      <c r="L184" s="10" t="s">
        <v>40</v>
      </c>
      <c r="M184" s="12">
        <v>3759.5039999999999</v>
      </c>
      <c r="N184" s="12">
        <v>5191.6959999999999</v>
      </c>
      <c r="O184" s="10">
        <v>57.999999999999901</v>
      </c>
      <c r="P184" s="10" t="s">
        <v>26</v>
      </c>
      <c r="Q184" s="10">
        <v>12</v>
      </c>
      <c r="R184" s="10" t="s">
        <v>27</v>
      </c>
      <c r="S184" s="14" t="str">
        <f t="shared" si="2"/>
        <v>Week 1</v>
      </c>
    </row>
    <row r="185" spans="1:19" x14ac:dyDescent="0.3">
      <c r="A185" s="15" t="s">
        <v>420</v>
      </c>
      <c r="B185" s="16">
        <v>43074</v>
      </c>
      <c r="C185" s="17" t="s">
        <v>389</v>
      </c>
      <c r="D185" s="17" t="s">
        <v>21</v>
      </c>
      <c r="E185" s="17" t="s">
        <v>265</v>
      </c>
      <c r="F185" s="18">
        <v>5</v>
      </c>
      <c r="G185" s="19">
        <v>1809</v>
      </c>
      <c r="H185" s="19">
        <v>9045</v>
      </c>
      <c r="I185" s="20">
        <v>1465.29</v>
      </c>
      <c r="J185" s="17" t="s">
        <v>212</v>
      </c>
      <c r="K185" s="17" t="s">
        <v>213</v>
      </c>
      <c r="L185" s="17" t="s">
        <v>34</v>
      </c>
      <c r="M185" s="19">
        <v>7326.45</v>
      </c>
      <c r="N185" s="19">
        <v>1718.54999999999</v>
      </c>
      <c r="O185" s="17">
        <v>18.999999999999901</v>
      </c>
      <c r="P185" s="17" t="s">
        <v>26</v>
      </c>
      <c r="Q185" s="17">
        <v>12</v>
      </c>
      <c r="R185" s="17" t="s">
        <v>27</v>
      </c>
      <c r="S185" s="14" t="str">
        <f t="shared" si="2"/>
        <v>Week 1</v>
      </c>
    </row>
    <row r="186" spans="1:19" x14ac:dyDescent="0.3">
      <c r="A186" s="8" t="s">
        <v>421</v>
      </c>
      <c r="B186" s="9">
        <v>43074</v>
      </c>
      <c r="C186" s="10" t="s">
        <v>66</v>
      </c>
      <c r="D186" s="10" t="s">
        <v>30</v>
      </c>
      <c r="E186" s="10" t="s">
        <v>91</v>
      </c>
      <c r="F186" s="11">
        <v>9</v>
      </c>
      <c r="G186" s="12">
        <v>2485.6999999999998</v>
      </c>
      <c r="H186" s="12">
        <v>22371.3</v>
      </c>
      <c r="I186" s="13">
        <v>1242.8499999999999</v>
      </c>
      <c r="J186" s="10" t="s">
        <v>38</v>
      </c>
      <c r="K186" s="10" t="s">
        <v>39</v>
      </c>
      <c r="L186" s="10" t="s">
        <v>40</v>
      </c>
      <c r="M186" s="12">
        <v>11185.65</v>
      </c>
      <c r="N186" s="12">
        <v>11185.65</v>
      </c>
      <c r="O186" s="10">
        <v>50</v>
      </c>
      <c r="P186" s="10" t="s">
        <v>26</v>
      </c>
      <c r="Q186" s="10">
        <v>12</v>
      </c>
      <c r="R186" s="10" t="s">
        <v>27</v>
      </c>
      <c r="S186" s="14" t="str">
        <f t="shared" si="2"/>
        <v>Week 1</v>
      </c>
    </row>
    <row r="187" spans="1:19" x14ac:dyDescent="0.3">
      <c r="A187" s="15" t="s">
        <v>422</v>
      </c>
      <c r="B187" s="16">
        <v>43074</v>
      </c>
      <c r="C187" s="17" t="s">
        <v>142</v>
      </c>
      <c r="D187" s="17" t="s">
        <v>43</v>
      </c>
      <c r="E187" s="17" t="s">
        <v>191</v>
      </c>
      <c r="F187" s="18">
        <v>7</v>
      </c>
      <c r="G187" s="19">
        <v>1132.3</v>
      </c>
      <c r="H187" s="19">
        <v>7926.0999999999995</v>
      </c>
      <c r="I187" s="20">
        <v>962.45499999999902</v>
      </c>
      <c r="J187" s="17" t="s">
        <v>38</v>
      </c>
      <c r="K187" s="17" t="s">
        <v>39</v>
      </c>
      <c r="L187" s="17" t="s">
        <v>40</v>
      </c>
      <c r="M187" s="19">
        <v>6737.1849999999904</v>
      </c>
      <c r="N187" s="19">
        <v>1188.915</v>
      </c>
      <c r="O187" s="17">
        <v>15</v>
      </c>
      <c r="P187" s="17" t="s">
        <v>26</v>
      </c>
      <c r="Q187" s="17">
        <v>12</v>
      </c>
      <c r="R187" s="17" t="s">
        <v>27</v>
      </c>
      <c r="S187" s="14" t="str">
        <f t="shared" si="2"/>
        <v>Week 1</v>
      </c>
    </row>
    <row r="188" spans="1:19" x14ac:dyDescent="0.3">
      <c r="A188" s="8" t="s">
        <v>423</v>
      </c>
      <c r="B188" s="9">
        <v>43074</v>
      </c>
      <c r="C188" s="10" t="s">
        <v>247</v>
      </c>
      <c r="D188" s="10" t="s">
        <v>30</v>
      </c>
      <c r="E188" s="10" t="s">
        <v>62</v>
      </c>
      <c r="F188" s="11">
        <v>8</v>
      </c>
      <c r="G188" s="12">
        <v>1038.5</v>
      </c>
      <c r="H188" s="12">
        <v>8308</v>
      </c>
      <c r="I188" s="13">
        <v>799.64499999999998</v>
      </c>
      <c r="J188" s="10" t="s">
        <v>32</v>
      </c>
      <c r="K188" s="10" t="s">
        <v>33</v>
      </c>
      <c r="L188" s="10" t="s">
        <v>34</v>
      </c>
      <c r="M188" s="12">
        <v>6397.16</v>
      </c>
      <c r="N188" s="12">
        <v>1910.84</v>
      </c>
      <c r="O188" s="10">
        <v>23</v>
      </c>
      <c r="P188" s="10" t="s">
        <v>26</v>
      </c>
      <c r="Q188" s="10">
        <v>12</v>
      </c>
      <c r="R188" s="10" t="s">
        <v>27</v>
      </c>
      <c r="S188" s="14" t="str">
        <f t="shared" si="2"/>
        <v>Week 1</v>
      </c>
    </row>
    <row r="189" spans="1:19" x14ac:dyDescent="0.3">
      <c r="A189" s="15" t="s">
        <v>424</v>
      </c>
      <c r="B189" s="16">
        <v>43074</v>
      </c>
      <c r="C189" s="17" t="s">
        <v>166</v>
      </c>
      <c r="D189" s="17" t="s">
        <v>21</v>
      </c>
      <c r="E189" s="17" t="s">
        <v>115</v>
      </c>
      <c r="F189" s="18">
        <v>5</v>
      </c>
      <c r="G189" s="19">
        <v>2365.1</v>
      </c>
      <c r="H189" s="19">
        <v>11825.5</v>
      </c>
      <c r="I189" s="20">
        <v>1702.8719999999901</v>
      </c>
      <c r="J189" s="17" t="s">
        <v>50</v>
      </c>
      <c r="K189" s="17" t="s">
        <v>51</v>
      </c>
      <c r="L189" s="17" t="s">
        <v>40</v>
      </c>
      <c r="M189" s="19">
        <v>8514.3599999999897</v>
      </c>
      <c r="N189" s="19">
        <v>3311.14</v>
      </c>
      <c r="O189" s="17">
        <v>28</v>
      </c>
      <c r="P189" s="17" t="s">
        <v>26</v>
      </c>
      <c r="Q189" s="17">
        <v>12</v>
      </c>
      <c r="R189" s="17" t="s">
        <v>27</v>
      </c>
      <c r="S189" s="14" t="str">
        <f t="shared" si="2"/>
        <v>Week 1</v>
      </c>
    </row>
    <row r="190" spans="1:19" x14ac:dyDescent="0.3">
      <c r="A190" s="8" t="s">
        <v>425</v>
      </c>
      <c r="B190" s="9">
        <v>43074</v>
      </c>
      <c r="C190" s="10" t="s">
        <v>176</v>
      </c>
      <c r="D190" s="10" t="s">
        <v>21</v>
      </c>
      <c r="E190" s="10" t="s">
        <v>146</v>
      </c>
      <c r="F190" s="11">
        <v>7</v>
      </c>
      <c r="G190" s="12">
        <v>1112.2</v>
      </c>
      <c r="H190" s="12">
        <v>7785.4000000000005</v>
      </c>
      <c r="I190" s="13">
        <v>778.54</v>
      </c>
      <c r="J190" s="10" t="s">
        <v>393</v>
      </c>
      <c r="K190" s="10" t="s">
        <v>394</v>
      </c>
      <c r="L190" s="10" t="s">
        <v>56</v>
      </c>
      <c r="M190" s="12">
        <v>5449.78</v>
      </c>
      <c r="N190" s="12">
        <v>2335.62</v>
      </c>
      <c r="O190" s="10">
        <v>30</v>
      </c>
      <c r="P190" s="10" t="s">
        <v>26</v>
      </c>
      <c r="Q190" s="10">
        <v>12</v>
      </c>
      <c r="R190" s="10" t="s">
        <v>27</v>
      </c>
      <c r="S190" s="14" t="str">
        <f t="shared" si="2"/>
        <v>Week 1</v>
      </c>
    </row>
    <row r="191" spans="1:19" x14ac:dyDescent="0.3">
      <c r="A191" s="15" t="s">
        <v>426</v>
      </c>
      <c r="B191" s="16">
        <v>43074</v>
      </c>
      <c r="C191" s="17" t="s">
        <v>166</v>
      </c>
      <c r="D191" s="17" t="s">
        <v>21</v>
      </c>
      <c r="E191" s="17" t="s">
        <v>93</v>
      </c>
      <c r="F191" s="18">
        <v>5</v>
      </c>
      <c r="G191" s="19">
        <v>1065.3</v>
      </c>
      <c r="H191" s="19">
        <v>5326.5</v>
      </c>
      <c r="I191" s="20">
        <v>617.873999999999</v>
      </c>
      <c r="J191" s="17" t="s">
        <v>45</v>
      </c>
      <c r="K191" s="17" t="s">
        <v>46</v>
      </c>
      <c r="L191" s="17" t="s">
        <v>34</v>
      </c>
      <c r="M191" s="19">
        <v>3089.3699999999899</v>
      </c>
      <c r="N191" s="19">
        <v>2237.13</v>
      </c>
      <c r="O191" s="17">
        <v>42</v>
      </c>
      <c r="P191" s="17" t="s">
        <v>26</v>
      </c>
      <c r="Q191" s="17">
        <v>12</v>
      </c>
      <c r="R191" s="17" t="s">
        <v>27</v>
      </c>
      <c r="S191" s="14" t="str">
        <f t="shared" si="2"/>
        <v>Week 1</v>
      </c>
    </row>
    <row r="192" spans="1:19" x14ac:dyDescent="0.3">
      <c r="A192" s="8" t="s">
        <v>427</v>
      </c>
      <c r="B192" s="9">
        <v>43074</v>
      </c>
      <c r="C192" s="10" t="s">
        <v>428</v>
      </c>
      <c r="D192" s="10" t="s">
        <v>21</v>
      </c>
      <c r="E192" s="10" t="s">
        <v>418</v>
      </c>
      <c r="F192" s="11">
        <v>5</v>
      </c>
      <c r="G192" s="12">
        <v>3926.2</v>
      </c>
      <c r="H192" s="12">
        <v>19631</v>
      </c>
      <c r="I192" s="13">
        <v>3062.4360000000001</v>
      </c>
      <c r="J192" s="10" t="s">
        <v>54</v>
      </c>
      <c r="K192" s="10" t="s">
        <v>55</v>
      </c>
      <c r="L192" s="10" t="s">
        <v>56</v>
      </c>
      <c r="M192" s="12">
        <v>15312.18</v>
      </c>
      <c r="N192" s="12">
        <v>4318.82</v>
      </c>
      <c r="O192" s="10">
        <v>21.999999999999901</v>
      </c>
      <c r="P192" s="10" t="s">
        <v>26</v>
      </c>
      <c r="Q192" s="10">
        <v>12</v>
      </c>
      <c r="R192" s="10" t="s">
        <v>27</v>
      </c>
      <c r="S192" s="14" t="str">
        <f t="shared" si="2"/>
        <v>Week 1</v>
      </c>
    </row>
    <row r="193" spans="1:19" x14ac:dyDescent="0.3">
      <c r="A193" s="15" t="s">
        <v>429</v>
      </c>
      <c r="B193" s="16">
        <v>43074</v>
      </c>
      <c r="C193" s="17" t="s">
        <v>247</v>
      </c>
      <c r="D193" s="17" t="s">
        <v>21</v>
      </c>
      <c r="E193" s="17" t="s">
        <v>37</v>
      </c>
      <c r="F193" s="18">
        <v>5</v>
      </c>
      <c r="G193" s="19">
        <v>2378.5</v>
      </c>
      <c r="H193" s="19">
        <v>11892.5</v>
      </c>
      <c r="I193" s="20">
        <v>1974.155</v>
      </c>
      <c r="J193" s="17" t="s">
        <v>132</v>
      </c>
      <c r="K193" s="17" t="s">
        <v>133</v>
      </c>
      <c r="L193" s="17" t="s">
        <v>34</v>
      </c>
      <c r="M193" s="19">
        <v>9870.7749999999996</v>
      </c>
      <c r="N193" s="19">
        <v>2021.7249999999999</v>
      </c>
      <c r="O193" s="17">
        <v>17</v>
      </c>
      <c r="P193" s="17" t="s">
        <v>26</v>
      </c>
      <c r="Q193" s="17">
        <v>12</v>
      </c>
      <c r="R193" s="17" t="s">
        <v>27</v>
      </c>
      <c r="S193" s="14" t="str">
        <f t="shared" si="2"/>
        <v>Week 1</v>
      </c>
    </row>
    <row r="194" spans="1:19" x14ac:dyDescent="0.3">
      <c r="A194" s="8" t="s">
        <v>430</v>
      </c>
      <c r="B194" s="9">
        <v>43075</v>
      </c>
      <c r="C194" s="10" t="s">
        <v>234</v>
      </c>
      <c r="D194" s="10" t="s">
        <v>30</v>
      </c>
      <c r="E194" s="10" t="s">
        <v>120</v>
      </c>
      <c r="F194" s="11">
        <v>9</v>
      </c>
      <c r="G194" s="12">
        <v>5380.1</v>
      </c>
      <c r="H194" s="12">
        <v>48420.9</v>
      </c>
      <c r="I194" s="13">
        <v>4304.08</v>
      </c>
      <c r="J194" s="10" t="s">
        <v>116</v>
      </c>
      <c r="K194" s="10" t="s">
        <v>117</v>
      </c>
      <c r="L194" s="10" t="s">
        <v>40</v>
      </c>
      <c r="M194" s="12">
        <v>38736.720000000001</v>
      </c>
      <c r="N194" s="12">
        <v>9684.1799999999894</v>
      </c>
      <c r="O194" s="10">
        <v>19.999999999999901</v>
      </c>
      <c r="P194" s="10" t="s">
        <v>26</v>
      </c>
      <c r="Q194" s="10">
        <v>12</v>
      </c>
      <c r="R194" s="10" t="s">
        <v>27</v>
      </c>
      <c r="S194" s="14" t="str">
        <f t="shared" si="2"/>
        <v>Week 1</v>
      </c>
    </row>
    <row r="195" spans="1:19" x14ac:dyDescent="0.3">
      <c r="A195" s="15" t="s">
        <v>431</v>
      </c>
      <c r="B195" s="16">
        <v>43075</v>
      </c>
      <c r="C195" s="17" t="s">
        <v>75</v>
      </c>
      <c r="D195" s="17" t="s">
        <v>30</v>
      </c>
      <c r="E195" s="17" t="s">
        <v>22</v>
      </c>
      <c r="F195" s="18">
        <v>8</v>
      </c>
      <c r="G195" s="19">
        <v>1105.5</v>
      </c>
      <c r="H195" s="19">
        <v>8844</v>
      </c>
      <c r="I195" s="20">
        <v>807.01499999999999</v>
      </c>
      <c r="J195" s="17" t="s">
        <v>132</v>
      </c>
      <c r="K195" s="17" t="s">
        <v>133</v>
      </c>
      <c r="L195" s="17" t="s">
        <v>34</v>
      </c>
      <c r="M195" s="19">
        <v>6456.12</v>
      </c>
      <c r="N195" s="19">
        <v>2387.88</v>
      </c>
      <c r="O195" s="17">
        <v>27</v>
      </c>
      <c r="P195" s="17" t="s">
        <v>26</v>
      </c>
      <c r="Q195" s="17">
        <v>12</v>
      </c>
      <c r="R195" s="17" t="s">
        <v>27</v>
      </c>
      <c r="S195" s="14" t="str">
        <f t="shared" ref="S195:S258" si="3">"Week "&amp;INT((DAY(B195)-1)/7)+1</f>
        <v>Week 1</v>
      </c>
    </row>
    <row r="196" spans="1:19" x14ac:dyDescent="0.3">
      <c r="A196" s="8" t="s">
        <v>432</v>
      </c>
      <c r="B196" s="9">
        <v>43075</v>
      </c>
      <c r="C196" s="10" t="s">
        <v>114</v>
      </c>
      <c r="D196" s="10" t="s">
        <v>21</v>
      </c>
      <c r="E196" s="10" t="s">
        <v>37</v>
      </c>
      <c r="F196" s="11">
        <v>8</v>
      </c>
      <c r="G196" s="12">
        <v>3999.9</v>
      </c>
      <c r="H196" s="12">
        <v>31999.200000000001</v>
      </c>
      <c r="I196" s="13">
        <v>2919.9270000000001</v>
      </c>
      <c r="J196" s="10" t="s">
        <v>54</v>
      </c>
      <c r="K196" s="10" t="s">
        <v>55</v>
      </c>
      <c r="L196" s="10" t="s">
        <v>56</v>
      </c>
      <c r="M196" s="12">
        <v>23359.416000000001</v>
      </c>
      <c r="N196" s="12">
        <v>8639.7839999999997</v>
      </c>
      <c r="O196" s="10">
        <v>26.999999999999901</v>
      </c>
      <c r="P196" s="10" t="s">
        <v>26</v>
      </c>
      <c r="Q196" s="10">
        <v>12</v>
      </c>
      <c r="R196" s="10" t="s">
        <v>27</v>
      </c>
      <c r="S196" s="14" t="str">
        <f t="shared" si="3"/>
        <v>Week 1</v>
      </c>
    </row>
    <row r="197" spans="1:19" x14ac:dyDescent="0.3">
      <c r="A197" s="15" t="s">
        <v>433</v>
      </c>
      <c r="B197" s="16">
        <v>43075</v>
      </c>
      <c r="C197" s="17" t="s">
        <v>249</v>
      </c>
      <c r="D197" s="17" t="s">
        <v>30</v>
      </c>
      <c r="E197" s="17" t="s">
        <v>191</v>
      </c>
      <c r="F197" s="18">
        <v>9</v>
      </c>
      <c r="G197" s="19">
        <v>1045.2</v>
      </c>
      <c r="H197" s="19">
        <v>9406.8000000000011</v>
      </c>
      <c r="I197" s="20">
        <v>836.16</v>
      </c>
      <c r="J197" s="17" t="s">
        <v>83</v>
      </c>
      <c r="K197" s="17" t="s">
        <v>84</v>
      </c>
      <c r="L197" s="17" t="s">
        <v>34</v>
      </c>
      <c r="M197" s="19">
        <v>7525.44</v>
      </c>
      <c r="N197" s="19">
        <v>1881.36</v>
      </c>
      <c r="O197" s="17">
        <v>20</v>
      </c>
      <c r="P197" s="17" t="s">
        <v>26</v>
      </c>
      <c r="Q197" s="17">
        <v>12</v>
      </c>
      <c r="R197" s="17" t="s">
        <v>27</v>
      </c>
      <c r="S197" s="14" t="str">
        <f t="shared" si="3"/>
        <v>Week 1</v>
      </c>
    </row>
    <row r="198" spans="1:19" x14ac:dyDescent="0.3">
      <c r="A198" s="8" t="s">
        <v>434</v>
      </c>
      <c r="B198" s="9">
        <v>43075</v>
      </c>
      <c r="C198" s="10" t="s">
        <v>435</v>
      </c>
      <c r="D198" s="10" t="s">
        <v>21</v>
      </c>
      <c r="E198" s="10" t="s">
        <v>306</v>
      </c>
      <c r="F198" s="11">
        <v>8</v>
      </c>
      <c r="G198" s="12">
        <v>1795.6</v>
      </c>
      <c r="H198" s="12">
        <v>14364.8</v>
      </c>
      <c r="I198" s="13">
        <v>718.24</v>
      </c>
      <c r="J198" s="10" t="s">
        <v>436</v>
      </c>
      <c r="K198" s="10" t="s">
        <v>437</v>
      </c>
      <c r="L198" s="10" t="s">
        <v>25</v>
      </c>
      <c r="M198" s="12">
        <v>5745.92</v>
      </c>
      <c r="N198" s="12">
        <v>8618.8799999999992</v>
      </c>
      <c r="O198" s="10">
        <v>60</v>
      </c>
      <c r="P198" s="10" t="s">
        <v>26</v>
      </c>
      <c r="Q198" s="10">
        <v>12</v>
      </c>
      <c r="R198" s="10" t="s">
        <v>27</v>
      </c>
      <c r="S198" s="14" t="str">
        <f t="shared" si="3"/>
        <v>Week 1</v>
      </c>
    </row>
    <row r="199" spans="1:19" x14ac:dyDescent="0.3">
      <c r="A199" s="15" t="s">
        <v>438</v>
      </c>
      <c r="B199" s="16">
        <v>43075</v>
      </c>
      <c r="C199" s="17" t="s">
        <v>408</v>
      </c>
      <c r="D199" s="17" t="s">
        <v>21</v>
      </c>
      <c r="E199" s="17" t="s">
        <v>110</v>
      </c>
      <c r="F199" s="18">
        <v>11</v>
      </c>
      <c r="G199" s="19">
        <v>1206</v>
      </c>
      <c r="H199" s="19">
        <v>13266</v>
      </c>
      <c r="I199" s="20">
        <v>916.56</v>
      </c>
      <c r="J199" s="17" t="s">
        <v>54</v>
      </c>
      <c r="K199" s="17" t="s">
        <v>55</v>
      </c>
      <c r="L199" s="17" t="s">
        <v>56</v>
      </c>
      <c r="M199" s="19">
        <v>10082.16</v>
      </c>
      <c r="N199" s="19">
        <v>3183.84</v>
      </c>
      <c r="O199" s="17">
        <v>24</v>
      </c>
      <c r="P199" s="17" t="s">
        <v>26</v>
      </c>
      <c r="Q199" s="17">
        <v>12</v>
      </c>
      <c r="R199" s="17" t="s">
        <v>27</v>
      </c>
      <c r="S199" s="14" t="str">
        <f t="shared" si="3"/>
        <v>Week 1</v>
      </c>
    </row>
    <row r="200" spans="1:19" x14ac:dyDescent="0.3">
      <c r="A200" s="8" t="s">
        <v>439</v>
      </c>
      <c r="B200" s="9">
        <v>43075</v>
      </c>
      <c r="C200" s="10" t="s">
        <v>158</v>
      </c>
      <c r="D200" s="10" t="s">
        <v>21</v>
      </c>
      <c r="E200" s="10" t="s">
        <v>49</v>
      </c>
      <c r="F200" s="11">
        <v>6</v>
      </c>
      <c r="G200" s="12">
        <v>1855.9</v>
      </c>
      <c r="H200" s="12">
        <v>11135.400000000001</v>
      </c>
      <c r="I200" s="13">
        <v>1354.807</v>
      </c>
      <c r="J200" s="10" t="s">
        <v>54</v>
      </c>
      <c r="K200" s="10" t="s">
        <v>55</v>
      </c>
      <c r="L200" s="10" t="s">
        <v>56</v>
      </c>
      <c r="M200" s="12">
        <v>8128.8419999999996</v>
      </c>
      <c r="N200" s="12">
        <v>3006.558</v>
      </c>
      <c r="O200" s="10">
        <v>27</v>
      </c>
      <c r="P200" s="10" t="s">
        <v>26</v>
      </c>
      <c r="Q200" s="10">
        <v>12</v>
      </c>
      <c r="R200" s="10" t="s">
        <v>27</v>
      </c>
      <c r="S200" s="14" t="str">
        <f t="shared" si="3"/>
        <v>Week 1</v>
      </c>
    </row>
    <row r="201" spans="1:19" x14ac:dyDescent="0.3">
      <c r="A201" s="15" t="s">
        <v>440</v>
      </c>
      <c r="B201" s="16">
        <v>43075</v>
      </c>
      <c r="C201" s="17" t="s">
        <v>170</v>
      </c>
      <c r="D201" s="17" t="s">
        <v>30</v>
      </c>
      <c r="E201" s="17" t="s">
        <v>360</v>
      </c>
      <c r="F201" s="18">
        <v>7</v>
      </c>
      <c r="G201" s="19">
        <v>1031.8</v>
      </c>
      <c r="H201" s="19">
        <v>7222.5999999999995</v>
      </c>
      <c r="I201" s="20">
        <v>588.12599999999998</v>
      </c>
      <c r="J201" s="17" t="s">
        <v>222</v>
      </c>
      <c r="K201" s="17" t="s">
        <v>223</v>
      </c>
      <c r="L201" s="17" t="s">
        <v>25</v>
      </c>
      <c r="M201" s="19">
        <v>4116.8819999999996</v>
      </c>
      <c r="N201" s="19">
        <v>3105.7179999999998</v>
      </c>
      <c r="O201" s="17">
        <v>43</v>
      </c>
      <c r="P201" s="17" t="s">
        <v>26</v>
      </c>
      <c r="Q201" s="17">
        <v>12</v>
      </c>
      <c r="R201" s="17" t="s">
        <v>27</v>
      </c>
      <c r="S201" s="14" t="str">
        <f t="shared" si="3"/>
        <v>Week 1</v>
      </c>
    </row>
    <row r="202" spans="1:19" x14ac:dyDescent="0.3">
      <c r="A202" s="8" t="s">
        <v>441</v>
      </c>
      <c r="B202" s="9">
        <v>43075</v>
      </c>
      <c r="C202" s="10" t="s">
        <v>66</v>
      </c>
      <c r="D202" s="10" t="s">
        <v>21</v>
      </c>
      <c r="E202" s="10" t="s">
        <v>146</v>
      </c>
      <c r="F202" s="11">
        <v>9</v>
      </c>
      <c r="G202" s="12">
        <v>3504.1</v>
      </c>
      <c r="H202" s="12">
        <v>31536.899999999998</v>
      </c>
      <c r="I202" s="13">
        <v>2943.444</v>
      </c>
      <c r="J202" s="10" t="s">
        <v>163</v>
      </c>
      <c r="K202" s="10" t="s">
        <v>164</v>
      </c>
      <c r="L202" s="10" t="s">
        <v>40</v>
      </c>
      <c r="M202" s="12">
        <v>26490.995999999999</v>
      </c>
      <c r="N202" s="12">
        <v>5045.9039999999904</v>
      </c>
      <c r="O202" s="10">
        <v>15.999999999999901</v>
      </c>
      <c r="P202" s="10" t="s">
        <v>26</v>
      </c>
      <c r="Q202" s="10">
        <v>12</v>
      </c>
      <c r="R202" s="10" t="s">
        <v>27</v>
      </c>
      <c r="S202" s="14" t="str">
        <f t="shared" si="3"/>
        <v>Week 1</v>
      </c>
    </row>
    <row r="203" spans="1:19" x14ac:dyDescent="0.3">
      <c r="A203" s="15" t="s">
        <v>442</v>
      </c>
      <c r="B203" s="16">
        <v>43075</v>
      </c>
      <c r="C203" s="17" t="s">
        <v>294</v>
      </c>
      <c r="D203" s="17" t="s">
        <v>30</v>
      </c>
      <c r="E203" s="17" t="s">
        <v>103</v>
      </c>
      <c r="F203" s="18">
        <v>5</v>
      </c>
      <c r="G203" s="19">
        <v>1078.7</v>
      </c>
      <c r="H203" s="19">
        <v>5393.5</v>
      </c>
      <c r="I203" s="20">
        <v>614.85899999999901</v>
      </c>
      <c r="J203" s="17" t="s">
        <v>222</v>
      </c>
      <c r="K203" s="17" t="s">
        <v>223</v>
      </c>
      <c r="L203" s="17" t="s">
        <v>25</v>
      </c>
      <c r="M203" s="19">
        <v>3074.2949999999901</v>
      </c>
      <c r="N203" s="19">
        <v>2319.2049999999999</v>
      </c>
      <c r="O203" s="17">
        <v>43</v>
      </c>
      <c r="P203" s="17" t="s">
        <v>26</v>
      </c>
      <c r="Q203" s="17">
        <v>12</v>
      </c>
      <c r="R203" s="17" t="s">
        <v>27</v>
      </c>
      <c r="S203" s="14" t="str">
        <f t="shared" si="3"/>
        <v>Week 1</v>
      </c>
    </row>
    <row r="204" spans="1:19" x14ac:dyDescent="0.3">
      <c r="A204" s="8" t="s">
        <v>443</v>
      </c>
      <c r="B204" s="9">
        <v>43075</v>
      </c>
      <c r="C204" s="10" t="s">
        <v>68</v>
      </c>
      <c r="D204" s="10" t="s">
        <v>30</v>
      </c>
      <c r="E204" s="10" t="s">
        <v>230</v>
      </c>
      <c r="F204" s="11">
        <v>10</v>
      </c>
      <c r="G204" s="12">
        <v>174.2</v>
      </c>
      <c r="H204" s="12">
        <v>1742</v>
      </c>
      <c r="I204" s="13">
        <v>130.65</v>
      </c>
      <c r="J204" s="10" t="s">
        <v>23</v>
      </c>
      <c r="K204" s="10" t="s">
        <v>24</v>
      </c>
      <c r="L204" s="10" t="s">
        <v>25</v>
      </c>
      <c r="M204" s="12">
        <v>1306.5</v>
      </c>
      <c r="N204" s="12">
        <v>435.5</v>
      </c>
      <c r="O204" s="10">
        <v>25</v>
      </c>
      <c r="P204" s="10" t="s">
        <v>26</v>
      </c>
      <c r="Q204" s="10">
        <v>12</v>
      </c>
      <c r="R204" s="10" t="s">
        <v>27</v>
      </c>
      <c r="S204" s="14" t="str">
        <f t="shared" si="3"/>
        <v>Week 1</v>
      </c>
    </row>
    <row r="205" spans="1:19" x14ac:dyDescent="0.3">
      <c r="A205" s="15" t="s">
        <v>444</v>
      </c>
      <c r="B205" s="16">
        <v>43075</v>
      </c>
      <c r="C205" s="17" t="s">
        <v>114</v>
      </c>
      <c r="D205" s="17" t="s">
        <v>30</v>
      </c>
      <c r="E205" s="17" t="s">
        <v>31</v>
      </c>
      <c r="F205" s="18">
        <v>11</v>
      </c>
      <c r="G205" s="19">
        <v>5038.3999999999996</v>
      </c>
      <c r="H205" s="19">
        <v>55422.399999999994</v>
      </c>
      <c r="I205" s="20">
        <v>3778.8</v>
      </c>
      <c r="J205" s="17" t="s">
        <v>54</v>
      </c>
      <c r="K205" s="17" t="s">
        <v>55</v>
      </c>
      <c r="L205" s="17" t="s">
        <v>56</v>
      </c>
      <c r="M205" s="19">
        <v>41566.800000000003</v>
      </c>
      <c r="N205" s="19">
        <v>13855.6</v>
      </c>
      <c r="O205" s="17">
        <v>25</v>
      </c>
      <c r="P205" s="17" t="s">
        <v>26</v>
      </c>
      <c r="Q205" s="17">
        <v>12</v>
      </c>
      <c r="R205" s="17" t="s">
        <v>27</v>
      </c>
      <c r="S205" s="14" t="str">
        <f t="shared" si="3"/>
        <v>Week 1</v>
      </c>
    </row>
    <row r="206" spans="1:19" x14ac:dyDescent="0.3">
      <c r="A206" s="8" t="s">
        <v>445</v>
      </c>
      <c r="B206" s="9">
        <v>43075</v>
      </c>
      <c r="C206" s="10" t="s">
        <v>349</v>
      </c>
      <c r="D206" s="10" t="s">
        <v>21</v>
      </c>
      <c r="E206" s="10" t="s">
        <v>103</v>
      </c>
      <c r="F206" s="11">
        <v>5</v>
      </c>
      <c r="G206" s="12">
        <v>938</v>
      </c>
      <c r="H206" s="12">
        <v>4690</v>
      </c>
      <c r="I206" s="13">
        <v>684.74</v>
      </c>
      <c r="J206" s="10" t="s">
        <v>225</v>
      </c>
      <c r="K206" s="10" t="s">
        <v>226</v>
      </c>
      <c r="L206" s="10" t="s">
        <v>25</v>
      </c>
      <c r="M206" s="12">
        <v>3423.7</v>
      </c>
      <c r="N206" s="12">
        <v>1266.3</v>
      </c>
      <c r="O206" s="10">
        <v>27</v>
      </c>
      <c r="P206" s="10" t="s">
        <v>26</v>
      </c>
      <c r="Q206" s="10">
        <v>12</v>
      </c>
      <c r="R206" s="10" t="s">
        <v>27</v>
      </c>
      <c r="S206" s="14" t="str">
        <f t="shared" si="3"/>
        <v>Week 1</v>
      </c>
    </row>
    <row r="207" spans="1:19" x14ac:dyDescent="0.3">
      <c r="A207" s="15" t="s">
        <v>446</v>
      </c>
      <c r="B207" s="16">
        <v>43075</v>
      </c>
      <c r="C207" s="17" t="s">
        <v>126</v>
      </c>
      <c r="D207" s="17" t="s">
        <v>30</v>
      </c>
      <c r="E207" s="17" t="s">
        <v>62</v>
      </c>
      <c r="F207" s="18">
        <v>12</v>
      </c>
      <c r="G207" s="19">
        <v>1118.9000000000001</v>
      </c>
      <c r="H207" s="19">
        <v>13426.800000000001</v>
      </c>
      <c r="I207" s="20">
        <v>626.58399999999995</v>
      </c>
      <c r="J207" s="17" t="s">
        <v>76</v>
      </c>
      <c r="K207" s="17" t="s">
        <v>77</v>
      </c>
      <c r="L207" s="17" t="s">
        <v>56</v>
      </c>
      <c r="M207" s="19">
        <v>7519.0079999999998</v>
      </c>
      <c r="N207" s="19">
        <v>5907.7920000000004</v>
      </c>
      <c r="O207" s="17">
        <v>44</v>
      </c>
      <c r="P207" s="17" t="s">
        <v>26</v>
      </c>
      <c r="Q207" s="17">
        <v>12</v>
      </c>
      <c r="R207" s="17" t="s">
        <v>27</v>
      </c>
      <c r="S207" s="14" t="str">
        <f t="shared" si="3"/>
        <v>Week 1</v>
      </c>
    </row>
    <row r="208" spans="1:19" x14ac:dyDescent="0.3">
      <c r="A208" s="8" t="s">
        <v>447</v>
      </c>
      <c r="B208" s="9">
        <v>43075</v>
      </c>
      <c r="C208" s="10" t="s">
        <v>448</v>
      </c>
      <c r="D208" s="10" t="s">
        <v>30</v>
      </c>
      <c r="E208" s="10" t="s">
        <v>37</v>
      </c>
      <c r="F208" s="11">
        <v>10</v>
      </c>
      <c r="G208" s="12">
        <v>3731.9</v>
      </c>
      <c r="H208" s="12">
        <v>37319</v>
      </c>
      <c r="I208" s="13">
        <v>2948.201</v>
      </c>
      <c r="J208" s="10" t="s">
        <v>38</v>
      </c>
      <c r="K208" s="10" t="s">
        <v>39</v>
      </c>
      <c r="L208" s="10" t="s">
        <v>40</v>
      </c>
      <c r="M208" s="12">
        <v>29482.01</v>
      </c>
      <c r="N208" s="12">
        <v>7836.9899999999898</v>
      </c>
      <c r="O208" s="10">
        <v>20.999999999999901</v>
      </c>
      <c r="P208" s="10" t="s">
        <v>26</v>
      </c>
      <c r="Q208" s="10">
        <v>12</v>
      </c>
      <c r="R208" s="10" t="s">
        <v>27</v>
      </c>
      <c r="S208" s="14" t="str">
        <f t="shared" si="3"/>
        <v>Week 1</v>
      </c>
    </row>
    <row r="209" spans="1:19" x14ac:dyDescent="0.3">
      <c r="A209" s="15" t="s">
        <v>449</v>
      </c>
      <c r="B209" s="16">
        <v>43075</v>
      </c>
      <c r="C209" s="17" t="s">
        <v>61</v>
      </c>
      <c r="D209" s="17" t="s">
        <v>30</v>
      </c>
      <c r="E209" s="17" t="s">
        <v>230</v>
      </c>
      <c r="F209" s="18">
        <v>6</v>
      </c>
      <c r="G209" s="19">
        <v>1139</v>
      </c>
      <c r="H209" s="19">
        <v>6834</v>
      </c>
      <c r="I209" s="20">
        <v>933.979999999999</v>
      </c>
      <c r="J209" s="17" t="s">
        <v>69</v>
      </c>
      <c r="K209" s="17" t="s">
        <v>70</v>
      </c>
      <c r="L209" s="17" t="s">
        <v>25</v>
      </c>
      <c r="M209" s="19">
        <v>5603.8799999999901</v>
      </c>
      <c r="N209" s="19">
        <v>1230.1199999999999</v>
      </c>
      <c r="O209" s="17">
        <v>18</v>
      </c>
      <c r="P209" s="17" t="s">
        <v>26</v>
      </c>
      <c r="Q209" s="17">
        <v>12</v>
      </c>
      <c r="R209" s="17" t="s">
        <v>27</v>
      </c>
      <c r="S209" s="14" t="str">
        <f t="shared" si="3"/>
        <v>Week 1</v>
      </c>
    </row>
    <row r="210" spans="1:19" x14ac:dyDescent="0.3">
      <c r="A210" s="8" t="s">
        <v>450</v>
      </c>
      <c r="B210" s="9">
        <v>43075</v>
      </c>
      <c r="C210" s="10" t="s">
        <v>131</v>
      </c>
      <c r="D210" s="10" t="s">
        <v>21</v>
      </c>
      <c r="E210" s="10" t="s">
        <v>37</v>
      </c>
      <c r="F210" s="11">
        <v>12</v>
      </c>
      <c r="G210" s="12">
        <v>1065.3</v>
      </c>
      <c r="H210" s="12">
        <v>12783.599999999999</v>
      </c>
      <c r="I210" s="13">
        <v>745.70999999999901</v>
      </c>
      <c r="J210" s="10" t="s">
        <v>225</v>
      </c>
      <c r="K210" s="10" t="s">
        <v>226</v>
      </c>
      <c r="L210" s="10" t="s">
        <v>25</v>
      </c>
      <c r="M210" s="12">
        <v>8948.5199999999895</v>
      </c>
      <c r="N210" s="12">
        <v>3835.08</v>
      </c>
      <c r="O210" s="10">
        <v>30</v>
      </c>
      <c r="P210" s="10" t="s">
        <v>26</v>
      </c>
      <c r="Q210" s="10">
        <v>12</v>
      </c>
      <c r="R210" s="10" t="s">
        <v>27</v>
      </c>
      <c r="S210" s="14" t="str">
        <f t="shared" si="3"/>
        <v>Week 1</v>
      </c>
    </row>
    <row r="211" spans="1:19" x14ac:dyDescent="0.3">
      <c r="A211" s="15" t="s">
        <v>451</v>
      </c>
      <c r="B211" s="16">
        <v>43075</v>
      </c>
      <c r="C211" s="17" t="s">
        <v>72</v>
      </c>
      <c r="D211" s="17" t="s">
        <v>30</v>
      </c>
      <c r="E211" s="17" t="s">
        <v>197</v>
      </c>
      <c r="F211" s="18">
        <v>7</v>
      </c>
      <c r="G211" s="19">
        <v>2331.6</v>
      </c>
      <c r="H211" s="19">
        <v>16321.199999999999</v>
      </c>
      <c r="I211" s="20">
        <v>1841.9639999999999</v>
      </c>
      <c r="J211" s="17" t="s">
        <v>116</v>
      </c>
      <c r="K211" s="17" t="s">
        <v>117</v>
      </c>
      <c r="L211" s="17" t="s">
        <v>40</v>
      </c>
      <c r="M211" s="19">
        <v>12893.748</v>
      </c>
      <c r="N211" s="19">
        <v>3427.4519999999902</v>
      </c>
      <c r="O211" s="17">
        <v>20.999999999999901</v>
      </c>
      <c r="P211" s="17" t="s">
        <v>26</v>
      </c>
      <c r="Q211" s="17">
        <v>12</v>
      </c>
      <c r="R211" s="17" t="s">
        <v>27</v>
      </c>
      <c r="S211" s="14" t="str">
        <f t="shared" si="3"/>
        <v>Week 1</v>
      </c>
    </row>
    <row r="212" spans="1:19" x14ac:dyDescent="0.3">
      <c r="A212" s="8" t="s">
        <v>452</v>
      </c>
      <c r="B212" s="9">
        <v>43075</v>
      </c>
      <c r="C212" s="10" t="s">
        <v>453</v>
      </c>
      <c r="D212" s="10" t="s">
        <v>21</v>
      </c>
      <c r="E212" s="10" t="s">
        <v>146</v>
      </c>
      <c r="F212" s="11">
        <v>8</v>
      </c>
      <c r="G212" s="12">
        <v>1051.9000000000001</v>
      </c>
      <c r="H212" s="12">
        <v>8415.2000000000007</v>
      </c>
      <c r="I212" s="13">
        <v>715.29200000000003</v>
      </c>
      <c r="J212" s="10" t="s">
        <v>454</v>
      </c>
      <c r="K212" s="10" t="s">
        <v>455</v>
      </c>
      <c r="L212" s="10" t="s">
        <v>25</v>
      </c>
      <c r="M212" s="12">
        <v>5722.3360000000002</v>
      </c>
      <c r="N212" s="12">
        <v>2692.86399999999</v>
      </c>
      <c r="O212" s="10">
        <v>31.999999999999901</v>
      </c>
      <c r="P212" s="10" t="s">
        <v>26</v>
      </c>
      <c r="Q212" s="10">
        <v>12</v>
      </c>
      <c r="R212" s="10" t="s">
        <v>27</v>
      </c>
      <c r="S212" s="14" t="str">
        <f t="shared" si="3"/>
        <v>Week 1</v>
      </c>
    </row>
    <row r="213" spans="1:19" x14ac:dyDescent="0.3">
      <c r="A213" s="15" t="s">
        <v>456</v>
      </c>
      <c r="B213" s="16">
        <v>43075</v>
      </c>
      <c r="C213" s="17" t="s">
        <v>321</v>
      </c>
      <c r="D213" s="17" t="s">
        <v>21</v>
      </c>
      <c r="E213" s="17" t="s">
        <v>115</v>
      </c>
      <c r="F213" s="18">
        <v>10</v>
      </c>
      <c r="G213" s="19">
        <v>3899.4</v>
      </c>
      <c r="H213" s="19">
        <v>38994</v>
      </c>
      <c r="I213" s="20">
        <v>2924.55</v>
      </c>
      <c r="J213" s="17" t="s">
        <v>54</v>
      </c>
      <c r="K213" s="17" t="s">
        <v>55</v>
      </c>
      <c r="L213" s="17" t="s">
        <v>56</v>
      </c>
      <c r="M213" s="19">
        <v>29245.5</v>
      </c>
      <c r="N213" s="19">
        <v>9748.5</v>
      </c>
      <c r="O213" s="17">
        <v>25</v>
      </c>
      <c r="P213" s="17" t="s">
        <v>26</v>
      </c>
      <c r="Q213" s="17">
        <v>12</v>
      </c>
      <c r="R213" s="17" t="s">
        <v>27</v>
      </c>
      <c r="S213" s="14" t="str">
        <f t="shared" si="3"/>
        <v>Week 1</v>
      </c>
    </row>
    <row r="214" spans="1:19" x14ac:dyDescent="0.3">
      <c r="A214" s="8" t="s">
        <v>457</v>
      </c>
      <c r="B214" s="9">
        <v>43075</v>
      </c>
      <c r="C214" s="10" t="s">
        <v>29</v>
      </c>
      <c r="D214" s="10" t="s">
        <v>30</v>
      </c>
      <c r="E214" s="10" t="s">
        <v>252</v>
      </c>
      <c r="F214" s="11">
        <v>5</v>
      </c>
      <c r="G214" s="12">
        <v>5969.7</v>
      </c>
      <c r="H214" s="12">
        <v>29848.5</v>
      </c>
      <c r="I214" s="13">
        <v>4417.5779999999904</v>
      </c>
      <c r="J214" s="10" t="s">
        <v>458</v>
      </c>
      <c r="K214" s="10" t="s">
        <v>459</v>
      </c>
      <c r="L214" s="10" t="s">
        <v>34</v>
      </c>
      <c r="M214" s="12">
        <v>22087.89</v>
      </c>
      <c r="N214" s="12">
        <v>7760.61</v>
      </c>
      <c r="O214" s="10">
        <v>26</v>
      </c>
      <c r="P214" s="10" t="s">
        <v>26</v>
      </c>
      <c r="Q214" s="10">
        <v>12</v>
      </c>
      <c r="R214" s="10" t="s">
        <v>27</v>
      </c>
      <c r="S214" s="14" t="str">
        <f t="shared" si="3"/>
        <v>Week 1</v>
      </c>
    </row>
    <row r="215" spans="1:19" x14ac:dyDescent="0.3">
      <c r="A215" s="15" t="s">
        <v>460</v>
      </c>
      <c r="B215" s="16">
        <v>43075</v>
      </c>
      <c r="C215" s="17" t="s">
        <v>461</v>
      </c>
      <c r="D215" s="17" t="s">
        <v>21</v>
      </c>
      <c r="E215" s="17" t="s">
        <v>91</v>
      </c>
      <c r="F215" s="18">
        <v>6</v>
      </c>
      <c r="G215" s="19">
        <v>911.2</v>
      </c>
      <c r="H215" s="19">
        <v>5467.2000000000007</v>
      </c>
      <c r="I215" s="20">
        <v>446.488</v>
      </c>
      <c r="J215" s="17" t="s">
        <v>45</v>
      </c>
      <c r="K215" s="17" t="s">
        <v>46</v>
      </c>
      <c r="L215" s="17" t="s">
        <v>34</v>
      </c>
      <c r="M215" s="19">
        <v>2678.9279999999999</v>
      </c>
      <c r="N215" s="19">
        <v>2788.2719999999999</v>
      </c>
      <c r="O215" s="17">
        <v>51</v>
      </c>
      <c r="P215" s="17" t="s">
        <v>26</v>
      </c>
      <c r="Q215" s="17">
        <v>12</v>
      </c>
      <c r="R215" s="17" t="s">
        <v>27</v>
      </c>
      <c r="S215" s="14" t="str">
        <f t="shared" si="3"/>
        <v>Week 1</v>
      </c>
    </row>
    <row r="216" spans="1:19" x14ac:dyDescent="0.3">
      <c r="A216" s="8" t="s">
        <v>462</v>
      </c>
      <c r="B216" s="9">
        <v>43075</v>
      </c>
      <c r="C216" s="10" t="s">
        <v>107</v>
      </c>
      <c r="D216" s="10" t="s">
        <v>21</v>
      </c>
      <c r="E216" s="10" t="s">
        <v>228</v>
      </c>
      <c r="F216" s="11">
        <v>11</v>
      </c>
      <c r="G216" s="12">
        <v>2867.6</v>
      </c>
      <c r="H216" s="12">
        <v>31543.599999999999</v>
      </c>
      <c r="I216" s="13">
        <v>1319.096</v>
      </c>
      <c r="J216" s="10" t="s">
        <v>32</v>
      </c>
      <c r="K216" s="10" t="s">
        <v>33</v>
      </c>
      <c r="L216" s="10" t="s">
        <v>34</v>
      </c>
      <c r="M216" s="12">
        <v>14510.056</v>
      </c>
      <c r="N216" s="12">
        <v>17033.5439999999</v>
      </c>
      <c r="O216" s="10">
        <v>53.999999999999901</v>
      </c>
      <c r="P216" s="10" t="s">
        <v>26</v>
      </c>
      <c r="Q216" s="10">
        <v>12</v>
      </c>
      <c r="R216" s="10" t="s">
        <v>27</v>
      </c>
      <c r="S216" s="14" t="str">
        <f t="shared" si="3"/>
        <v>Week 1</v>
      </c>
    </row>
    <row r="217" spans="1:19" x14ac:dyDescent="0.3">
      <c r="A217" s="15" t="s">
        <v>463</v>
      </c>
      <c r="B217" s="16">
        <v>43075</v>
      </c>
      <c r="C217" s="17" t="s">
        <v>464</v>
      </c>
      <c r="D217" s="17" t="s">
        <v>30</v>
      </c>
      <c r="E217" s="17" t="s">
        <v>115</v>
      </c>
      <c r="F217" s="18">
        <v>12</v>
      </c>
      <c r="G217" s="19">
        <v>1159.0999999999999</v>
      </c>
      <c r="H217" s="19">
        <v>13909.199999999999</v>
      </c>
      <c r="I217" s="20">
        <v>707.05100000000004</v>
      </c>
      <c r="J217" s="17" t="s">
        <v>54</v>
      </c>
      <c r="K217" s="17" t="s">
        <v>55</v>
      </c>
      <c r="L217" s="17" t="s">
        <v>56</v>
      </c>
      <c r="M217" s="19">
        <v>8484.6119999999992</v>
      </c>
      <c r="N217" s="19">
        <v>5424.5879999999997</v>
      </c>
      <c r="O217" s="17">
        <v>38.999999999999901</v>
      </c>
      <c r="P217" s="17" t="s">
        <v>26</v>
      </c>
      <c r="Q217" s="17">
        <v>12</v>
      </c>
      <c r="R217" s="17" t="s">
        <v>27</v>
      </c>
      <c r="S217" s="14" t="str">
        <f t="shared" si="3"/>
        <v>Week 1</v>
      </c>
    </row>
    <row r="218" spans="1:19" x14ac:dyDescent="0.3">
      <c r="A218" s="8" t="s">
        <v>465</v>
      </c>
      <c r="B218" s="9">
        <v>43075</v>
      </c>
      <c r="C218" s="10" t="s">
        <v>282</v>
      </c>
      <c r="D218" s="10" t="s">
        <v>30</v>
      </c>
      <c r="E218" s="10" t="s">
        <v>31</v>
      </c>
      <c r="F218" s="11">
        <v>12</v>
      </c>
      <c r="G218" s="12">
        <v>1038.5</v>
      </c>
      <c r="H218" s="12">
        <v>12462</v>
      </c>
      <c r="I218" s="13">
        <v>591.94499999999903</v>
      </c>
      <c r="J218" s="10" t="s">
        <v>23</v>
      </c>
      <c r="K218" s="10" t="s">
        <v>24</v>
      </c>
      <c r="L218" s="10" t="s">
        <v>25</v>
      </c>
      <c r="M218" s="12">
        <v>7103.3399999999901</v>
      </c>
      <c r="N218" s="12">
        <v>5358.66</v>
      </c>
      <c r="O218" s="10">
        <v>43</v>
      </c>
      <c r="P218" s="10" t="s">
        <v>26</v>
      </c>
      <c r="Q218" s="10">
        <v>12</v>
      </c>
      <c r="R218" s="10" t="s">
        <v>27</v>
      </c>
      <c r="S218" s="14" t="str">
        <f t="shared" si="3"/>
        <v>Week 1</v>
      </c>
    </row>
    <row r="219" spans="1:19" x14ac:dyDescent="0.3">
      <c r="A219" s="15" t="s">
        <v>466</v>
      </c>
      <c r="B219" s="16">
        <v>43075</v>
      </c>
      <c r="C219" s="17" t="s">
        <v>217</v>
      </c>
      <c r="D219" s="17" t="s">
        <v>30</v>
      </c>
      <c r="E219" s="17" t="s">
        <v>93</v>
      </c>
      <c r="F219" s="18">
        <v>5</v>
      </c>
      <c r="G219" s="19">
        <v>1340</v>
      </c>
      <c r="H219" s="19">
        <v>6700</v>
      </c>
      <c r="I219" s="20">
        <v>924.599999999999</v>
      </c>
      <c r="J219" s="17" t="s">
        <v>38</v>
      </c>
      <c r="K219" s="17" t="s">
        <v>39</v>
      </c>
      <c r="L219" s="17" t="s">
        <v>40</v>
      </c>
      <c r="M219" s="19">
        <v>4623</v>
      </c>
      <c r="N219" s="19">
        <v>2077</v>
      </c>
      <c r="O219" s="17">
        <v>31</v>
      </c>
      <c r="P219" s="17" t="s">
        <v>26</v>
      </c>
      <c r="Q219" s="17">
        <v>12</v>
      </c>
      <c r="R219" s="17" t="s">
        <v>27</v>
      </c>
      <c r="S219" s="14" t="str">
        <f t="shared" si="3"/>
        <v>Week 1</v>
      </c>
    </row>
    <row r="220" spans="1:19" x14ac:dyDescent="0.3">
      <c r="A220" s="8" t="s">
        <v>467</v>
      </c>
      <c r="B220" s="9">
        <v>43075</v>
      </c>
      <c r="C220" s="10" t="s">
        <v>468</v>
      </c>
      <c r="D220" s="10" t="s">
        <v>21</v>
      </c>
      <c r="E220" s="10" t="s">
        <v>91</v>
      </c>
      <c r="F220" s="11">
        <v>9</v>
      </c>
      <c r="G220" s="12">
        <v>716.9</v>
      </c>
      <c r="H220" s="12">
        <v>6452.0999999999995</v>
      </c>
      <c r="I220" s="13">
        <v>379.95699999999999</v>
      </c>
      <c r="J220" s="10" t="s">
        <v>132</v>
      </c>
      <c r="K220" s="10" t="s">
        <v>133</v>
      </c>
      <c r="L220" s="10" t="s">
        <v>34</v>
      </c>
      <c r="M220" s="12">
        <v>3419.6129999999998</v>
      </c>
      <c r="N220" s="12">
        <v>3032.4869999999901</v>
      </c>
      <c r="O220" s="10">
        <v>47</v>
      </c>
      <c r="P220" s="10" t="s">
        <v>26</v>
      </c>
      <c r="Q220" s="10">
        <v>12</v>
      </c>
      <c r="R220" s="10" t="s">
        <v>27</v>
      </c>
      <c r="S220" s="14" t="str">
        <f t="shared" si="3"/>
        <v>Week 1</v>
      </c>
    </row>
    <row r="221" spans="1:19" x14ac:dyDescent="0.3">
      <c r="A221" s="15" t="s">
        <v>469</v>
      </c>
      <c r="B221" s="16">
        <v>43075</v>
      </c>
      <c r="C221" s="17" t="s">
        <v>470</v>
      </c>
      <c r="D221" s="17" t="s">
        <v>21</v>
      </c>
      <c r="E221" s="17" t="s">
        <v>360</v>
      </c>
      <c r="F221" s="18">
        <v>12</v>
      </c>
      <c r="G221" s="19">
        <v>5480.6</v>
      </c>
      <c r="H221" s="19">
        <v>65767.200000000012</v>
      </c>
      <c r="I221" s="20">
        <v>4110.45</v>
      </c>
      <c r="J221" s="17" t="s">
        <v>23</v>
      </c>
      <c r="K221" s="17" t="s">
        <v>24</v>
      </c>
      <c r="L221" s="17" t="s">
        <v>25</v>
      </c>
      <c r="M221" s="19">
        <v>49325.4</v>
      </c>
      <c r="N221" s="19">
        <v>16441.8</v>
      </c>
      <c r="O221" s="17">
        <v>25</v>
      </c>
      <c r="P221" s="17" t="s">
        <v>26</v>
      </c>
      <c r="Q221" s="17">
        <v>12</v>
      </c>
      <c r="R221" s="17" t="s">
        <v>27</v>
      </c>
      <c r="S221" s="14" t="str">
        <f t="shared" si="3"/>
        <v>Week 1</v>
      </c>
    </row>
    <row r="222" spans="1:19" x14ac:dyDescent="0.3">
      <c r="A222" s="8" t="s">
        <v>471</v>
      </c>
      <c r="B222" s="9">
        <v>43075</v>
      </c>
      <c r="C222" s="10" t="s">
        <v>472</v>
      </c>
      <c r="D222" s="10" t="s">
        <v>30</v>
      </c>
      <c r="E222" s="10" t="s">
        <v>115</v>
      </c>
      <c r="F222" s="11">
        <v>11</v>
      </c>
      <c r="G222" s="12">
        <v>1333.3</v>
      </c>
      <c r="H222" s="12">
        <v>14666.3</v>
      </c>
      <c r="I222" s="13">
        <v>879.97799999999995</v>
      </c>
      <c r="J222" s="10" t="s">
        <v>38</v>
      </c>
      <c r="K222" s="10" t="s">
        <v>39</v>
      </c>
      <c r="L222" s="10" t="s">
        <v>40</v>
      </c>
      <c r="M222" s="12">
        <v>9679.7579999999998</v>
      </c>
      <c r="N222" s="12">
        <v>4986.5419999999904</v>
      </c>
      <c r="O222" s="10">
        <v>33.999999999999901</v>
      </c>
      <c r="P222" s="10" t="s">
        <v>26</v>
      </c>
      <c r="Q222" s="10">
        <v>12</v>
      </c>
      <c r="R222" s="10" t="s">
        <v>27</v>
      </c>
      <c r="S222" s="14" t="str">
        <f t="shared" si="3"/>
        <v>Week 1</v>
      </c>
    </row>
    <row r="223" spans="1:19" x14ac:dyDescent="0.3">
      <c r="A223" s="15" t="s">
        <v>473</v>
      </c>
      <c r="B223" s="16">
        <v>43075</v>
      </c>
      <c r="C223" s="17" t="s">
        <v>474</v>
      </c>
      <c r="D223" s="17" t="s">
        <v>21</v>
      </c>
      <c r="E223" s="17" t="s">
        <v>115</v>
      </c>
      <c r="F223" s="18">
        <v>11</v>
      </c>
      <c r="G223" s="19">
        <v>2405.3000000000002</v>
      </c>
      <c r="H223" s="19">
        <v>26458.300000000003</v>
      </c>
      <c r="I223" s="20">
        <v>1635.604</v>
      </c>
      <c r="J223" s="17" t="s">
        <v>23</v>
      </c>
      <c r="K223" s="17" t="s">
        <v>24</v>
      </c>
      <c r="L223" s="17" t="s">
        <v>25</v>
      </c>
      <c r="M223" s="19">
        <v>17991.644</v>
      </c>
      <c r="N223" s="19">
        <v>8466.6559999999899</v>
      </c>
      <c r="O223" s="17">
        <v>31.999999999999901</v>
      </c>
      <c r="P223" s="17" t="s">
        <v>26</v>
      </c>
      <c r="Q223" s="17">
        <v>12</v>
      </c>
      <c r="R223" s="17" t="s">
        <v>27</v>
      </c>
      <c r="S223" s="14" t="str">
        <f t="shared" si="3"/>
        <v>Week 1</v>
      </c>
    </row>
    <row r="224" spans="1:19" x14ac:dyDescent="0.3">
      <c r="A224" s="8" t="s">
        <v>475</v>
      </c>
      <c r="B224" s="9">
        <v>43075</v>
      </c>
      <c r="C224" s="10" t="s">
        <v>472</v>
      </c>
      <c r="D224" s="10" t="s">
        <v>30</v>
      </c>
      <c r="E224" s="10" t="s">
        <v>265</v>
      </c>
      <c r="F224" s="11">
        <v>6</v>
      </c>
      <c r="G224" s="12">
        <v>3966.4</v>
      </c>
      <c r="H224" s="12">
        <v>23798.400000000001</v>
      </c>
      <c r="I224" s="13">
        <v>2736.8159999999998</v>
      </c>
      <c r="J224" s="10" t="s">
        <v>393</v>
      </c>
      <c r="K224" s="10" t="s">
        <v>394</v>
      </c>
      <c r="L224" s="10" t="s">
        <v>56</v>
      </c>
      <c r="M224" s="12">
        <v>16420.896000000001</v>
      </c>
      <c r="N224" s="12">
        <v>7377.5039999999999</v>
      </c>
      <c r="O224" s="10">
        <v>31</v>
      </c>
      <c r="P224" s="10" t="s">
        <v>26</v>
      </c>
      <c r="Q224" s="10">
        <v>12</v>
      </c>
      <c r="R224" s="10" t="s">
        <v>27</v>
      </c>
      <c r="S224" s="14" t="str">
        <f t="shared" si="3"/>
        <v>Week 1</v>
      </c>
    </row>
    <row r="225" spans="1:19" x14ac:dyDescent="0.3">
      <c r="A225" s="15" t="s">
        <v>476</v>
      </c>
      <c r="B225" s="16">
        <v>43075</v>
      </c>
      <c r="C225" s="17" t="s">
        <v>414</v>
      </c>
      <c r="D225" s="17" t="s">
        <v>30</v>
      </c>
      <c r="E225" s="17" t="s">
        <v>62</v>
      </c>
      <c r="F225" s="18">
        <v>5</v>
      </c>
      <c r="G225" s="19">
        <v>207.7</v>
      </c>
      <c r="H225" s="19">
        <v>1038.5</v>
      </c>
      <c r="I225" s="20">
        <v>168.23699999999999</v>
      </c>
      <c r="J225" s="17" t="s">
        <v>225</v>
      </c>
      <c r="K225" s="17" t="s">
        <v>226</v>
      </c>
      <c r="L225" s="17" t="s">
        <v>25</v>
      </c>
      <c r="M225" s="19">
        <v>841.18499999999995</v>
      </c>
      <c r="N225" s="19">
        <v>197.314999999999</v>
      </c>
      <c r="O225" s="17">
        <v>18.999999999999901</v>
      </c>
      <c r="P225" s="17" t="s">
        <v>26</v>
      </c>
      <c r="Q225" s="17">
        <v>12</v>
      </c>
      <c r="R225" s="17" t="s">
        <v>27</v>
      </c>
      <c r="S225" s="14" t="str">
        <f t="shared" si="3"/>
        <v>Week 1</v>
      </c>
    </row>
    <row r="226" spans="1:19" x14ac:dyDescent="0.3">
      <c r="A226" s="8" t="s">
        <v>477</v>
      </c>
      <c r="B226" s="9">
        <v>43075</v>
      </c>
      <c r="C226" s="10" t="s">
        <v>478</v>
      </c>
      <c r="D226" s="10" t="s">
        <v>30</v>
      </c>
      <c r="E226" s="10" t="s">
        <v>91</v>
      </c>
      <c r="F226" s="11">
        <v>8</v>
      </c>
      <c r="G226" s="12">
        <v>1011.7</v>
      </c>
      <c r="H226" s="12">
        <v>8093.6</v>
      </c>
      <c r="I226" s="13">
        <v>728.42399999999998</v>
      </c>
      <c r="J226" s="10" t="s">
        <v>54</v>
      </c>
      <c r="K226" s="10" t="s">
        <v>55</v>
      </c>
      <c r="L226" s="10" t="s">
        <v>56</v>
      </c>
      <c r="M226" s="12">
        <v>5827.3919999999998</v>
      </c>
      <c r="N226" s="12">
        <v>2266.2080000000001</v>
      </c>
      <c r="O226" s="10">
        <v>28</v>
      </c>
      <c r="P226" s="10" t="s">
        <v>26</v>
      </c>
      <c r="Q226" s="10">
        <v>12</v>
      </c>
      <c r="R226" s="10" t="s">
        <v>27</v>
      </c>
      <c r="S226" s="14" t="str">
        <f t="shared" si="3"/>
        <v>Week 1</v>
      </c>
    </row>
    <row r="227" spans="1:19" x14ac:dyDescent="0.3">
      <c r="A227" s="15" t="s">
        <v>479</v>
      </c>
      <c r="B227" s="16">
        <v>43075</v>
      </c>
      <c r="C227" s="17" t="s">
        <v>480</v>
      </c>
      <c r="D227" s="17" t="s">
        <v>43</v>
      </c>
      <c r="E227" s="17" t="s">
        <v>91</v>
      </c>
      <c r="F227" s="18">
        <v>11</v>
      </c>
      <c r="G227" s="19">
        <v>871</v>
      </c>
      <c r="H227" s="19">
        <v>9581</v>
      </c>
      <c r="I227" s="20">
        <v>418.08</v>
      </c>
      <c r="J227" s="17" t="s">
        <v>481</v>
      </c>
      <c r="K227" s="17" t="s">
        <v>482</v>
      </c>
      <c r="L227" s="17" t="s">
        <v>34</v>
      </c>
      <c r="M227" s="19">
        <v>4598.88</v>
      </c>
      <c r="N227" s="19">
        <v>4982.12</v>
      </c>
      <c r="O227" s="17">
        <v>52</v>
      </c>
      <c r="P227" s="17" t="s">
        <v>26</v>
      </c>
      <c r="Q227" s="17">
        <v>12</v>
      </c>
      <c r="R227" s="17" t="s">
        <v>27</v>
      </c>
      <c r="S227" s="14" t="str">
        <f t="shared" si="3"/>
        <v>Week 1</v>
      </c>
    </row>
    <row r="228" spans="1:19" x14ac:dyDescent="0.3">
      <c r="A228" s="8" t="s">
        <v>483</v>
      </c>
      <c r="B228" s="9">
        <v>43075</v>
      </c>
      <c r="C228" s="10" t="s">
        <v>53</v>
      </c>
      <c r="D228" s="10" t="s">
        <v>21</v>
      </c>
      <c r="E228" s="10" t="s">
        <v>127</v>
      </c>
      <c r="F228" s="11">
        <v>5</v>
      </c>
      <c r="G228" s="12">
        <v>1005</v>
      </c>
      <c r="H228" s="12">
        <v>5025</v>
      </c>
      <c r="I228" s="13">
        <v>592.94999999999902</v>
      </c>
      <c r="J228" s="10" t="s">
        <v>54</v>
      </c>
      <c r="K228" s="10" t="s">
        <v>55</v>
      </c>
      <c r="L228" s="10" t="s">
        <v>56</v>
      </c>
      <c r="M228" s="12">
        <v>2964.74999999999</v>
      </c>
      <c r="N228" s="12">
        <v>2060.25</v>
      </c>
      <c r="O228" s="10">
        <v>41</v>
      </c>
      <c r="P228" s="10" t="s">
        <v>26</v>
      </c>
      <c r="Q228" s="10">
        <v>12</v>
      </c>
      <c r="R228" s="10" t="s">
        <v>27</v>
      </c>
      <c r="S228" s="14" t="str">
        <f t="shared" si="3"/>
        <v>Week 1</v>
      </c>
    </row>
    <row r="229" spans="1:19" x14ac:dyDescent="0.3">
      <c r="A229" s="15" t="s">
        <v>484</v>
      </c>
      <c r="B229" s="16">
        <v>43076</v>
      </c>
      <c r="C229" s="17" t="s">
        <v>474</v>
      </c>
      <c r="D229" s="17" t="s">
        <v>43</v>
      </c>
      <c r="E229" s="17" t="s">
        <v>326</v>
      </c>
      <c r="F229" s="18">
        <v>11</v>
      </c>
      <c r="G229" s="19">
        <v>3758.7</v>
      </c>
      <c r="H229" s="19">
        <v>41345.699999999997</v>
      </c>
      <c r="I229" s="20">
        <v>1954.5239999999999</v>
      </c>
      <c r="J229" s="17" t="s">
        <v>76</v>
      </c>
      <c r="K229" s="17" t="s">
        <v>77</v>
      </c>
      <c r="L229" s="17" t="s">
        <v>56</v>
      </c>
      <c r="M229" s="19">
        <v>21499.763999999999</v>
      </c>
      <c r="N229" s="19">
        <v>19845.936000000002</v>
      </c>
      <c r="O229" s="17">
        <v>48</v>
      </c>
      <c r="P229" s="17" t="s">
        <v>26</v>
      </c>
      <c r="Q229" s="17">
        <v>12</v>
      </c>
      <c r="R229" s="17" t="s">
        <v>27</v>
      </c>
      <c r="S229" s="14" t="str">
        <f t="shared" si="3"/>
        <v>Week 1</v>
      </c>
    </row>
    <row r="230" spans="1:19" x14ac:dyDescent="0.3">
      <c r="A230" s="8" t="s">
        <v>485</v>
      </c>
      <c r="B230" s="9">
        <v>43076</v>
      </c>
      <c r="C230" s="10" t="s">
        <v>129</v>
      </c>
      <c r="D230" s="10" t="s">
        <v>21</v>
      </c>
      <c r="E230" s="10" t="s">
        <v>31</v>
      </c>
      <c r="F230" s="11">
        <v>6</v>
      </c>
      <c r="G230" s="12">
        <v>5634.7</v>
      </c>
      <c r="H230" s="12">
        <v>33808.199999999997</v>
      </c>
      <c r="I230" s="13">
        <v>4226.0249999999996</v>
      </c>
      <c r="J230" s="10" t="s">
        <v>32</v>
      </c>
      <c r="K230" s="10" t="s">
        <v>33</v>
      </c>
      <c r="L230" s="10" t="s">
        <v>34</v>
      </c>
      <c r="M230" s="12">
        <v>25356.1499999999</v>
      </c>
      <c r="N230" s="12">
        <v>8452.0499999999993</v>
      </c>
      <c r="O230" s="10">
        <v>25</v>
      </c>
      <c r="P230" s="10" t="s">
        <v>26</v>
      </c>
      <c r="Q230" s="10">
        <v>12</v>
      </c>
      <c r="R230" s="10" t="s">
        <v>27</v>
      </c>
      <c r="S230" s="14" t="str">
        <f t="shared" si="3"/>
        <v>Week 1</v>
      </c>
    </row>
    <row r="231" spans="1:19" x14ac:dyDescent="0.3">
      <c r="A231" s="15" t="s">
        <v>486</v>
      </c>
      <c r="B231" s="16">
        <v>43076</v>
      </c>
      <c r="C231" s="17" t="s">
        <v>487</v>
      </c>
      <c r="D231" s="17" t="s">
        <v>21</v>
      </c>
      <c r="E231" s="17" t="s">
        <v>146</v>
      </c>
      <c r="F231" s="18">
        <v>9</v>
      </c>
      <c r="G231" s="19">
        <v>241.2</v>
      </c>
      <c r="H231" s="19">
        <v>2170.7999999999997</v>
      </c>
      <c r="I231" s="20">
        <v>161.60400000000001</v>
      </c>
      <c r="J231" s="17" t="s">
        <v>436</v>
      </c>
      <c r="K231" s="17" t="s">
        <v>437</v>
      </c>
      <c r="L231" s="17" t="s">
        <v>25</v>
      </c>
      <c r="M231" s="19">
        <v>1454.4359999999999</v>
      </c>
      <c r="N231" s="19">
        <v>716.36400000000003</v>
      </c>
      <c r="O231" s="17">
        <v>32.999999999999901</v>
      </c>
      <c r="P231" s="17" t="s">
        <v>26</v>
      </c>
      <c r="Q231" s="17">
        <v>12</v>
      </c>
      <c r="R231" s="17" t="s">
        <v>27</v>
      </c>
      <c r="S231" s="14" t="str">
        <f t="shared" si="3"/>
        <v>Week 1</v>
      </c>
    </row>
    <row r="232" spans="1:19" x14ac:dyDescent="0.3">
      <c r="A232" s="8" t="s">
        <v>488</v>
      </c>
      <c r="B232" s="9">
        <v>43076</v>
      </c>
      <c r="C232" s="10" t="s">
        <v>109</v>
      </c>
      <c r="D232" s="10" t="s">
        <v>30</v>
      </c>
      <c r="E232" s="10" t="s">
        <v>31</v>
      </c>
      <c r="F232" s="11">
        <v>7</v>
      </c>
      <c r="G232" s="12">
        <v>1045.2</v>
      </c>
      <c r="H232" s="12">
        <v>7316.4000000000005</v>
      </c>
      <c r="I232" s="13">
        <v>752.54399999999998</v>
      </c>
      <c r="J232" s="10" t="s">
        <v>32</v>
      </c>
      <c r="K232" s="10" t="s">
        <v>33</v>
      </c>
      <c r="L232" s="10" t="s">
        <v>34</v>
      </c>
      <c r="M232" s="12">
        <v>5267.808</v>
      </c>
      <c r="N232" s="12">
        <v>2048.5920000000001</v>
      </c>
      <c r="O232" s="10">
        <v>28</v>
      </c>
      <c r="P232" s="10" t="s">
        <v>26</v>
      </c>
      <c r="Q232" s="10">
        <v>12</v>
      </c>
      <c r="R232" s="10" t="s">
        <v>27</v>
      </c>
      <c r="S232" s="14" t="str">
        <f t="shared" si="3"/>
        <v>Week 1</v>
      </c>
    </row>
    <row r="233" spans="1:19" x14ac:dyDescent="0.3">
      <c r="A233" s="15" t="s">
        <v>489</v>
      </c>
      <c r="B233" s="16">
        <v>43076</v>
      </c>
      <c r="C233" s="17" t="s">
        <v>299</v>
      </c>
      <c r="D233" s="17" t="s">
        <v>21</v>
      </c>
      <c r="E233" s="17" t="s">
        <v>228</v>
      </c>
      <c r="F233" s="18">
        <v>9</v>
      </c>
      <c r="G233" s="19">
        <v>750.4</v>
      </c>
      <c r="H233" s="19">
        <v>6753.5999999999995</v>
      </c>
      <c r="I233" s="20">
        <v>405.21600000000001</v>
      </c>
      <c r="J233" s="17" t="s">
        <v>266</v>
      </c>
      <c r="K233" s="17" t="s">
        <v>267</v>
      </c>
      <c r="L233" s="17" t="s">
        <v>34</v>
      </c>
      <c r="M233" s="19">
        <v>3646.944</v>
      </c>
      <c r="N233" s="19">
        <v>3106.6559999999899</v>
      </c>
      <c r="O233" s="17">
        <v>46</v>
      </c>
      <c r="P233" s="17" t="s">
        <v>26</v>
      </c>
      <c r="Q233" s="17">
        <v>12</v>
      </c>
      <c r="R233" s="17" t="s">
        <v>27</v>
      </c>
      <c r="S233" s="14" t="str">
        <f t="shared" si="3"/>
        <v>Week 1</v>
      </c>
    </row>
    <row r="234" spans="1:19" x14ac:dyDescent="0.3">
      <c r="A234" s="8" t="s">
        <v>490</v>
      </c>
      <c r="B234" s="9">
        <v>43076</v>
      </c>
      <c r="C234" s="10" t="s">
        <v>491</v>
      </c>
      <c r="D234" s="10" t="s">
        <v>43</v>
      </c>
      <c r="E234" s="10" t="s">
        <v>326</v>
      </c>
      <c r="F234" s="11">
        <v>6</v>
      </c>
      <c r="G234" s="12">
        <v>5460.5</v>
      </c>
      <c r="H234" s="12">
        <v>32763</v>
      </c>
      <c r="I234" s="13">
        <v>3003.2750000000001</v>
      </c>
      <c r="J234" s="10" t="s">
        <v>32</v>
      </c>
      <c r="K234" s="10" t="s">
        <v>33</v>
      </c>
      <c r="L234" s="10" t="s">
        <v>34</v>
      </c>
      <c r="M234" s="12">
        <v>18019.650000000001</v>
      </c>
      <c r="N234" s="12">
        <v>14743.3499999999</v>
      </c>
      <c r="O234" s="10">
        <v>44.999999999999901</v>
      </c>
      <c r="P234" s="10" t="s">
        <v>26</v>
      </c>
      <c r="Q234" s="10">
        <v>12</v>
      </c>
      <c r="R234" s="10" t="s">
        <v>27</v>
      </c>
      <c r="S234" s="14" t="str">
        <f t="shared" si="3"/>
        <v>Week 1</v>
      </c>
    </row>
    <row r="235" spans="1:19" x14ac:dyDescent="0.3">
      <c r="A235" s="15" t="s">
        <v>492</v>
      </c>
      <c r="B235" s="16">
        <v>43076</v>
      </c>
      <c r="C235" s="17" t="s">
        <v>356</v>
      </c>
      <c r="D235" s="17" t="s">
        <v>21</v>
      </c>
      <c r="E235" s="17" t="s">
        <v>110</v>
      </c>
      <c r="F235" s="18">
        <v>6</v>
      </c>
      <c r="G235" s="19">
        <v>6411.9</v>
      </c>
      <c r="H235" s="19">
        <v>38471.399999999994</v>
      </c>
      <c r="I235" s="20">
        <v>4167.7349999999997</v>
      </c>
      <c r="J235" s="17" t="s">
        <v>104</v>
      </c>
      <c r="K235" s="17" t="s">
        <v>105</v>
      </c>
      <c r="L235" s="17" t="s">
        <v>25</v>
      </c>
      <c r="M235" s="19">
        <v>25006.41</v>
      </c>
      <c r="N235" s="19">
        <v>13464.9899999999</v>
      </c>
      <c r="O235" s="17">
        <v>34.999999999999901</v>
      </c>
      <c r="P235" s="17" t="s">
        <v>26</v>
      </c>
      <c r="Q235" s="17">
        <v>12</v>
      </c>
      <c r="R235" s="17" t="s">
        <v>27</v>
      </c>
      <c r="S235" s="14" t="str">
        <f t="shared" si="3"/>
        <v>Week 1</v>
      </c>
    </row>
    <row r="236" spans="1:19" x14ac:dyDescent="0.3">
      <c r="A236" s="8" t="s">
        <v>493</v>
      </c>
      <c r="B236" s="9">
        <v>43076</v>
      </c>
      <c r="C236" s="10" t="s">
        <v>328</v>
      </c>
      <c r="D236" s="10" t="s">
        <v>21</v>
      </c>
      <c r="E236" s="10" t="s">
        <v>31</v>
      </c>
      <c r="F236" s="11">
        <v>6</v>
      </c>
      <c r="G236" s="12">
        <v>1688.4</v>
      </c>
      <c r="H236" s="12">
        <v>10130.400000000001</v>
      </c>
      <c r="I236" s="13">
        <v>911.73599999999999</v>
      </c>
      <c r="J236" s="10" t="s">
        <v>54</v>
      </c>
      <c r="K236" s="10" t="s">
        <v>55</v>
      </c>
      <c r="L236" s="10" t="s">
        <v>56</v>
      </c>
      <c r="M236" s="12">
        <v>5470.4160000000002</v>
      </c>
      <c r="N236" s="12">
        <v>4659.9840000000004</v>
      </c>
      <c r="O236" s="10">
        <v>46</v>
      </c>
      <c r="P236" s="10" t="s">
        <v>26</v>
      </c>
      <c r="Q236" s="10">
        <v>12</v>
      </c>
      <c r="R236" s="10" t="s">
        <v>27</v>
      </c>
      <c r="S236" s="14" t="str">
        <f t="shared" si="3"/>
        <v>Week 1</v>
      </c>
    </row>
    <row r="237" spans="1:19" x14ac:dyDescent="0.3">
      <c r="A237" s="15" t="s">
        <v>494</v>
      </c>
      <c r="B237" s="16">
        <v>43076</v>
      </c>
      <c r="C237" s="17" t="s">
        <v>251</v>
      </c>
      <c r="D237" s="17" t="s">
        <v>21</v>
      </c>
      <c r="E237" s="17" t="s">
        <v>49</v>
      </c>
      <c r="F237" s="18">
        <v>7</v>
      </c>
      <c r="G237" s="19">
        <v>1983.2</v>
      </c>
      <c r="H237" s="19">
        <v>13882.4</v>
      </c>
      <c r="I237" s="20">
        <v>1427.904</v>
      </c>
      <c r="J237" s="17" t="s">
        <v>32</v>
      </c>
      <c r="K237" s="17" t="s">
        <v>33</v>
      </c>
      <c r="L237" s="17" t="s">
        <v>34</v>
      </c>
      <c r="M237" s="19">
        <v>9995.3279999999995</v>
      </c>
      <c r="N237" s="19">
        <v>3887.0720000000001</v>
      </c>
      <c r="O237" s="17">
        <v>28</v>
      </c>
      <c r="P237" s="17" t="s">
        <v>26</v>
      </c>
      <c r="Q237" s="17">
        <v>12</v>
      </c>
      <c r="R237" s="17" t="s">
        <v>27</v>
      </c>
      <c r="S237" s="14" t="str">
        <f t="shared" si="3"/>
        <v>Week 1</v>
      </c>
    </row>
    <row r="238" spans="1:19" x14ac:dyDescent="0.3">
      <c r="A238" s="8" t="s">
        <v>495</v>
      </c>
      <c r="B238" s="9">
        <v>43076</v>
      </c>
      <c r="C238" s="10" t="s">
        <v>453</v>
      </c>
      <c r="D238" s="10" t="s">
        <v>30</v>
      </c>
      <c r="E238" s="10" t="s">
        <v>228</v>
      </c>
      <c r="F238" s="11">
        <v>7</v>
      </c>
      <c r="G238" s="12">
        <v>1802.3</v>
      </c>
      <c r="H238" s="12">
        <v>12616.1</v>
      </c>
      <c r="I238" s="13">
        <v>1063.357</v>
      </c>
      <c r="J238" s="10" t="s">
        <v>54</v>
      </c>
      <c r="K238" s="10" t="s">
        <v>55</v>
      </c>
      <c r="L238" s="10" t="s">
        <v>56</v>
      </c>
      <c r="M238" s="12">
        <v>7443.4989999999998</v>
      </c>
      <c r="N238" s="12">
        <v>5172.6009999999997</v>
      </c>
      <c r="O238" s="10">
        <v>41</v>
      </c>
      <c r="P238" s="10" t="s">
        <v>26</v>
      </c>
      <c r="Q238" s="10">
        <v>12</v>
      </c>
      <c r="R238" s="10" t="s">
        <v>27</v>
      </c>
      <c r="S238" s="14" t="str">
        <f t="shared" si="3"/>
        <v>Week 1</v>
      </c>
    </row>
    <row r="239" spans="1:19" x14ac:dyDescent="0.3">
      <c r="A239" s="15" t="s">
        <v>496</v>
      </c>
      <c r="B239" s="16">
        <v>43076</v>
      </c>
      <c r="C239" s="17" t="s">
        <v>497</v>
      </c>
      <c r="D239" s="17" t="s">
        <v>30</v>
      </c>
      <c r="E239" s="17" t="s">
        <v>149</v>
      </c>
      <c r="F239" s="18">
        <v>6</v>
      </c>
      <c r="G239" s="19">
        <v>1125.5999999999999</v>
      </c>
      <c r="H239" s="19">
        <v>6753.5999999999995</v>
      </c>
      <c r="I239" s="20">
        <v>720.38400000000001</v>
      </c>
      <c r="J239" s="17" t="s">
        <v>225</v>
      </c>
      <c r="K239" s="17" t="s">
        <v>226</v>
      </c>
      <c r="L239" s="17" t="s">
        <v>25</v>
      </c>
      <c r="M239" s="19">
        <v>4322.3040000000001</v>
      </c>
      <c r="N239" s="19">
        <v>2431.2959999999898</v>
      </c>
      <c r="O239" s="17">
        <v>35.999999999999901</v>
      </c>
      <c r="P239" s="17" t="s">
        <v>26</v>
      </c>
      <c r="Q239" s="17">
        <v>12</v>
      </c>
      <c r="R239" s="17" t="s">
        <v>27</v>
      </c>
      <c r="S239" s="14" t="str">
        <f t="shared" si="3"/>
        <v>Week 1</v>
      </c>
    </row>
    <row r="240" spans="1:19" x14ac:dyDescent="0.3">
      <c r="A240" s="8" t="s">
        <v>498</v>
      </c>
      <c r="B240" s="9">
        <v>43076</v>
      </c>
      <c r="C240" s="10" t="s">
        <v>499</v>
      </c>
      <c r="D240" s="10" t="s">
        <v>43</v>
      </c>
      <c r="E240" s="10" t="s">
        <v>115</v>
      </c>
      <c r="F240" s="11">
        <v>11</v>
      </c>
      <c r="G240" s="12">
        <v>2358.4</v>
      </c>
      <c r="H240" s="12">
        <v>25942.400000000001</v>
      </c>
      <c r="I240" s="13">
        <v>1698.048</v>
      </c>
      <c r="J240" s="10" t="s">
        <v>23</v>
      </c>
      <c r="K240" s="10" t="s">
        <v>24</v>
      </c>
      <c r="L240" s="10" t="s">
        <v>25</v>
      </c>
      <c r="M240" s="12">
        <v>18678.527999999998</v>
      </c>
      <c r="N240" s="12">
        <v>7263.8720000000003</v>
      </c>
      <c r="O240" s="10">
        <v>28</v>
      </c>
      <c r="P240" s="10" t="s">
        <v>26</v>
      </c>
      <c r="Q240" s="10">
        <v>12</v>
      </c>
      <c r="R240" s="10" t="s">
        <v>27</v>
      </c>
      <c r="S240" s="14" t="str">
        <f t="shared" si="3"/>
        <v>Week 1</v>
      </c>
    </row>
    <row r="241" spans="1:19" x14ac:dyDescent="0.3">
      <c r="A241" s="15" t="s">
        <v>500</v>
      </c>
      <c r="B241" s="16">
        <v>43076</v>
      </c>
      <c r="C241" s="17" t="s">
        <v>321</v>
      </c>
      <c r="D241" s="17" t="s">
        <v>21</v>
      </c>
      <c r="E241" s="17" t="s">
        <v>31</v>
      </c>
      <c r="F241" s="18">
        <v>9</v>
      </c>
      <c r="G241" s="19">
        <v>817.4</v>
      </c>
      <c r="H241" s="19">
        <v>7356.5999999999995</v>
      </c>
      <c r="I241" s="20">
        <v>678.44199999999898</v>
      </c>
      <c r="J241" s="17" t="s">
        <v>257</v>
      </c>
      <c r="K241" s="17" t="s">
        <v>258</v>
      </c>
      <c r="L241" s="17" t="s">
        <v>25</v>
      </c>
      <c r="M241" s="19">
        <v>6105.9779999999901</v>
      </c>
      <c r="N241" s="19">
        <v>1250.6220000000001</v>
      </c>
      <c r="O241" s="17">
        <v>17</v>
      </c>
      <c r="P241" s="17" t="s">
        <v>26</v>
      </c>
      <c r="Q241" s="17">
        <v>12</v>
      </c>
      <c r="R241" s="17" t="s">
        <v>27</v>
      </c>
      <c r="S241" s="14" t="str">
        <f t="shared" si="3"/>
        <v>Week 1</v>
      </c>
    </row>
    <row r="242" spans="1:19" x14ac:dyDescent="0.3">
      <c r="A242" s="8" t="s">
        <v>501</v>
      </c>
      <c r="B242" s="9">
        <v>43076</v>
      </c>
      <c r="C242" s="10" t="s">
        <v>270</v>
      </c>
      <c r="D242" s="10" t="s">
        <v>21</v>
      </c>
      <c r="E242" s="10" t="s">
        <v>37</v>
      </c>
      <c r="F242" s="11">
        <v>9</v>
      </c>
      <c r="G242" s="12">
        <v>2405.3000000000002</v>
      </c>
      <c r="H242" s="12">
        <v>21647.7</v>
      </c>
      <c r="I242" s="13">
        <v>1587.498</v>
      </c>
      <c r="J242" s="10" t="s">
        <v>97</v>
      </c>
      <c r="K242" s="10" t="s">
        <v>98</v>
      </c>
      <c r="L242" s="10" t="s">
        <v>56</v>
      </c>
      <c r="M242" s="12">
        <v>14287.482</v>
      </c>
      <c r="N242" s="12">
        <v>7360.2179999999898</v>
      </c>
      <c r="O242" s="10">
        <v>33.999999999999901</v>
      </c>
      <c r="P242" s="10" t="s">
        <v>26</v>
      </c>
      <c r="Q242" s="10">
        <v>12</v>
      </c>
      <c r="R242" s="10" t="s">
        <v>27</v>
      </c>
      <c r="S242" s="14" t="str">
        <f t="shared" si="3"/>
        <v>Week 1</v>
      </c>
    </row>
    <row r="243" spans="1:19" x14ac:dyDescent="0.3">
      <c r="A243" s="15" t="s">
        <v>502</v>
      </c>
      <c r="B243" s="16">
        <v>43076</v>
      </c>
      <c r="C243" s="17" t="s">
        <v>314</v>
      </c>
      <c r="D243" s="17" t="s">
        <v>30</v>
      </c>
      <c r="E243" s="17" t="s">
        <v>31</v>
      </c>
      <c r="F243" s="18">
        <v>8</v>
      </c>
      <c r="G243" s="19">
        <v>261.3</v>
      </c>
      <c r="H243" s="19">
        <v>2090.4</v>
      </c>
      <c r="I243" s="20">
        <v>143.715</v>
      </c>
      <c r="J243" s="17" t="s">
        <v>32</v>
      </c>
      <c r="K243" s="17" t="s">
        <v>33</v>
      </c>
      <c r="L243" s="17" t="s">
        <v>34</v>
      </c>
      <c r="M243" s="19">
        <v>1149.72</v>
      </c>
      <c r="N243" s="19">
        <v>940.67999999999904</v>
      </c>
      <c r="O243" s="17">
        <v>44.999999999999901</v>
      </c>
      <c r="P243" s="17" t="s">
        <v>26</v>
      </c>
      <c r="Q243" s="17">
        <v>12</v>
      </c>
      <c r="R243" s="17" t="s">
        <v>27</v>
      </c>
      <c r="S243" s="14" t="str">
        <f t="shared" si="3"/>
        <v>Week 1</v>
      </c>
    </row>
    <row r="244" spans="1:19" x14ac:dyDescent="0.3">
      <c r="A244" s="8" t="s">
        <v>503</v>
      </c>
      <c r="B244" s="9">
        <v>43076</v>
      </c>
      <c r="C244" s="10" t="s">
        <v>264</v>
      </c>
      <c r="D244" s="10" t="s">
        <v>21</v>
      </c>
      <c r="E244" s="10" t="s">
        <v>62</v>
      </c>
      <c r="F244" s="11">
        <v>11</v>
      </c>
      <c r="G244" s="12">
        <v>5165.7</v>
      </c>
      <c r="H244" s="12">
        <v>56822.7</v>
      </c>
      <c r="I244" s="13">
        <v>2996.1059999999902</v>
      </c>
      <c r="J244" s="10" t="s">
        <v>54</v>
      </c>
      <c r="K244" s="10" t="s">
        <v>55</v>
      </c>
      <c r="L244" s="10" t="s">
        <v>56</v>
      </c>
      <c r="M244" s="12">
        <v>32957.165999999997</v>
      </c>
      <c r="N244" s="12">
        <v>23865.534</v>
      </c>
      <c r="O244" s="10">
        <v>42</v>
      </c>
      <c r="P244" s="10" t="s">
        <v>26</v>
      </c>
      <c r="Q244" s="10">
        <v>12</v>
      </c>
      <c r="R244" s="10" t="s">
        <v>27</v>
      </c>
      <c r="S244" s="14" t="str">
        <f t="shared" si="3"/>
        <v>Week 1</v>
      </c>
    </row>
    <row r="245" spans="1:19" x14ac:dyDescent="0.3">
      <c r="A245" s="15" t="s">
        <v>504</v>
      </c>
      <c r="B245" s="16">
        <v>43076</v>
      </c>
      <c r="C245" s="17" t="s">
        <v>194</v>
      </c>
      <c r="D245" s="17" t="s">
        <v>43</v>
      </c>
      <c r="E245" s="17" t="s">
        <v>103</v>
      </c>
      <c r="F245" s="18">
        <v>12</v>
      </c>
      <c r="G245" s="19">
        <v>1822.4</v>
      </c>
      <c r="H245" s="19">
        <v>21868.800000000003</v>
      </c>
      <c r="I245" s="20">
        <v>1093.44</v>
      </c>
      <c r="J245" s="17" t="s">
        <v>32</v>
      </c>
      <c r="K245" s="17" t="s">
        <v>33</v>
      </c>
      <c r="L245" s="17" t="s">
        <v>34</v>
      </c>
      <c r="M245" s="19">
        <v>13121.28</v>
      </c>
      <c r="N245" s="19">
        <v>8747.52</v>
      </c>
      <c r="O245" s="17">
        <v>40</v>
      </c>
      <c r="P245" s="17" t="s">
        <v>26</v>
      </c>
      <c r="Q245" s="17">
        <v>12</v>
      </c>
      <c r="R245" s="17" t="s">
        <v>27</v>
      </c>
      <c r="S245" s="14" t="str">
        <f t="shared" si="3"/>
        <v>Week 1</v>
      </c>
    </row>
    <row r="246" spans="1:19" x14ac:dyDescent="0.3">
      <c r="A246" s="8" t="s">
        <v>505</v>
      </c>
      <c r="B246" s="9">
        <v>43076</v>
      </c>
      <c r="C246" s="10" t="s">
        <v>182</v>
      </c>
      <c r="D246" s="10" t="s">
        <v>21</v>
      </c>
      <c r="E246" s="10" t="s">
        <v>91</v>
      </c>
      <c r="F246" s="11">
        <v>8</v>
      </c>
      <c r="G246" s="12">
        <v>3162.4</v>
      </c>
      <c r="H246" s="12">
        <v>25299.200000000001</v>
      </c>
      <c r="I246" s="13">
        <v>1612.8240000000001</v>
      </c>
      <c r="J246" s="10" t="s">
        <v>38</v>
      </c>
      <c r="K246" s="10" t="s">
        <v>39</v>
      </c>
      <c r="L246" s="10" t="s">
        <v>40</v>
      </c>
      <c r="M246" s="12">
        <v>12902.592000000001</v>
      </c>
      <c r="N246" s="12">
        <v>12396.608</v>
      </c>
      <c r="O246" s="10">
        <v>49</v>
      </c>
      <c r="P246" s="10" t="s">
        <v>26</v>
      </c>
      <c r="Q246" s="10">
        <v>12</v>
      </c>
      <c r="R246" s="10" t="s">
        <v>27</v>
      </c>
      <c r="S246" s="14" t="str">
        <f t="shared" si="3"/>
        <v>Week 1</v>
      </c>
    </row>
    <row r="247" spans="1:19" x14ac:dyDescent="0.3">
      <c r="A247" s="15" t="s">
        <v>506</v>
      </c>
      <c r="B247" s="16">
        <v>43076</v>
      </c>
      <c r="C247" s="17" t="s">
        <v>507</v>
      </c>
      <c r="D247" s="17" t="s">
        <v>21</v>
      </c>
      <c r="E247" s="17" t="s">
        <v>22</v>
      </c>
      <c r="F247" s="18">
        <v>6</v>
      </c>
      <c r="G247" s="19">
        <v>1011.7</v>
      </c>
      <c r="H247" s="19">
        <v>6070.2000000000007</v>
      </c>
      <c r="I247" s="20">
        <v>829.59399999999903</v>
      </c>
      <c r="J247" s="17" t="s">
        <v>436</v>
      </c>
      <c r="K247" s="17" t="s">
        <v>437</v>
      </c>
      <c r="L247" s="17" t="s">
        <v>25</v>
      </c>
      <c r="M247" s="19">
        <v>4977.5639999999903</v>
      </c>
      <c r="N247" s="19">
        <v>1092.636</v>
      </c>
      <c r="O247" s="17">
        <v>18</v>
      </c>
      <c r="P247" s="17" t="s">
        <v>26</v>
      </c>
      <c r="Q247" s="17">
        <v>12</v>
      </c>
      <c r="R247" s="17" t="s">
        <v>27</v>
      </c>
      <c r="S247" s="14" t="str">
        <f t="shared" si="3"/>
        <v>Week 1</v>
      </c>
    </row>
    <row r="248" spans="1:19" x14ac:dyDescent="0.3">
      <c r="A248" s="8" t="s">
        <v>508</v>
      </c>
      <c r="B248" s="9">
        <v>43076</v>
      </c>
      <c r="C248" s="10" t="s">
        <v>509</v>
      </c>
      <c r="D248" s="10" t="s">
        <v>43</v>
      </c>
      <c r="E248" s="10" t="s">
        <v>146</v>
      </c>
      <c r="F248" s="11">
        <v>8</v>
      </c>
      <c r="G248" s="12">
        <v>4006.6</v>
      </c>
      <c r="H248" s="12">
        <v>32052.799999999999</v>
      </c>
      <c r="I248" s="13">
        <v>1762.904</v>
      </c>
      <c r="J248" s="10" t="s">
        <v>76</v>
      </c>
      <c r="K248" s="10" t="s">
        <v>77</v>
      </c>
      <c r="L248" s="10" t="s">
        <v>56</v>
      </c>
      <c r="M248" s="12">
        <v>14103.232</v>
      </c>
      <c r="N248" s="12">
        <v>17949.567999999999</v>
      </c>
      <c r="O248" s="10">
        <v>55.999999999999901</v>
      </c>
      <c r="P248" s="10" t="s">
        <v>26</v>
      </c>
      <c r="Q248" s="10">
        <v>12</v>
      </c>
      <c r="R248" s="10" t="s">
        <v>27</v>
      </c>
      <c r="S248" s="14" t="str">
        <f t="shared" si="3"/>
        <v>Week 1</v>
      </c>
    </row>
    <row r="249" spans="1:19" x14ac:dyDescent="0.3">
      <c r="A249" s="15" t="s">
        <v>510</v>
      </c>
      <c r="B249" s="16">
        <v>43076</v>
      </c>
      <c r="C249" s="17" t="s">
        <v>288</v>
      </c>
      <c r="D249" s="17" t="s">
        <v>21</v>
      </c>
      <c r="E249" s="17" t="s">
        <v>230</v>
      </c>
      <c r="F249" s="18">
        <v>12</v>
      </c>
      <c r="G249" s="19">
        <v>180.9</v>
      </c>
      <c r="H249" s="19">
        <v>2170.8000000000002</v>
      </c>
      <c r="I249" s="20">
        <v>117.58499999999999</v>
      </c>
      <c r="J249" s="17" t="s">
        <v>50</v>
      </c>
      <c r="K249" s="17" t="s">
        <v>51</v>
      </c>
      <c r="L249" s="17" t="s">
        <v>40</v>
      </c>
      <c r="M249" s="19">
        <v>1411.02</v>
      </c>
      <c r="N249" s="19">
        <v>759.78</v>
      </c>
      <c r="O249" s="17">
        <v>35</v>
      </c>
      <c r="P249" s="17" t="s">
        <v>26</v>
      </c>
      <c r="Q249" s="17">
        <v>12</v>
      </c>
      <c r="R249" s="17" t="s">
        <v>27</v>
      </c>
      <c r="S249" s="14" t="str">
        <f t="shared" si="3"/>
        <v>Week 1</v>
      </c>
    </row>
    <row r="250" spans="1:19" x14ac:dyDescent="0.3">
      <c r="A250" s="8" t="s">
        <v>511</v>
      </c>
      <c r="B250" s="9">
        <v>43076</v>
      </c>
      <c r="C250" s="10" t="s">
        <v>86</v>
      </c>
      <c r="D250" s="10" t="s">
        <v>21</v>
      </c>
      <c r="E250" s="10" t="s">
        <v>37</v>
      </c>
      <c r="F250" s="11">
        <v>10</v>
      </c>
      <c r="G250" s="12">
        <v>971.5</v>
      </c>
      <c r="H250" s="12">
        <v>9715</v>
      </c>
      <c r="I250" s="13">
        <v>417.745</v>
      </c>
      <c r="J250" s="10" t="s">
        <v>116</v>
      </c>
      <c r="K250" s="10" t="s">
        <v>117</v>
      </c>
      <c r="L250" s="10" t="s">
        <v>40</v>
      </c>
      <c r="M250" s="12">
        <v>4177.45</v>
      </c>
      <c r="N250" s="12">
        <v>5537.55</v>
      </c>
      <c r="O250" s="10">
        <v>57</v>
      </c>
      <c r="P250" s="10" t="s">
        <v>26</v>
      </c>
      <c r="Q250" s="10">
        <v>12</v>
      </c>
      <c r="R250" s="10" t="s">
        <v>27</v>
      </c>
      <c r="S250" s="14" t="str">
        <f t="shared" si="3"/>
        <v>Week 1</v>
      </c>
    </row>
    <row r="251" spans="1:19" x14ac:dyDescent="0.3">
      <c r="A251" s="15" t="s">
        <v>512</v>
      </c>
      <c r="B251" s="16">
        <v>43076</v>
      </c>
      <c r="C251" s="17" t="s">
        <v>499</v>
      </c>
      <c r="D251" s="17" t="s">
        <v>30</v>
      </c>
      <c r="E251" s="17" t="s">
        <v>103</v>
      </c>
      <c r="F251" s="18">
        <v>6</v>
      </c>
      <c r="G251" s="19">
        <v>1065.3</v>
      </c>
      <c r="H251" s="19">
        <v>6391.7999999999993</v>
      </c>
      <c r="I251" s="20">
        <v>585.91499999999996</v>
      </c>
      <c r="J251" s="17" t="s">
        <v>257</v>
      </c>
      <c r="K251" s="17" t="s">
        <v>258</v>
      </c>
      <c r="L251" s="17" t="s">
        <v>25</v>
      </c>
      <c r="M251" s="19">
        <v>3515.49</v>
      </c>
      <c r="N251" s="19">
        <v>2876.3099999999899</v>
      </c>
      <c r="O251" s="17">
        <v>44.999999999999901</v>
      </c>
      <c r="P251" s="17" t="s">
        <v>26</v>
      </c>
      <c r="Q251" s="17">
        <v>12</v>
      </c>
      <c r="R251" s="17" t="s">
        <v>27</v>
      </c>
      <c r="S251" s="14" t="str">
        <f t="shared" si="3"/>
        <v>Week 1</v>
      </c>
    </row>
    <row r="252" spans="1:19" x14ac:dyDescent="0.3">
      <c r="A252" s="8" t="s">
        <v>513</v>
      </c>
      <c r="B252" s="9">
        <v>43076</v>
      </c>
      <c r="C252" s="10" t="s">
        <v>514</v>
      </c>
      <c r="D252" s="10" t="s">
        <v>21</v>
      </c>
      <c r="E252" s="10" t="s">
        <v>93</v>
      </c>
      <c r="F252" s="11">
        <v>6</v>
      </c>
      <c r="G252" s="12">
        <v>2606.3000000000002</v>
      </c>
      <c r="H252" s="12">
        <v>15637.800000000001</v>
      </c>
      <c r="I252" s="13">
        <v>1485.5909999999999</v>
      </c>
      <c r="J252" s="10" t="s">
        <v>54</v>
      </c>
      <c r="K252" s="10" t="s">
        <v>55</v>
      </c>
      <c r="L252" s="10" t="s">
        <v>56</v>
      </c>
      <c r="M252" s="12">
        <v>8913.5459999999894</v>
      </c>
      <c r="N252" s="12">
        <v>6724.2539999999999</v>
      </c>
      <c r="O252" s="10">
        <v>43</v>
      </c>
      <c r="P252" s="10" t="s">
        <v>26</v>
      </c>
      <c r="Q252" s="10">
        <v>12</v>
      </c>
      <c r="R252" s="10" t="s">
        <v>27</v>
      </c>
      <c r="S252" s="14" t="str">
        <f t="shared" si="3"/>
        <v>Week 1</v>
      </c>
    </row>
    <row r="253" spans="1:19" x14ac:dyDescent="0.3">
      <c r="A253" s="15" t="s">
        <v>515</v>
      </c>
      <c r="B253" s="16">
        <v>43076</v>
      </c>
      <c r="C253" s="17" t="s">
        <v>42</v>
      </c>
      <c r="D253" s="17" t="s">
        <v>30</v>
      </c>
      <c r="E253" s="17" t="s">
        <v>191</v>
      </c>
      <c r="F253" s="18">
        <v>12</v>
      </c>
      <c r="G253" s="19">
        <v>4013.3</v>
      </c>
      <c r="H253" s="19">
        <v>48159.600000000006</v>
      </c>
      <c r="I253" s="20">
        <v>2568.5120000000002</v>
      </c>
      <c r="J253" s="17" t="s">
        <v>45</v>
      </c>
      <c r="K253" s="17" t="s">
        <v>46</v>
      </c>
      <c r="L253" s="17" t="s">
        <v>34</v>
      </c>
      <c r="M253" s="19">
        <v>30822.144</v>
      </c>
      <c r="N253" s="19">
        <v>17337.455999999998</v>
      </c>
      <c r="O253" s="17">
        <v>36</v>
      </c>
      <c r="P253" s="17" t="s">
        <v>26</v>
      </c>
      <c r="Q253" s="17">
        <v>12</v>
      </c>
      <c r="R253" s="17" t="s">
        <v>27</v>
      </c>
      <c r="S253" s="14" t="str">
        <f t="shared" si="3"/>
        <v>Week 1</v>
      </c>
    </row>
    <row r="254" spans="1:19" x14ac:dyDescent="0.3">
      <c r="A254" s="8" t="s">
        <v>516</v>
      </c>
      <c r="B254" s="9">
        <v>43076</v>
      </c>
      <c r="C254" s="10" t="s">
        <v>408</v>
      </c>
      <c r="D254" s="10" t="s">
        <v>21</v>
      </c>
      <c r="E254" s="10" t="s">
        <v>93</v>
      </c>
      <c r="F254" s="11">
        <v>12</v>
      </c>
      <c r="G254" s="12">
        <v>3832.4</v>
      </c>
      <c r="H254" s="12">
        <v>45988.800000000003</v>
      </c>
      <c r="I254" s="13">
        <v>2682.68</v>
      </c>
      <c r="J254" s="10" t="s">
        <v>32</v>
      </c>
      <c r="K254" s="10" t="s">
        <v>33</v>
      </c>
      <c r="L254" s="10" t="s">
        <v>34</v>
      </c>
      <c r="M254" s="12">
        <v>32192.159999999902</v>
      </c>
      <c r="N254" s="12">
        <v>13796.64</v>
      </c>
      <c r="O254" s="10">
        <v>30</v>
      </c>
      <c r="P254" s="10" t="s">
        <v>26</v>
      </c>
      <c r="Q254" s="10">
        <v>12</v>
      </c>
      <c r="R254" s="10" t="s">
        <v>27</v>
      </c>
      <c r="S254" s="14" t="str">
        <f t="shared" si="3"/>
        <v>Week 1</v>
      </c>
    </row>
    <row r="255" spans="1:19" x14ac:dyDescent="0.3">
      <c r="A255" s="15" t="s">
        <v>517</v>
      </c>
      <c r="B255" s="16">
        <v>43076</v>
      </c>
      <c r="C255" s="17" t="s">
        <v>254</v>
      </c>
      <c r="D255" s="17" t="s">
        <v>21</v>
      </c>
      <c r="E255" s="17" t="s">
        <v>284</v>
      </c>
      <c r="F255" s="18">
        <v>12</v>
      </c>
      <c r="G255" s="19">
        <v>3899.4</v>
      </c>
      <c r="H255" s="19">
        <v>46792.800000000003</v>
      </c>
      <c r="I255" s="20">
        <v>2612.598</v>
      </c>
      <c r="J255" s="17" t="s">
        <v>257</v>
      </c>
      <c r="K255" s="17" t="s">
        <v>258</v>
      </c>
      <c r="L255" s="17" t="s">
        <v>25</v>
      </c>
      <c r="M255" s="19">
        <v>31351.175999999999</v>
      </c>
      <c r="N255" s="19">
        <v>15441.6239999999</v>
      </c>
      <c r="O255" s="17">
        <v>32.999999999999901</v>
      </c>
      <c r="P255" s="17" t="s">
        <v>26</v>
      </c>
      <c r="Q255" s="17">
        <v>12</v>
      </c>
      <c r="R255" s="17" t="s">
        <v>27</v>
      </c>
      <c r="S255" s="14" t="str">
        <f t="shared" si="3"/>
        <v>Week 1</v>
      </c>
    </row>
    <row r="256" spans="1:19" x14ac:dyDescent="0.3">
      <c r="A256" s="8" t="s">
        <v>518</v>
      </c>
      <c r="B256" s="9">
        <v>43076</v>
      </c>
      <c r="C256" s="10" t="s">
        <v>519</v>
      </c>
      <c r="D256" s="10" t="s">
        <v>30</v>
      </c>
      <c r="E256" s="10" t="s">
        <v>120</v>
      </c>
      <c r="F256" s="11">
        <v>8</v>
      </c>
      <c r="G256" s="12">
        <v>2881</v>
      </c>
      <c r="H256" s="12">
        <v>23048</v>
      </c>
      <c r="I256" s="13">
        <v>2189.56</v>
      </c>
      <c r="J256" s="10" t="s">
        <v>257</v>
      </c>
      <c r="K256" s="10" t="s">
        <v>258</v>
      </c>
      <c r="L256" s="10" t="s">
        <v>25</v>
      </c>
      <c r="M256" s="12">
        <v>17516.48</v>
      </c>
      <c r="N256" s="12">
        <v>5531.52</v>
      </c>
      <c r="O256" s="10">
        <v>24</v>
      </c>
      <c r="P256" s="10" t="s">
        <v>26</v>
      </c>
      <c r="Q256" s="10">
        <v>12</v>
      </c>
      <c r="R256" s="10" t="s">
        <v>27</v>
      </c>
      <c r="S256" s="14" t="str">
        <f t="shared" si="3"/>
        <v>Week 1</v>
      </c>
    </row>
    <row r="257" spans="1:19" x14ac:dyDescent="0.3">
      <c r="A257" s="15" t="s">
        <v>520</v>
      </c>
      <c r="B257" s="16">
        <v>43076</v>
      </c>
      <c r="C257" s="17" t="s">
        <v>521</v>
      </c>
      <c r="D257" s="17" t="s">
        <v>21</v>
      </c>
      <c r="E257" s="17" t="s">
        <v>31</v>
      </c>
      <c r="F257" s="18">
        <v>9</v>
      </c>
      <c r="G257" s="19">
        <v>3912.8</v>
      </c>
      <c r="H257" s="19">
        <v>35215.200000000004</v>
      </c>
      <c r="I257" s="20">
        <v>2738.96</v>
      </c>
      <c r="J257" s="17" t="s">
        <v>38</v>
      </c>
      <c r="K257" s="17" t="s">
        <v>39</v>
      </c>
      <c r="L257" s="17" t="s">
        <v>40</v>
      </c>
      <c r="M257" s="19">
        <v>24650.639999999999</v>
      </c>
      <c r="N257" s="19">
        <v>10564.56</v>
      </c>
      <c r="O257" s="17">
        <v>30</v>
      </c>
      <c r="P257" s="17" t="s">
        <v>26</v>
      </c>
      <c r="Q257" s="17">
        <v>12</v>
      </c>
      <c r="R257" s="17" t="s">
        <v>27</v>
      </c>
      <c r="S257" s="14" t="str">
        <f t="shared" si="3"/>
        <v>Week 1</v>
      </c>
    </row>
    <row r="258" spans="1:19" x14ac:dyDescent="0.3">
      <c r="A258" s="8" t="s">
        <v>522</v>
      </c>
      <c r="B258" s="9">
        <v>43076</v>
      </c>
      <c r="C258" s="10" t="s">
        <v>282</v>
      </c>
      <c r="D258" s="10" t="s">
        <v>21</v>
      </c>
      <c r="E258" s="10" t="s">
        <v>197</v>
      </c>
      <c r="F258" s="11">
        <v>6</v>
      </c>
      <c r="G258" s="12">
        <v>3912.8</v>
      </c>
      <c r="H258" s="12">
        <v>23476.800000000003</v>
      </c>
      <c r="I258" s="13">
        <v>2034.6559999999999</v>
      </c>
      <c r="J258" s="10" t="s">
        <v>177</v>
      </c>
      <c r="K258" s="10" t="s">
        <v>178</v>
      </c>
      <c r="L258" s="10" t="s">
        <v>40</v>
      </c>
      <c r="M258" s="12">
        <v>12207.936</v>
      </c>
      <c r="N258" s="12">
        <v>11268.864</v>
      </c>
      <c r="O258" s="10">
        <v>48</v>
      </c>
      <c r="P258" s="10" t="s">
        <v>26</v>
      </c>
      <c r="Q258" s="10">
        <v>12</v>
      </c>
      <c r="R258" s="10" t="s">
        <v>27</v>
      </c>
      <c r="S258" s="14" t="str">
        <f t="shared" si="3"/>
        <v>Week 1</v>
      </c>
    </row>
    <row r="259" spans="1:19" x14ac:dyDescent="0.3">
      <c r="A259" s="15" t="s">
        <v>523</v>
      </c>
      <c r="B259" s="16">
        <v>43076</v>
      </c>
      <c r="C259" s="17" t="s">
        <v>356</v>
      </c>
      <c r="D259" s="17" t="s">
        <v>21</v>
      </c>
      <c r="E259" s="17" t="s">
        <v>146</v>
      </c>
      <c r="F259" s="18">
        <v>8</v>
      </c>
      <c r="G259" s="19">
        <v>2217.6999999999998</v>
      </c>
      <c r="H259" s="19">
        <v>17741.599999999999</v>
      </c>
      <c r="I259" s="20">
        <v>1131.027</v>
      </c>
      <c r="J259" s="17" t="s">
        <v>177</v>
      </c>
      <c r="K259" s="17" t="s">
        <v>178</v>
      </c>
      <c r="L259" s="17" t="s">
        <v>40</v>
      </c>
      <c r="M259" s="19">
        <v>9048.2160000000003</v>
      </c>
      <c r="N259" s="19">
        <v>8693.384</v>
      </c>
      <c r="O259" s="17">
        <v>48.999999999999901</v>
      </c>
      <c r="P259" s="17" t="s">
        <v>26</v>
      </c>
      <c r="Q259" s="17">
        <v>12</v>
      </c>
      <c r="R259" s="17" t="s">
        <v>27</v>
      </c>
      <c r="S259" s="14" t="str">
        <f t="shared" ref="S259:S322" si="4">"Week "&amp;INT((DAY(B259)-1)/7)+1</f>
        <v>Week 1</v>
      </c>
    </row>
    <row r="260" spans="1:19" x14ac:dyDescent="0.3">
      <c r="A260" s="8" t="s">
        <v>524</v>
      </c>
      <c r="B260" s="9">
        <v>43076</v>
      </c>
      <c r="C260" s="10" t="s">
        <v>367</v>
      </c>
      <c r="D260" s="10" t="s">
        <v>43</v>
      </c>
      <c r="E260" s="10" t="s">
        <v>191</v>
      </c>
      <c r="F260" s="11">
        <v>8</v>
      </c>
      <c r="G260" s="12">
        <v>1132.3</v>
      </c>
      <c r="H260" s="12">
        <v>9058.4</v>
      </c>
      <c r="I260" s="13">
        <v>917.16300000000001</v>
      </c>
      <c r="J260" s="10" t="s">
        <v>38</v>
      </c>
      <c r="K260" s="10" t="s">
        <v>39</v>
      </c>
      <c r="L260" s="10" t="s">
        <v>40</v>
      </c>
      <c r="M260" s="12">
        <v>7337.3040000000001</v>
      </c>
      <c r="N260" s="12">
        <v>1721.09599999999</v>
      </c>
      <c r="O260" s="10">
        <v>18.999999999999901</v>
      </c>
      <c r="P260" s="10" t="s">
        <v>26</v>
      </c>
      <c r="Q260" s="10">
        <v>12</v>
      </c>
      <c r="R260" s="10" t="s">
        <v>27</v>
      </c>
      <c r="S260" s="14" t="str">
        <f t="shared" si="4"/>
        <v>Week 1</v>
      </c>
    </row>
    <row r="261" spans="1:19" x14ac:dyDescent="0.3">
      <c r="A261" s="15" t="s">
        <v>525</v>
      </c>
      <c r="B261" s="16">
        <v>43076</v>
      </c>
      <c r="C261" s="17" t="s">
        <v>526</v>
      </c>
      <c r="D261" s="17" t="s">
        <v>21</v>
      </c>
      <c r="E261" s="17" t="s">
        <v>120</v>
      </c>
      <c r="F261" s="18">
        <v>7</v>
      </c>
      <c r="G261" s="19">
        <v>3463.9</v>
      </c>
      <c r="H261" s="19">
        <v>24247.3</v>
      </c>
      <c r="I261" s="20">
        <v>2909.6759999999999</v>
      </c>
      <c r="J261" s="17" t="s">
        <v>94</v>
      </c>
      <c r="K261" s="17" t="s">
        <v>95</v>
      </c>
      <c r="L261" s="17" t="s">
        <v>40</v>
      </c>
      <c r="M261" s="19">
        <v>20367.732</v>
      </c>
      <c r="N261" s="19">
        <v>3879.5679999999902</v>
      </c>
      <c r="O261" s="17">
        <v>15.999999999999901</v>
      </c>
      <c r="P261" s="17" t="s">
        <v>26</v>
      </c>
      <c r="Q261" s="17">
        <v>12</v>
      </c>
      <c r="R261" s="17" t="s">
        <v>27</v>
      </c>
      <c r="S261" s="14" t="str">
        <f t="shared" si="4"/>
        <v>Week 1</v>
      </c>
    </row>
    <row r="262" spans="1:19" x14ac:dyDescent="0.3">
      <c r="A262" s="8" t="s">
        <v>527</v>
      </c>
      <c r="B262" s="9">
        <v>43076</v>
      </c>
      <c r="C262" s="10" t="s">
        <v>36</v>
      </c>
      <c r="D262" s="10" t="s">
        <v>30</v>
      </c>
      <c r="E262" s="10" t="s">
        <v>149</v>
      </c>
      <c r="F262" s="11">
        <v>5</v>
      </c>
      <c r="G262" s="12">
        <v>1038.5</v>
      </c>
      <c r="H262" s="12">
        <v>5192.5</v>
      </c>
      <c r="I262" s="13">
        <v>446.55500000000001</v>
      </c>
      <c r="J262" s="10" t="s">
        <v>116</v>
      </c>
      <c r="K262" s="10" t="s">
        <v>117</v>
      </c>
      <c r="L262" s="10" t="s">
        <v>40</v>
      </c>
      <c r="M262" s="12">
        <v>2232.7750000000001</v>
      </c>
      <c r="N262" s="12">
        <v>2959.7249999999999</v>
      </c>
      <c r="O262" s="10">
        <v>56.999999999999901</v>
      </c>
      <c r="P262" s="10" t="s">
        <v>26</v>
      </c>
      <c r="Q262" s="10">
        <v>12</v>
      </c>
      <c r="R262" s="10" t="s">
        <v>27</v>
      </c>
      <c r="S262" s="14" t="str">
        <f t="shared" si="4"/>
        <v>Week 1</v>
      </c>
    </row>
    <row r="263" spans="1:19" x14ac:dyDescent="0.3">
      <c r="A263" s="15" t="s">
        <v>528</v>
      </c>
      <c r="B263" s="16">
        <v>43076</v>
      </c>
      <c r="C263" s="17" t="s">
        <v>529</v>
      </c>
      <c r="D263" s="17" t="s">
        <v>43</v>
      </c>
      <c r="E263" s="17" t="s">
        <v>120</v>
      </c>
      <c r="F263" s="18">
        <v>11</v>
      </c>
      <c r="G263" s="19">
        <v>844.2</v>
      </c>
      <c r="H263" s="19">
        <v>9286.2000000000007</v>
      </c>
      <c r="I263" s="20">
        <v>565.61400000000003</v>
      </c>
      <c r="J263" s="17" t="s">
        <v>225</v>
      </c>
      <c r="K263" s="17" t="s">
        <v>226</v>
      </c>
      <c r="L263" s="17" t="s">
        <v>25</v>
      </c>
      <c r="M263" s="19">
        <v>6221.7539999999999</v>
      </c>
      <c r="N263" s="19">
        <v>3064.4459999999999</v>
      </c>
      <c r="O263" s="17">
        <v>32.999999999999901</v>
      </c>
      <c r="P263" s="17" t="s">
        <v>26</v>
      </c>
      <c r="Q263" s="17">
        <v>12</v>
      </c>
      <c r="R263" s="17" t="s">
        <v>27</v>
      </c>
      <c r="S263" s="14" t="str">
        <f t="shared" si="4"/>
        <v>Week 1</v>
      </c>
    </row>
    <row r="264" spans="1:19" x14ac:dyDescent="0.3">
      <c r="A264" s="8" t="s">
        <v>530</v>
      </c>
      <c r="B264" s="9">
        <v>43076</v>
      </c>
      <c r="C264" s="10" t="s">
        <v>145</v>
      </c>
      <c r="D264" s="10" t="s">
        <v>21</v>
      </c>
      <c r="E264" s="10" t="s">
        <v>115</v>
      </c>
      <c r="F264" s="11">
        <v>7</v>
      </c>
      <c r="G264" s="12">
        <v>938</v>
      </c>
      <c r="H264" s="12">
        <v>6566</v>
      </c>
      <c r="I264" s="13">
        <v>515.9</v>
      </c>
      <c r="J264" s="10" t="s">
        <v>116</v>
      </c>
      <c r="K264" s="10" t="s">
        <v>117</v>
      </c>
      <c r="L264" s="10" t="s">
        <v>40</v>
      </c>
      <c r="M264" s="12">
        <v>3611.3</v>
      </c>
      <c r="N264" s="12">
        <v>2954.6999999999898</v>
      </c>
      <c r="O264" s="10">
        <v>44.999999999999901</v>
      </c>
      <c r="P264" s="10" t="s">
        <v>26</v>
      </c>
      <c r="Q264" s="10">
        <v>12</v>
      </c>
      <c r="R264" s="10" t="s">
        <v>27</v>
      </c>
      <c r="S264" s="14" t="str">
        <f t="shared" si="4"/>
        <v>Week 1</v>
      </c>
    </row>
    <row r="265" spans="1:19" x14ac:dyDescent="0.3">
      <c r="A265" s="15" t="s">
        <v>531</v>
      </c>
      <c r="B265" s="16">
        <v>43076</v>
      </c>
      <c r="C265" s="17" t="s">
        <v>151</v>
      </c>
      <c r="D265" s="17" t="s">
        <v>30</v>
      </c>
      <c r="E265" s="17" t="s">
        <v>73</v>
      </c>
      <c r="F265" s="18">
        <v>5</v>
      </c>
      <c r="G265" s="19">
        <v>2954.7</v>
      </c>
      <c r="H265" s="19">
        <v>14773.5</v>
      </c>
      <c r="I265" s="20">
        <v>1300.068</v>
      </c>
      <c r="J265" s="17" t="s">
        <v>32</v>
      </c>
      <c r="K265" s="17" t="s">
        <v>33</v>
      </c>
      <c r="L265" s="17" t="s">
        <v>34</v>
      </c>
      <c r="M265" s="19">
        <v>6500.34</v>
      </c>
      <c r="N265" s="19">
        <v>8273.16</v>
      </c>
      <c r="O265" s="17">
        <v>55.999999999999901</v>
      </c>
      <c r="P265" s="17" t="s">
        <v>26</v>
      </c>
      <c r="Q265" s="17">
        <v>12</v>
      </c>
      <c r="R265" s="17" t="s">
        <v>27</v>
      </c>
      <c r="S265" s="14" t="str">
        <f t="shared" si="4"/>
        <v>Week 1</v>
      </c>
    </row>
    <row r="266" spans="1:19" x14ac:dyDescent="0.3">
      <c r="A266" s="8" t="s">
        <v>532</v>
      </c>
      <c r="B266" s="9">
        <v>43076</v>
      </c>
      <c r="C266" s="10" t="s">
        <v>151</v>
      </c>
      <c r="D266" s="10" t="s">
        <v>30</v>
      </c>
      <c r="E266" s="10" t="s">
        <v>93</v>
      </c>
      <c r="F266" s="11">
        <v>11</v>
      </c>
      <c r="G266" s="12">
        <v>1842.5</v>
      </c>
      <c r="H266" s="12">
        <v>20267.5</v>
      </c>
      <c r="I266" s="13">
        <v>773.85</v>
      </c>
      <c r="J266" s="10" t="s">
        <v>23</v>
      </c>
      <c r="K266" s="10" t="s">
        <v>24</v>
      </c>
      <c r="L266" s="10" t="s">
        <v>25</v>
      </c>
      <c r="M266" s="12">
        <v>8512.35</v>
      </c>
      <c r="N266" s="12">
        <v>11755.15</v>
      </c>
      <c r="O266" s="10">
        <v>57.999999999999901</v>
      </c>
      <c r="P266" s="10" t="s">
        <v>26</v>
      </c>
      <c r="Q266" s="10">
        <v>12</v>
      </c>
      <c r="R266" s="10" t="s">
        <v>27</v>
      </c>
      <c r="S266" s="14" t="str">
        <f t="shared" si="4"/>
        <v>Week 1</v>
      </c>
    </row>
    <row r="267" spans="1:19" x14ac:dyDescent="0.3">
      <c r="A267" s="15" t="s">
        <v>533</v>
      </c>
      <c r="B267" s="16">
        <v>43076</v>
      </c>
      <c r="C267" s="17" t="s">
        <v>82</v>
      </c>
      <c r="D267" s="17" t="s">
        <v>30</v>
      </c>
      <c r="E267" s="17" t="s">
        <v>31</v>
      </c>
      <c r="F267" s="18">
        <v>12</v>
      </c>
      <c r="G267" s="19">
        <v>2479</v>
      </c>
      <c r="H267" s="19">
        <v>29748</v>
      </c>
      <c r="I267" s="20">
        <v>1512.19</v>
      </c>
      <c r="J267" s="17" t="s">
        <v>32</v>
      </c>
      <c r="K267" s="17" t="s">
        <v>33</v>
      </c>
      <c r="L267" s="17" t="s">
        <v>34</v>
      </c>
      <c r="M267" s="19">
        <v>18146.28</v>
      </c>
      <c r="N267" s="19">
        <v>11601.72</v>
      </c>
      <c r="O267" s="17">
        <v>39</v>
      </c>
      <c r="P267" s="17" t="s">
        <v>26</v>
      </c>
      <c r="Q267" s="17">
        <v>12</v>
      </c>
      <c r="R267" s="17" t="s">
        <v>27</v>
      </c>
      <c r="S267" s="14" t="str">
        <f t="shared" si="4"/>
        <v>Week 1</v>
      </c>
    </row>
    <row r="268" spans="1:19" x14ac:dyDescent="0.3">
      <c r="A268" s="8" t="s">
        <v>534</v>
      </c>
      <c r="B268" s="9">
        <v>43076</v>
      </c>
      <c r="C268" s="10" t="s">
        <v>478</v>
      </c>
      <c r="D268" s="10" t="s">
        <v>21</v>
      </c>
      <c r="E268" s="10" t="s">
        <v>49</v>
      </c>
      <c r="F268" s="11">
        <v>5</v>
      </c>
      <c r="G268" s="12">
        <v>3946.3</v>
      </c>
      <c r="H268" s="12">
        <v>19731.5</v>
      </c>
      <c r="I268" s="13">
        <v>1933.6869999999999</v>
      </c>
      <c r="J268" s="10" t="s">
        <v>76</v>
      </c>
      <c r="K268" s="10" t="s">
        <v>77</v>
      </c>
      <c r="L268" s="10" t="s">
        <v>56</v>
      </c>
      <c r="M268" s="12">
        <v>9668.4349999999995</v>
      </c>
      <c r="N268" s="12">
        <v>10063.0649999999</v>
      </c>
      <c r="O268" s="10">
        <v>50.999999999999901</v>
      </c>
      <c r="P268" s="10" t="s">
        <v>26</v>
      </c>
      <c r="Q268" s="10">
        <v>12</v>
      </c>
      <c r="R268" s="10" t="s">
        <v>27</v>
      </c>
      <c r="S268" s="14" t="str">
        <f t="shared" si="4"/>
        <v>Week 1</v>
      </c>
    </row>
    <row r="269" spans="1:19" x14ac:dyDescent="0.3">
      <c r="A269" s="15" t="s">
        <v>535</v>
      </c>
      <c r="B269" s="16">
        <v>43076</v>
      </c>
      <c r="C269" s="17" t="s">
        <v>194</v>
      </c>
      <c r="D269" s="17" t="s">
        <v>21</v>
      </c>
      <c r="E269" s="17" t="s">
        <v>228</v>
      </c>
      <c r="F269" s="18">
        <v>12</v>
      </c>
      <c r="G269" s="19">
        <v>1762.1</v>
      </c>
      <c r="H269" s="19">
        <v>21145.199999999997</v>
      </c>
      <c r="I269" s="20">
        <v>1180.607</v>
      </c>
      <c r="J269" s="17" t="s">
        <v>536</v>
      </c>
      <c r="K269" s="17" t="s">
        <v>537</v>
      </c>
      <c r="L269" s="17" t="s">
        <v>25</v>
      </c>
      <c r="M269" s="19">
        <v>14167.284</v>
      </c>
      <c r="N269" s="19">
        <v>6977.9159999999902</v>
      </c>
      <c r="O269" s="17">
        <v>32.999999999999901</v>
      </c>
      <c r="P269" s="17" t="s">
        <v>26</v>
      </c>
      <c r="Q269" s="17">
        <v>12</v>
      </c>
      <c r="R269" s="17" t="s">
        <v>27</v>
      </c>
      <c r="S269" s="14" t="str">
        <f t="shared" si="4"/>
        <v>Week 1</v>
      </c>
    </row>
    <row r="270" spans="1:19" x14ac:dyDescent="0.3">
      <c r="A270" s="8" t="s">
        <v>538</v>
      </c>
      <c r="B270" s="9">
        <v>43076</v>
      </c>
      <c r="C270" s="10" t="s">
        <v>369</v>
      </c>
      <c r="D270" s="10" t="s">
        <v>21</v>
      </c>
      <c r="E270" s="10" t="s">
        <v>31</v>
      </c>
      <c r="F270" s="11">
        <v>9</v>
      </c>
      <c r="G270" s="12">
        <v>254.6</v>
      </c>
      <c r="H270" s="12">
        <v>2291.4</v>
      </c>
      <c r="I270" s="13">
        <v>152.76</v>
      </c>
      <c r="J270" s="10" t="s">
        <v>231</v>
      </c>
      <c r="K270" s="10" t="s">
        <v>232</v>
      </c>
      <c r="L270" s="10" t="s">
        <v>40</v>
      </c>
      <c r="M270" s="12">
        <v>1374.84</v>
      </c>
      <c r="N270" s="12">
        <v>916.56</v>
      </c>
      <c r="O270" s="10">
        <v>40</v>
      </c>
      <c r="P270" s="10" t="s">
        <v>26</v>
      </c>
      <c r="Q270" s="10">
        <v>12</v>
      </c>
      <c r="R270" s="10" t="s">
        <v>27</v>
      </c>
      <c r="S270" s="14" t="str">
        <f t="shared" si="4"/>
        <v>Week 1</v>
      </c>
    </row>
    <row r="271" spans="1:19" x14ac:dyDescent="0.3">
      <c r="A271" s="15" t="s">
        <v>539</v>
      </c>
      <c r="B271" s="16">
        <v>43076</v>
      </c>
      <c r="C271" s="17" t="s">
        <v>201</v>
      </c>
      <c r="D271" s="17" t="s">
        <v>21</v>
      </c>
      <c r="E271" s="17" t="s">
        <v>230</v>
      </c>
      <c r="F271" s="18">
        <v>12</v>
      </c>
      <c r="G271" s="19">
        <v>2405.3000000000002</v>
      </c>
      <c r="H271" s="19">
        <v>28863.600000000002</v>
      </c>
      <c r="I271" s="20">
        <v>1395.0740000000001</v>
      </c>
      <c r="J271" s="17" t="s">
        <v>23</v>
      </c>
      <c r="K271" s="17" t="s">
        <v>24</v>
      </c>
      <c r="L271" s="17" t="s">
        <v>25</v>
      </c>
      <c r="M271" s="19">
        <v>16740.887999999999</v>
      </c>
      <c r="N271" s="19">
        <v>12122.712</v>
      </c>
      <c r="O271" s="17">
        <v>42</v>
      </c>
      <c r="P271" s="17" t="s">
        <v>26</v>
      </c>
      <c r="Q271" s="17">
        <v>12</v>
      </c>
      <c r="R271" s="17" t="s">
        <v>27</v>
      </c>
      <c r="S271" s="14" t="str">
        <f t="shared" si="4"/>
        <v>Week 1</v>
      </c>
    </row>
    <row r="272" spans="1:19" x14ac:dyDescent="0.3">
      <c r="A272" s="8" t="s">
        <v>540</v>
      </c>
      <c r="B272" s="9">
        <v>43077</v>
      </c>
      <c r="C272" s="10" t="s">
        <v>487</v>
      </c>
      <c r="D272" s="10" t="s">
        <v>21</v>
      </c>
      <c r="E272" s="10" t="s">
        <v>73</v>
      </c>
      <c r="F272" s="11">
        <v>11</v>
      </c>
      <c r="G272" s="12">
        <v>757.1</v>
      </c>
      <c r="H272" s="12">
        <v>8328.1</v>
      </c>
      <c r="I272" s="13">
        <v>446.688999999999</v>
      </c>
      <c r="J272" s="10" t="s">
        <v>97</v>
      </c>
      <c r="K272" s="10" t="s">
        <v>98</v>
      </c>
      <c r="L272" s="10" t="s">
        <v>56</v>
      </c>
      <c r="M272" s="12">
        <v>4913.5789999999997</v>
      </c>
      <c r="N272" s="12">
        <v>3414.5210000000002</v>
      </c>
      <c r="O272" s="10">
        <v>41</v>
      </c>
      <c r="P272" s="10" t="s">
        <v>26</v>
      </c>
      <c r="Q272" s="10">
        <v>12</v>
      </c>
      <c r="R272" s="10" t="s">
        <v>27</v>
      </c>
      <c r="S272" s="14" t="str">
        <f t="shared" si="4"/>
        <v>Week 2</v>
      </c>
    </row>
    <row r="273" spans="1:19" x14ac:dyDescent="0.3">
      <c r="A273" s="15" t="s">
        <v>541</v>
      </c>
      <c r="B273" s="16">
        <v>43077</v>
      </c>
      <c r="C273" s="17" t="s">
        <v>319</v>
      </c>
      <c r="D273" s="17" t="s">
        <v>21</v>
      </c>
      <c r="E273" s="17" t="s">
        <v>146</v>
      </c>
      <c r="F273" s="18">
        <v>8</v>
      </c>
      <c r="G273" s="19">
        <v>1078.7</v>
      </c>
      <c r="H273" s="19">
        <v>8629.6</v>
      </c>
      <c r="I273" s="20">
        <v>679.58100000000002</v>
      </c>
      <c r="J273" s="17" t="s">
        <v>69</v>
      </c>
      <c r="K273" s="17" t="s">
        <v>70</v>
      </c>
      <c r="L273" s="17" t="s">
        <v>25</v>
      </c>
      <c r="M273" s="19">
        <v>5436.6480000000001</v>
      </c>
      <c r="N273" s="19">
        <v>3192.9520000000002</v>
      </c>
      <c r="O273" s="17">
        <v>37</v>
      </c>
      <c r="P273" s="17" t="s">
        <v>26</v>
      </c>
      <c r="Q273" s="17">
        <v>12</v>
      </c>
      <c r="R273" s="17" t="s">
        <v>27</v>
      </c>
      <c r="S273" s="14" t="str">
        <f t="shared" si="4"/>
        <v>Week 2</v>
      </c>
    </row>
    <row r="274" spans="1:19" x14ac:dyDescent="0.3">
      <c r="A274" s="8" t="s">
        <v>542</v>
      </c>
      <c r="B274" s="9">
        <v>43077</v>
      </c>
      <c r="C274" s="10" t="s">
        <v>543</v>
      </c>
      <c r="D274" s="10" t="s">
        <v>43</v>
      </c>
      <c r="E274" s="10" t="s">
        <v>149</v>
      </c>
      <c r="F274" s="11">
        <v>8</v>
      </c>
      <c r="G274" s="12">
        <v>1849.2</v>
      </c>
      <c r="H274" s="12">
        <v>14793.6</v>
      </c>
      <c r="I274" s="13">
        <v>1442.376</v>
      </c>
      <c r="J274" s="10" t="s">
        <v>54</v>
      </c>
      <c r="K274" s="10" t="s">
        <v>55</v>
      </c>
      <c r="L274" s="10" t="s">
        <v>56</v>
      </c>
      <c r="M274" s="12">
        <v>11539.008</v>
      </c>
      <c r="N274" s="12">
        <v>3254.5920000000001</v>
      </c>
      <c r="O274" s="10">
        <v>22</v>
      </c>
      <c r="P274" s="10" t="s">
        <v>26</v>
      </c>
      <c r="Q274" s="10">
        <v>12</v>
      </c>
      <c r="R274" s="10" t="s">
        <v>27</v>
      </c>
      <c r="S274" s="14" t="str">
        <f t="shared" si="4"/>
        <v>Week 2</v>
      </c>
    </row>
    <row r="275" spans="1:19" x14ac:dyDescent="0.3">
      <c r="A275" s="15" t="s">
        <v>544</v>
      </c>
      <c r="B275" s="16">
        <v>43077</v>
      </c>
      <c r="C275" s="17" t="s">
        <v>319</v>
      </c>
      <c r="D275" s="17" t="s">
        <v>43</v>
      </c>
      <c r="E275" s="17" t="s">
        <v>44</v>
      </c>
      <c r="F275" s="18">
        <v>6</v>
      </c>
      <c r="G275" s="19">
        <v>3953</v>
      </c>
      <c r="H275" s="19">
        <v>23718</v>
      </c>
      <c r="I275" s="20">
        <v>1620.72999999999</v>
      </c>
      <c r="J275" s="17" t="s">
        <v>212</v>
      </c>
      <c r="K275" s="17" t="s">
        <v>213</v>
      </c>
      <c r="L275" s="17" t="s">
        <v>34</v>
      </c>
      <c r="M275" s="19">
        <v>9724.3799999999992</v>
      </c>
      <c r="N275" s="19">
        <v>13993.62</v>
      </c>
      <c r="O275" s="17">
        <v>59</v>
      </c>
      <c r="P275" s="17" t="s">
        <v>26</v>
      </c>
      <c r="Q275" s="17">
        <v>12</v>
      </c>
      <c r="R275" s="17" t="s">
        <v>27</v>
      </c>
      <c r="S275" s="14" t="str">
        <f t="shared" si="4"/>
        <v>Week 2</v>
      </c>
    </row>
    <row r="276" spans="1:19" x14ac:dyDescent="0.3">
      <c r="A276" s="8" t="s">
        <v>545</v>
      </c>
      <c r="B276" s="9">
        <v>43077</v>
      </c>
      <c r="C276" s="10" t="s">
        <v>367</v>
      </c>
      <c r="D276" s="10" t="s">
        <v>30</v>
      </c>
      <c r="E276" s="10" t="s">
        <v>115</v>
      </c>
      <c r="F276" s="11">
        <v>8</v>
      </c>
      <c r="G276" s="12">
        <v>1045.2</v>
      </c>
      <c r="H276" s="12">
        <v>8361.6</v>
      </c>
      <c r="I276" s="13">
        <v>637.572</v>
      </c>
      <c r="J276" s="10" t="s">
        <v>54</v>
      </c>
      <c r="K276" s="10" t="s">
        <v>55</v>
      </c>
      <c r="L276" s="10" t="s">
        <v>56</v>
      </c>
      <c r="M276" s="12">
        <v>5100.576</v>
      </c>
      <c r="N276" s="12">
        <v>3261.0239999999999</v>
      </c>
      <c r="O276" s="10">
        <v>39</v>
      </c>
      <c r="P276" s="10" t="s">
        <v>26</v>
      </c>
      <c r="Q276" s="10">
        <v>12</v>
      </c>
      <c r="R276" s="10" t="s">
        <v>27</v>
      </c>
      <c r="S276" s="14" t="str">
        <f t="shared" si="4"/>
        <v>Week 2</v>
      </c>
    </row>
    <row r="277" spans="1:19" x14ac:dyDescent="0.3">
      <c r="A277" s="15" t="s">
        <v>546</v>
      </c>
      <c r="B277" s="16">
        <v>43077</v>
      </c>
      <c r="C277" s="17" t="s">
        <v>316</v>
      </c>
      <c r="D277" s="17" t="s">
        <v>43</v>
      </c>
      <c r="E277" s="17" t="s">
        <v>191</v>
      </c>
      <c r="F277" s="18">
        <v>5</v>
      </c>
      <c r="G277" s="19">
        <v>5728.5</v>
      </c>
      <c r="H277" s="19">
        <v>28642.5</v>
      </c>
      <c r="I277" s="20">
        <v>3322.5299999999902</v>
      </c>
      <c r="J277" s="17" t="s">
        <v>54</v>
      </c>
      <c r="K277" s="17" t="s">
        <v>55</v>
      </c>
      <c r="L277" s="17" t="s">
        <v>56</v>
      </c>
      <c r="M277" s="19">
        <v>16612.6499999999</v>
      </c>
      <c r="N277" s="19">
        <v>12029.85</v>
      </c>
      <c r="O277" s="17">
        <v>42</v>
      </c>
      <c r="P277" s="17" t="s">
        <v>26</v>
      </c>
      <c r="Q277" s="17">
        <v>12</v>
      </c>
      <c r="R277" s="17" t="s">
        <v>27</v>
      </c>
      <c r="S277" s="14" t="str">
        <f t="shared" si="4"/>
        <v>Week 2</v>
      </c>
    </row>
    <row r="278" spans="1:19" x14ac:dyDescent="0.3">
      <c r="A278" s="8" t="s">
        <v>547</v>
      </c>
      <c r="B278" s="9">
        <v>43077</v>
      </c>
      <c r="C278" s="10" t="s">
        <v>209</v>
      </c>
      <c r="D278" s="10" t="s">
        <v>21</v>
      </c>
      <c r="E278" s="10" t="s">
        <v>91</v>
      </c>
      <c r="F278" s="11">
        <v>5</v>
      </c>
      <c r="G278" s="12">
        <v>1078.7</v>
      </c>
      <c r="H278" s="12">
        <v>5393.5</v>
      </c>
      <c r="I278" s="13">
        <v>647.22</v>
      </c>
      <c r="J278" s="10" t="s">
        <v>69</v>
      </c>
      <c r="K278" s="10" t="s">
        <v>70</v>
      </c>
      <c r="L278" s="10" t="s">
        <v>25</v>
      </c>
      <c r="M278" s="12">
        <v>3236.1</v>
      </c>
      <c r="N278" s="12">
        <v>2157.3999999999901</v>
      </c>
      <c r="O278" s="10">
        <v>39.999999999999901</v>
      </c>
      <c r="P278" s="10" t="s">
        <v>26</v>
      </c>
      <c r="Q278" s="10">
        <v>12</v>
      </c>
      <c r="R278" s="10" t="s">
        <v>27</v>
      </c>
      <c r="S278" s="14" t="str">
        <f t="shared" si="4"/>
        <v>Week 2</v>
      </c>
    </row>
    <row r="279" spans="1:19" x14ac:dyDescent="0.3">
      <c r="A279" s="15" t="s">
        <v>548</v>
      </c>
      <c r="B279" s="16">
        <v>43077</v>
      </c>
      <c r="C279" s="17" t="s">
        <v>549</v>
      </c>
      <c r="D279" s="17" t="s">
        <v>43</v>
      </c>
      <c r="E279" s="17" t="s">
        <v>110</v>
      </c>
      <c r="F279" s="18">
        <v>10</v>
      </c>
      <c r="G279" s="19">
        <v>174.2</v>
      </c>
      <c r="H279" s="19">
        <v>1742</v>
      </c>
      <c r="I279" s="20">
        <v>102.77800000000001</v>
      </c>
      <c r="J279" s="17" t="s">
        <v>54</v>
      </c>
      <c r="K279" s="17" t="s">
        <v>55</v>
      </c>
      <c r="L279" s="17" t="s">
        <v>56</v>
      </c>
      <c r="M279" s="19">
        <v>1027.78</v>
      </c>
      <c r="N279" s="19">
        <v>714.22</v>
      </c>
      <c r="O279" s="17">
        <v>41</v>
      </c>
      <c r="P279" s="17" t="s">
        <v>26</v>
      </c>
      <c r="Q279" s="17">
        <v>12</v>
      </c>
      <c r="R279" s="17" t="s">
        <v>27</v>
      </c>
      <c r="S279" s="14" t="str">
        <f t="shared" si="4"/>
        <v>Week 2</v>
      </c>
    </row>
    <row r="280" spans="1:19" x14ac:dyDescent="0.3">
      <c r="A280" s="8" t="s">
        <v>550</v>
      </c>
      <c r="B280" s="9">
        <v>43077</v>
      </c>
      <c r="C280" s="10" t="s">
        <v>551</v>
      </c>
      <c r="D280" s="10" t="s">
        <v>43</v>
      </c>
      <c r="E280" s="10" t="s">
        <v>93</v>
      </c>
      <c r="F280" s="11">
        <v>5</v>
      </c>
      <c r="G280" s="12">
        <v>3443.8</v>
      </c>
      <c r="H280" s="12">
        <v>17219</v>
      </c>
      <c r="I280" s="13">
        <v>2307.346</v>
      </c>
      <c r="J280" s="10" t="s">
        <v>436</v>
      </c>
      <c r="K280" s="10" t="s">
        <v>437</v>
      </c>
      <c r="L280" s="10" t="s">
        <v>25</v>
      </c>
      <c r="M280" s="12">
        <v>11536.73</v>
      </c>
      <c r="N280" s="12">
        <v>5682.2699999999904</v>
      </c>
      <c r="O280" s="10">
        <v>32.999999999999901</v>
      </c>
      <c r="P280" s="10" t="s">
        <v>26</v>
      </c>
      <c r="Q280" s="10">
        <v>12</v>
      </c>
      <c r="R280" s="10" t="s">
        <v>27</v>
      </c>
      <c r="S280" s="14" t="str">
        <f t="shared" si="4"/>
        <v>Week 2</v>
      </c>
    </row>
    <row r="281" spans="1:19" x14ac:dyDescent="0.3">
      <c r="A281" s="15" t="s">
        <v>552</v>
      </c>
      <c r="B281" s="16">
        <v>43077</v>
      </c>
      <c r="C281" s="17" t="s">
        <v>154</v>
      </c>
      <c r="D281" s="17" t="s">
        <v>43</v>
      </c>
      <c r="E281" s="17" t="s">
        <v>73</v>
      </c>
      <c r="F281" s="18">
        <v>7</v>
      </c>
      <c r="G281" s="19">
        <v>1916.2</v>
      </c>
      <c r="H281" s="19">
        <v>13413.4</v>
      </c>
      <c r="I281" s="20">
        <v>1341.34</v>
      </c>
      <c r="J281" s="17" t="s">
        <v>177</v>
      </c>
      <c r="K281" s="17" t="s">
        <v>178</v>
      </c>
      <c r="L281" s="17" t="s">
        <v>40</v>
      </c>
      <c r="M281" s="19">
        <v>9389.3799999999992</v>
      </c>
      <c r="N281" s="19">
        <v>4024.02</v>
      </c>
      <c r="O281" s="17">
        <v>30</v>
      </c>
      <c r="P281" s="17" t="s">
        <v>26</v>
      </c>
      <c r="Q281" s="17">
        <v>12</v>
      </c>
      <c r="R281" s="17" t="s">
        <v>27</v>
      </c>
      <c r="S281" s="14" t="str">
        <f t="shared" si="4"/>
        <v>Week 2</v>
      </c>
    </row>
    <row r="282" spans="1:19" x14ac:dyDescent="0.3">
      <c r="A282" s="8" t="s">
        <v>553</v>
      </c>
      <c r="B282" s="9">
        <v>43077</v>
      </c>
      <c r="C282" s="10" t="s">
        <v>554</v>
      </c>
      <c r="D282" s="10" t="s">
        <v>43</v>
      </c>
      <c r="E282" s="10" t="s">
        <v>252</v>
      </c>
      <c r="F282" s="11">
        <v>7</v>
      </c>
      <c r="G282" s="12">
        <v>1065.3</v>
      </c>
      <c r="H282" s="12">
        <v>7457.0999999999995</v>
      </c>
      <c r="I282" s="13">
        <v>862.89300000000003</v>
      </c>
      <c r="J282" s="10" t="s">
        <v>23</v>
      </c>
      <c r="K282" s="10" t="s">
        <v>24</v>
      </c>
      <c r="L282" s="10" t="s">
        <v>25</v>
      </c>
      <c r="M282" s="12">
        <v>6040.2510000000002</v>
      </c>
      <c r="N282" s="12">
        <v>1416.8489999999899</v>
      </c>
      <c r="O282" s="10">
        <v>18.999999999999901</v>
      </c>
      <c r="P282" s="10" t="s">
        <v>26</v>
      </c>
      <c r="Q282" s="10">
        <v>12</v>
      </c>
      <c r="R282" s="10" t="s">
        <v>27</v>
      </c>
      <c r="S282" s="14" t="str">
        <f t="shared" si="4"/>
        <v>Week 2</v>
      </c>
    </row>
    <row r="283" spans="1:19" x14ac:dyDescent="0.3">
      <c r="A283" s="15" t="s">
        <v>555</v>
      </c>
      <c r="B283" s="16">
        <v>43077</v>
      </c>
      <c r="C283" s="17" t="s">
        <v>170</v>
      </c>
      <c r="D283" s="17" t="s">
        <v>21</v>
      </c>
      <c r="E283" s="17" t="s">
        <v>326</v>
      </c>
      <c r="F283" s="18">
        <v>12</v>
      </c>
      <c r="G283" s="19">
        <v>891.1</v>
      </c>
      <c r="H283" s="19">
        <v>10693.2</v>
      </c>
      <c r="I283" s="20">
        <v>695.05799999999999</v>
      </c>
      <c r="J283" s="17" t="s">
        <v>23</v>
      </c>
      <c r="K283" s="17" t="s">
        <v>24</v>
      </c>
      <c r="L283" s="17" t="s">
        <v>25</v>
      </c>
      <c r="M283" s="19">
        <v>8340.6959999999999</v>
      </c>
      <c r="N283" s="19">
        <v>2352.5039999999999</v>
      </c>
      <c r="O283" s="17">
        <v>22</v>
      </c>
      <c r="P283" s="17" t="s">
        <v>26</v>
      </c>
      <c r="Q283" s="17">
        <v>12</v>
      </c>
      <c r="R283" s="17" t="s">
        <v>27</v>
      </c>
      <c r="S283" s="14" t="str">
        <f t="shared" si="4"/>
        <v>Week 2</v>
      </c>
    </row>
    <row r="284" spans="1:19" x14ac:dyDescent="0.3">
      <c r="A284" s="8" t="s">
        <v>556</v>
      </c>
      <c r="B284" s="9">
        <v>43077</v>
      </c>
      <c r="C284" s="10" t="s">
        <v>408</v>
      </c>
      <c r="D284" s="10" t="s">
        <v>30</v>
      </c>
      <c r="E284" s="10" t="s">
        <v>191</v>
      </c>
      <c r="F284" s="11">
        <v>8</v>
      </c>
      <c r="G284" s="12">
        <v>2311.5</v>
      </c>
      <c r="H284" s="12">
        <v>18492</v>
      </c>
      <c r="I284" s="13">
        <v>1964.7749999999901</v>
      </c>
      <c r="J284" s="10" t="s">
        <v>32</v>
      </c>
      <c r="K284" s="10" t="s">
        <v>33</v>
      </c>
      <c r="L284" s="10" t="s">
        <v>34</v>
      </c>
      <c r="M284" s="12">
        <v>15718.199999999901</v>
      </c>
      <c r="N284" s="12">
        <v>2773.8</v>
      </c>
      <c r="O284" s="10">
        <v>15</v>
      </c>
      <c r="P284" s="10" t="s">
        <v>26</v>
      </c>
      <c r="Q284" s="10">
        <v>12</v>
      </c>
      <c r="R284" s="10" t="s">
        <v>27</v>
      </c>
      <c r="S284" s="14" t="str">
        <f t="shared" si="4"/>
        <v>Week 2</v>
      </c>
    </row>
    <row r="285" spans="1:19" x14ac:dyDescent="0.3">
      <c r="A285" s="15" t="s">
        <v>557</v>
      </c>
      <c r="B285" s="16">
        <v>43077</v>
      </c>
      <c r="C285" s="17" t="s">
        <v>170</v>
      </c>
      <c r="D285" s="17" t="s">
        <v>43</v>
      </c>
      <c r="E285" s="17" t="s">
        <v>228</v>
      </c>
      <c r="F285" s="18">
        <v>5</v>
      </c>
      <c r="G285" s="19">
        <v>3953</v>
      </c>
      <c r="H285" s="19">
        <v>19765</v>
      </c>
      <c r="I285" s="20">
        <v>2688.04</v>
      </c>
      <c r="J285" s="17" t="s">
        <v>177</v>
      </c>
      <c r="K285" s="17" t="s">
        <v>178</v>
      </c>
      <c r="L285" s="17" t="s">
        <v>40</v>
      </c>
      <c r="M285" s="19">
        <v>13440.2</v>
      </c>
      <c r="N285" s="19">
        <v>6324.7999999999902</v>
      </c>
      <c r="O285" s="17">
        <v>31.999999999999901</v>
      </c>
      <c r="P285" s="17" t="s">
        <v>26</v>
      </c>
      <c r="Q285" s="17">
        <v>12</v>
      </c>
      <c r="R285" s="17" t="s">
        <v>27</v>
      </c>
      <c r="S285" s="14" t="str">
        <f t="shared" si="4"/>
        <v>Week 2</v>
      </c>
    </row>
    <row r="286" spans="1:19" x14ac:dyDescent="0.3">
      <c r="A286" s="8" t="s">
        <v>558</v>
      </c>
      <c r="B286" s="9">
        <v>43077</v>
      </c>
      <c r="C286" s="10" t="s">
        <v>75</v>
      </c>
      <c r="D286" s="10" t="s">
        <v>43</v>
      </c>
      <c r="E286" s="10" t="s">
        <v>80</v>
      </c>
      <c r="F286" s="11">
        <v>9</v>
      </c>
      <c r="G286" s="12">
        <v>1031.8</v>
      </c>
      <c r="H286" s="12">
        <v>9286.1999999999989</v>
      </c>
      <c r="I286" s="13">
        <v>753.21399999999903</v>
      </c>
      <c r="J286" s="10" t="s">
        <v>54</v>
      </c>
      <c r="K286" s="10" t="s">
        <v>55</v>
      </c>
      <c r="L286" s="10" t="s">
        <v>56</v>
      </c>
      <c r="M286" s="12">
        <v>6778.9259999999904</v>
      </c>
      <c r="N286" s="12">
        <v>2507.2739999999899</v>
      </c>
      <c r="O286" s="10">
        <v>26.999999999999901</v>
      </c>
      <c r="P286" s="10" t="s">
        <v>26</v>
      </c>
      <c r="Q286" s="10">
        <v>12</v>
      </c>
      <c r="R286" s="10" t="s">
        <v>27</v>
      </c>
      <c r="S286" s="14" t="str">
        <f t="shared" si="4"/>
        <v>Week 2</v>
      </c>
    </row>
    <row r="287" spans="1:19" x14ac:dyDescent="0.3">
      <c r="A287" s="15" t="s">
        <v>559</v>
      </c>
      <c r="B287" s="16">
        <v>43077</v>
      </c>
      <c r="C287" s="17" t="s">
        <v>131</v>
      </c>
      <c r="D287" s="17" t="s">
        <v>30</v>
      </c>
      <c r="E287" s="17" t="s">
        <v>62</v>
      </c>
      <c r="F287" s="18">
        <v>7</v>
      </c>
      <c r="G287" s="19">
        <v>1319.9</v>
      </c>
      <c r="H287" s="19">
        <v>9239.3000000000011</v>
      </c>
      <c r="I287" s="20">
        <v>963.52700000000004</v>
      </c>
      <c r="J287" s="17" t="s">
        <v>54</v>
      </c>
      <c r="K287" s="17" t="s">
        <v>55</v>
      </c>
      <c r="L287" s="17" t="s">
        <v>56</v>
      </c>
      <c r="M287" s="19">
        <v>6744.6890000000003</v>
      </c>
      <c r="N287" s="19">
        <v>2494.6109999999999</v>
      </c>
      <c r="O287" s="17">
        <v>27</v>
      </c>
      <c r="P287" s="17" t="s">
        <v>26</v>
      </c>
      <c r="Q287" s="17">
        <v>12</v>
      </c>
      <c r="R287" s="17" t="s">
        <v>27</v>
      </c>
      <c r="S287" s="14" t="str">
        <f t="shared" si="4"/>
        <v>Week 2</v>
      </c>
    </row>
    <row r="288" spans="1:19" x14ac:dyDescent="0.3">
      <c r="A288" s="8" t="s">
        <v>560</v>
      </c>
      <c r="B288" s="9">
        <v>43077</v>
      </c>
      <c r="C288" s="10" t="s">
        <v>182</v>
      </c>
      <c r="D288" s="10" t="s">
        <v>30</v>
      </c>
      <c r="E288" s="10" t="s">
        <v>37</v>
      </c>
      <c r="F288" s="11">
        <v>8</v>
      </c>
      <c r="G288" s="12">
        <v>5038.3999999999996</v>
      </c>
      <c r="H288" s="12">
        <v>40307.199999999997</v>
      </c>
      <c r="I288" s="13">
        <v>3627.6480000000001</v>
      </c>
      <c r="J288" s="10" t="s">
        <v>45</v>
      </c>
      <c r="K288" s="10" t="s">
        <v>46</v>
      </c>
      <c r="L288" s="10" t="s">
        <v>34</v>
      </c>
      <c r="M288" s="12">
        <v>29021.184000000001</v>
      </c>
      <c r="N288" s="12">
        <v>11286.016</v>
      </c>
      <c r="O288" s="10">
        <v>28</v>
      </c>
      <c r="P288" s="10" t="s">
        <v>26</v>
      </c>
      <c r="Q288" s="10">
        <v>12</v>
      </c>
      <c r="R288" s="10" t="s">
        <v>27</v>
      </c>
      <c r="S288" s="14" t="str">
        <f t="shared" si="4"/>
        <v>Week 2</v>
      </c>
    </row>
    <row r="289" spans="1:19" x14ac:dyDescent="0.3">
      <c r="A289" s="15" t="s">
        <v>561</v>
      </c>
      <c r="B289" s="16">
        <v>43077</v>
      </c>
      <c r="C289" s="17" t="s">
        <v>354</v>
      </c>
      <c r="D289" s="17" t="s">
        <v>43</v>
      </c>
      <c r="E289" s="17" t="s">
        <v>103</v>
      </c>
      <c r="F289" s="18">
        <v>7</v>
      </c>
      <c r="G289" s="19">
        <v>1782.2</v>
      </c>
      <c r="H289" s="19">
        <v>12475.4</v>
      </c>
      <c r="I289" s="20">
        <v>962.38800000000003</v>
      </c>
      <c r="J289" s="17" t="s">
        <v>54</v>
      </c>
      <c r="K289" s="17" t="s">
        <v>55</v>
      </c>
      <c r="L289" s="17" t="s">
        <v>56</v>
      </c>
      <c r="M289" s="19">
        <v>6736.7160000000003</v>
      </c>
      <c r="N289" s="19">
        <v>5738.6839999999902</v>
      </c>
      <c r="O289" s="17">
        <v>46</v>
      </c>
      <c r="P289" s="17" t="s">
        <v>26</v>
      </c>
      <c r="Q289" s="17">
        <v>12</v>
      </c>
      <c r="R289" s="17" t="s">
        <v>27</v>
      </c>
      <c r="S289" s="14" t="str">
        <f t="shared" si="4"/>
        <v>Week 2</v>
      </c>
    </row>
    <row r="290" spans="1:19" x14ac:dyDescent="0.3">
      <c r="A290" s="8" t="s">
        <v>562</v>
      </c>
      <c r="B290" s="9">
        <v>43077</v>
      </c>
      <c r="C290" s="10" t="s">
        <v>491</v>
      </c>
      <c r="D290" s="10" t="s">
        <v>21</v>
      </c>
      <c r="E290" s="10" t="s">
        <v>115</v>
      </c>
      <c r="F290" s="11">
        <v>8</v>
      </c>
      <c r="G290" s="12">
        <v>2934.6</v>
      </c>
      <c r="H290" s="12">
        <v>23476.799999999999</v>
      </c>
      <c r="I290" s="13">
        <v>1643.376</v>
      </c>
      <c r="J290" s="10" t="s">
        <v>23</v>
      </c>
      <c r="K290" s="10" t="s">
        <v>24</v>
      </c>
      <c r="L290" s="10" t="s">
        <v>25</v>
      </c>
      <c r="M290" s="12">
        <v>13147.008</v>
      </c>
      <c r="N290" s="12">
        <v>10329.791999999899</v>
      </c>
      <c r="O290" s="10">
        <v>43.999999999999901</v>
      </c>
      <c r="P290" s="10" t="s">
        <v>26</v>
      </c>
      <c r="Q290" s="10">
        <v>12</v>
      </c>
      <c r="R290" s="10" t="s">
        <v>27</v>
      </c>
      <c r="S290" s="14" t="str">
        <f t="shared" si="4"/>
        <v>Week 2</v>
      </c>
    </row>
    <row r="291" spans="1:19" x14ac:dyDescent="0.3">
      <c r="A291" s="15" t="s">
        <v>563</v>
      </c>
      <c r="B291" s="16">
        <v>43077</v>
      </c>
      <c r="C291" s="17" t="s">
        <v>480</v>
      </c>
      <c r="D291" s="17" t="s">
        <v>21</v>
      </c>
      <c r="E291" s="17" t="s">
        <v>93</v>
      </c>
      <c r="F291" s="18">
        <v>10</v>
      </c>
      <c r="G291" s="19">
        <v>1132.3</v>
      </c>
      <c r="H291" s="19">
        <v>11323</v>
      </c>
      <c r="I291" s="20">
        <v>600.11900000000003</v>
      </c>
      <c r="J291" s="17" t="s">
        <v>38</v>
      </c>
      <c r="K291" s="17" t="s">
        <v>39</v>
      </c>
      <c r="L291" s="17" t="s">
        <v>40</v>
      </c>
      <c r="M291" s="19">
        <v>6001.19</v>
      </c>
      <c r="N291" s="19">
        <v>5321.8099999999904</v>
      </c>
      <c r="O291" s="17">
        <v>47</v>
      </c>
      <c r="P291" s="17" t="s">
        <v>26</v>
      </c>
      <c r="Q291" s="17">
        <v>12</v>
      </c>
      <c r="R291" s="17" t="s">
        <v>27</v>
      </c>
      <c r="S291" s="14" t="str">
        <f t="shared" si="4"/>
        <v>Week 2</v>
      </c>
    </row>
    <row r="292" spans="1:19" x14ac:dyDescent="0.3">
      <c r="A292" s="8" t="s">
        <v>564</v>
      </c>
      <c r="B292" s="9">
        <v>43077</v>
      </c>
      <c r="C292" s="10" t="s">
        <v>114</v>
      </c>
      <c r="D292" s="10" t="s">
        <v>21</v>
      </c>
      <c r="E292" s="10" t="s">
        <v>49</v>
      </c>
      <c r="F292" s="11">
        <v>7</v>
      </c>
      <c r="G292" s="12">
        <v>958.1</v>
      </c>
      <c r="H292" s="12">
        <v>6706.7</v>
      </c>
      <c r="I292" s="13">
        <v>536.53599999999994</v>
      </c>
      <c r="J292" s="10" t="s">
        <v>38</v>
      </c>
      <c r="K292" s="10" t="s">
        <v>39</v>
      </c>
      <c r="L292" s="10" t="s">
        <v>40</v>
      </c>
      <c r="M292" s="12">
        <v>3755.752</v>
      </c>
      <c r="N292" s="12">
        <v>2950.9479999999899</v>
      </c>
      <c r="O292" s="10">
        <v>43.999999999999901</v>
      </c>
      <c r="P292" s="10" t="s">
        <v>26</v>
      </c>
      <c r="Q292" s="10">
        <v>12</v>
      </c>
      <c r="R292" s="10" t="s">
        <v>27</v>
      </c>
      <c r="S292" s="14" t="str">
        <f t="shared" si="4"/>
        <v>Week 2</v>
      </c>
    </row>
    <row r="293" spans="1:19" x14ac:dyDescent="0.3">
      <c r="A293" s="15" t="s">
        <v>565</v>
      </c>
      <c r="B293" s="16">
        <v>43077</v>
      </c>
      <c r="C293" s="17" t="s">
        <v>347</v>
      </c>
      <c r="D293" s="17" t="s">
        <v>43</v>
      </c>
      <c r="E293" s="17" t="s">
        <v>191</v>
      </c>
      <c r="F293" s="18">
        <v>7</v>
      </c>
      <c r="G293" s="19">
        <v>1072</v>
      </c>
      <c r="H293" s="19">
        <v>7504</v>
      </c>
      <c r="I293" s="20">
        <v>836.16</v>
      </c>
      <c r="J293" s="17" t="s">
        <v>50</v>
      </c>
      <c r="K293" s="17" t="s">
        <v>51</v>
      </c>
      <c r="L293" s="17" t="s">
        <v>40</v>
      </c>
      <c r="M293" s="19">
        <v>5853.12</v>
      </c>
      <c r="N293" s="19">
        <v>1650.8799999999901</v>
      </c>
      <c r="O293" s="17">
        <v>21.999999999999901</v>
      </c>
      <c r="P293" s="17" t="s">
        <v>26</v>
      </c>
      <c r="Q293" s="17">
        <v>12</v>
      </c>
      <c r="R293" s="17" t="s">
        <v>27</v>
      </c>
      <c r="S293" s="14" t="str">
        <f t="shared" si="4"/>
        <v>Week 2</v>
      </c>
    </row>
    <row r="294" spans="1:19" x14ac:dyDescent="0.3">
      <c r="A294" s="8" t="s">
        <v>566</v>
      </c>
      <c r="B294" s="9">
        <v>43077</v>
      </c>
      <c r="C294" s="10" t="s">
        <v>201</v>
      </c>
      <c r="D294" s="10" t="s">
        <v>30</v>
      </c>
      <c r="E294" s="10" t="s">
        <v>37</v>
      </c>
      <c r="F294" s="11">
        <v>8</v>
      </c>
      <c r="G294" s="12">
        <v>1869.3</v>
      </c>
      <c r="H294" s="12">
        <v>14954.4</v>
      </c>
      <c r="I294" s="13">
        <v>766.41299999999899</v>
      </c>
      <c r="J294" s="10" t="s">
        <v>54</v>
      </c>
      <c r="K294" s="10" t="s">
        <v>55</v>
      </c>
      <c r="L294" s="10" t="s">
        <v>56</v>
      </c>
      <c r="M294" s="12">
        <v>6131.3039999999901</v>
      </c>
      <c r="N294" s="12">
        <v>8823.0959999999995</v>
      </c>
      <c r="O294" s="10">
        <v>59</v>
      </c>
      <c r="P294" s="10" t="s">
        <v>26</v>
      </c>
      <c r="Q294" s="10">
        <v>12</v>
      </c>
      <c r="R294" s="10" t="s">
        <v>27</v>
      </c>
      <c r="S294" s="14" t="str">
        <f t="shared" si="4"/>
        <v>Week 2</v>
      </c>
    </row>
    <row r="295" spans="1:19" x14ac:dyDescent="0.3">
      <c r="A295" s="15" t="s">
        <v>567</v>
      </c>
      <c r="B295" s="16">
        <v>43077</v>
      </c>
      <c r="C295" s="17" t="s">
        <v>568</v>
      </c>
      <c r="D295" s="17" t="s">
        <v>43</v>
      </c>
      <c r="E295" s="17" t="s">
        <v>103</v>
      </c>
      <c r="F295" s="18">
        <v>11</v>
      </c>
      <c r="G295" s="19">
        <v>3859.2</v>
      </c>
      <c r="H295" s="19">
        <v>42451.199999999997</v>
      </c>
      <c r="I295" s="20">
        <v>1929.6</v>
      </c>
      <c r="J295" s="17" t="s">
        <v>23</v>
      </c>
      <c r="K295" s="17" t="s">
        <v>24</v>
      </c>
      <c r="L295" s="17" t="s">
        <v>25</v>
      </c>
      <c r="M295" s="19">
        <v>21225.599999999999</v>
      </c>
      <c r="N295" s="19">
        <v>21225.599999999999</v>
      </c>
      <c r="O295" s="17">
        <v>50</v>
      </c>
      <c r="P295" s="17" t="s">
        <v>26</v>
      </c>
      <c r="Q295" s="17">
        <v>12</v>
      </c>
      <c r="R295" s="17" t="s">
        <v>27</v>
      </c>
      <c r="S295" s="14" t="str">
        <f t="shared" si="4"/>
        <v>Week 2</v>
      </c>
    </row>
    <row r="296" spans="1:19" x14ac:dyDescent="0.3">
      <c r="A296" s="8" t="s">
        <v>569</v>
      </c>
      <c r="B296" s="9">
        <v>43077</v>
      </c>
      <c r="C296" s="10" t="s">
        <v>570</v>
      </c>
      <c r="D296" s="10" t="s">
        <v>21</v>
      </c>
      <c r="E296" s="10" t="s">
        <v>265</v>
      </c>
      <c r="F296" s="11">
        <v>11</v>
      </c>
      <c r="G296" s="12">
        <v>1105.5</v>
      </c>
      <c r="H296" s="12">
        <v>12160.5</v>
      </c>
      <c r="I296" s="13">
        <v>442.2</v>
      </c>
      <c r="J296" s="10" t="s">
        <v>45</v>
      </c>
      <c r="K296" s="10" t="s">
        <v>46</v>
      </c>
      <c r="L296" s="10" t="s">
        <v>34</v>
      </c>
      <c r="M296" s="12">
        <v>4864.2</v>
      </c>
      <c r="N296" s="12">
        <v>7296.2999999999902</v>
      </c>
      <c r="O296" s="10">
        <v>60</v>
      </c>
      <c r="P296" s="10" t="s">
        <v>26</v>
      </c>
      <c r="Q296" s="10">
        <v>12</v>
      </c>
      <c r="R296" s="10" t="s">
        <v>27</v>
      </c>
      <c r="S296" s="14" t="str">
        <f t="shared" si="4"/>
        <v>Week 2</v>
      </c>
    </row>
    <row r="297" spans="1:19" x14ac:dyDescent="0.3">
      <c r="A297" s="15" t="s">
        <v>571</v>
      </c>
      <c r="B297" s="16">
        <v>43077</v>
      </c>
      <c r="C297" s="17" t="s">
        <v>354</v>
      </c>
      <c r="D297" s="17" t="s">
        <v>21</v>
      </c>
      <c r="E297" s="17" t="s">
        <v>110</v>
      </c>
      <c r="F297" s="18">
        <v>6</v>
      </c>
      <c r="G297" s="19">
        <v>1996.6</v>
      </c>
      <c r="H297" s="19">
        <v>11979.599999999999</v>
      </c>
      <c r="I297" s="20">
        <v>1098.1300000000001</v>
      </c>
      <c r="J297" s="17" t="s">
        <v>50</v>
      </c>
      <c r="K297" s="17" t="s">
        <v>51</v>
      </c>
      <c r="L297" s="17" t="s">
        <v>40</v>
      </c>
      <c r="M297" s="19">
        <v>6588.78</v>
      </c>
      <c r="N297" s="19">
        <v>5390.82</v>
      </c>
      <c r="O297" s="17">
        <v>44.999999999999901</v>
      </c>
      <c r="P297" s="17" t="s">
        <v>26</v>
      </c>
      <c r="Q297" s="17">
        <v>12</v>
      </c>
      <c r="R297" s="17" t="s">
        <v>27</v>
      </c>
      <c r="S297" s="14" t="str">
        <f t="shared" si="4"/>
        <v>Week 2</v>
      </c>
    </row>
    <row r="298" spans="1:19" x14ac:dyDescent="0.3">
      <c r="A298" s="8" t="s">
        <v>572</v>
      </c>
      <c r="B298" s="9">
        <v>43077</v>
      </c>
      <c r="C298" s="10" t="s">
        <v>480</v>
      </c>
      <c r="D298" s="10" t="s">
        <v>21</v>
      </c>
      <c r="E298" s="10" t="s">
        <v>284</v>
      </c>
      <c r="F298" s="11">
        <v>5</v>
      </c>
      <c r="G298" s="12">
        <v>3678.3</v>
      </c>
      <c r="H298" s="12">
        <v>18391.5</v>
      </c>
      <c r="I298" s="13">
        <v>2427.6779999999999</v>
      </c>
      <c r="J298" s="10" t="s">
        <v>23</v>
      </c>
      <c r="K298" s="10" t="s">
        <v>24</v>
      </c>
      <c r="L298" s="10" t="s">
        <v>25</v>
      </c>
      <c r="M298" s="12">
        <v>12138.39</v>
      </c>
      <c r="N298" s="12">
        <v>6253.1099999999897</v>
      </c>
      <c r="O298" s="10">
        <v>33.999999999999901</v>
      </c>
      <c r="P298" s="10" t="s">
        <v>26</v>
      </c>
      <c r="Q298" s="10">
        <v>12</v>
      </c>
      <c r="R298" s="10" t="s">
        <v>27</v>
      </c>
      <c r="S298" s="14" t="str">
        <f t="shared" si="4"/>
        <v>Week 2</v>
      </c>
    </row>
    <row r="299" spans="1:19" x14ac:dyDescent="0.3">
      <c r="A299" s="15" t="s">
        <v>573</v>
      </c>
      <c r="B299" s="16">
        <v>43077</v>
      </c>
      <c r="C299" s="17" t="s">
        <v>404</v>
      </c>
      <c r="D299" s="17" t="s">
        <v>21</v>
      </c>
      <c r="E299" s="17" t="s">
        <v>146</v>
      </c>
      <c r="F299" s="18">
        <v>10</v>
      </c>
      <c r="G299" s="19">
        <v>2418.6999999999998</v>
      </c>
      <c r="H299" s="19">
        <v>24187</v>
      </c>
      <c r="I299" s="20">
        <v>1330.2850000000001</v>
      </c>
      <c r="J299" s="17" t="s">
        <v>23</v>
      </c>
      <c r="K299" s="17" t="s">
        <v>24</v>
      </c>
      <c r="L299" s="17" t="s">
        <v>25</v>
      </c>
      <c r="M299" s="19">
        <v>13302.85</v>
      </c>
      <c r="N299" s="19">
        <v>10884.15</v>
      </c>
      <c r="O299" s="17">
        <v>45</v>
      </c>
      <c r="P299" s="17" t="s">
        <v>26</v>
      </c>
      <c r="Q299" s="17">
        <v>12</v>
      </c>
      <c r="R299" s="17" t="s">
        <v>27</v>
      </c>
      <c r="S299" s="14" t="str">
        <f t="shared" si="4"/>
        <v>Week 2</v>
      </c>
    </row>
    <row r="300" spans="1:19" x14ac:dyDescent="0.3">
      <c r="A300" s="8" t="s">
        <v>574</v>
      </c>
      <c r="B300" s="9">
        <v>43077</v>
      </c>
      <c r="C300" s="10" t="s">
        <v>241</v>
      </c>
      <c r="D300" s="10" t="s">
        <v>21</v>
      </c>
      <c r="E300" s="10" t="s">
        <v>37</v>
      </c>
      <c r="F300" s="11">
        <v>9</v>
      </c>
      <c r="G300" s="12">
        <v>2318.1999999999998</v>
      </c>
      <c r="H300" s="12">
        <v>20863.8</v>
      </c>
      <c r="I300" s="13">
        <v>1089.5540000000001</v>
      </c>
      <c r="J300" s="10" t="s">
        <v>32</v>
      </c>
      <c r="K300" s="10" t="s">
        <v>33</v>
      </c>
      <c r="L300" s="10" t="s">
        <v>34</v>
      </c>
      <c r="M300" s="12">
        <v>9805.9860000000008</v>
      </c>
      <c r="N300" s="12">
        <v>11057.814</v>
      </c>
      <c r="O300" s="10">
        <v>53</v>
      </c>
      <c r="P300" s="10" t="s">
        <v>26</v>
      </c>
      <c r="Q300" s="10">
        <v>12</v>
      </c>
      <c r="R300" s="10" t="s">
        <v>27</v>
      </c>
      <c r="S300" s="14" t="str">
        <f t="shared" si="4"/>
        <v>Week 2</v>
      </c>
    </row>
    <row r="301" spans="1:19" x14ac:dyDescent="0.3">
      <c r="A301" s="15" t="s">
        <v>575</v>
      </c>
      <c r="B301" s="16">
        <v>43077</v>
      </c>
      <c r="C301" s="17" t="s">
        <v>129</v>
      </c>
      <c r="D301" s="17" t="s">
        <v>21</v>
      </c>
      <c r="E301" s="17" t="s">
        <v>149</v>
      </c>
      <c r="F301" s="18">
        <v>11</v>
      </c>
      <c r="G301" s="19">
        <v>2720.2</v>
      </c>
      <c r="H301" s="19">
        <v>29922.199999999997</v>
      </c>
      <c r="I301" s="20">
        <v>2176.16</v>
      </c>
      <c r="J301" s="17" t="s">
        <v>94</v>
      </c>
      <c r="K301" s="17" t="s">
        <v>95</v>
      </c>
      <c r="L301" s="17" t="s">
        <v>40</v>
      </c>
      <c r="M301" s="19">
        <v>23937.759999999998</v>
      </c>
      <c r="N301" s="19">
        <v>5984.44</v>
      </c>
      <c r="O301" s="17">
        <v>20</v>
      </c>
      <c r="P301" s="17" t="s">
        <v>26</v>
      </c>
      <c r="Q301" s="17">
        <v>12</v>
      </c>
      <c r="R301" s="17" t="s">
        <v>27</v>
      </c>
      <c r="S301" s="14" t="str">
        <f t="shared" si="4"/>
        <v>Week 2</v>
      </c>
    </row>
    <row r="302" spans="1:19" x14ac:dyDescent="0.3">
      <c r="A302" s="8" t="s">
        <v>576</v>
      </c>
      <c r="B302" s="9">
        <v>43077</v>
      </c>
      <c r="C302" s="10" t="s">
        <v>378</v>
      </c>
      <c r="D302" s="10" t="s">
        <v>21</v>
      </c>
      <c r="E302" s="10" t="s">
        <v>228</v>
      </c>
      <c r="F302" s="11">
        <v>5</v>
      </c>
      <c r="G302" s="12">
        <v>3953</v>
      </c>
      <c r="H302" s="12">
        <v>19765</v>
      </c>
      <c r="I302" s="13">
        <v>2095.09</v>
      </c>
      <c r="J302" s="10" t="s">
        <v>121</v>
      </c>
      <c r="K302" s="10" t="s">
        <v>122</v>
      </c>
      <c r="L302" s="10" t="s">
        <v>34</v>
      </c>
      <c r="M302" s="12">
        <v>10475.450000000001</v>
      </c>
      <c r="N302" s="12">
        <v>9289.5499999999993</v>
      </c>
      <c r="O302" s="10">
        <v>47</v>
      </c>
      <c r="P302" s="10" t="s">
        <v>26</v>
      </c>
      <c r="Q302" s="10">
        <v>12</v>
      </c>
      <c r="R302" s="10" t="s">
        <v>27</v>
      </c>
      <c r="S302" s="14" t="str">
        <f t="shared" si="4"/>
        <v>Week 2</v>
      </c>
    </row>
    <row r="303" spans="1:19" x14ac:dyDescent="0.3">
      <c r="A303" s="15" t="s">
        <v>577</v>
      </c>
      <c r="B303" s="16">
        <v>43077</v>
      </c>
      <c r="C303" s="17" t="s">
        <v>578</v>
      </c>
      <c r="D303" s="17" t="s">
        <v>30</v>
      </c>
      <c r="E303" s="17" t="s">
        <v>306</v>
      </c>
      <c r="F303" s="18">
        <v>6</v>
      </c>
      <c r="G303" s="19">
        <v>2579.5</v>
      </c>
      <c r="H303" s="19">
        <v>15477</v>
      </c>
      <c r="I303" s="20">
        <v>1031.8</v>
      </c>
      <c r="J303" s="17" t="s">
        <v>116</v>
      </c>
      <c r="K303" s="17" t="s">
        <v>117</v>
      </c>
      <c r="L303" s="17" t="s">
        <v>40</v>
      </c>
      <c r="M303" s="19">
        <v>6190.7999999999902</v>
      </c>
      <c r="N303" s="19">
        <v>9286.2000000000007</v>
      </c>
      <c r="O303" s="17">
        <v>60</v>
      </c>
      <c r="P303" s="17" t="s">
        <v>26</v>
      </c>
      <c r="Q303" s="17">
        <v>12</v>
      </c>
      <c r="R303" s="17" t="s">
        <v>27</v>
      </c>
      <c r="S303" s="14" t="str">
        <f t="shared" si="4"/>
        <v>Week 2</v>
      </c>
    </row>
    <row r="304" spans="1:19" x14ac:dyDescent="0.3">
      <c r="A304" s="8" t="s">
        <v>579</v>
      </c>
      <c r="B304" s="9">
        <v>43077</v>
      </c>
      <c r="C304" s="10" t="s">
        <v>380</v>
      </c>
      <c r="D304" s="10" t="s">
        <v>30</v>
      </c>
      <c r="E304" s="10" t="s">
        <v>306</v>
      </c>
      <c r="F304" s="11">
        <v>10</v>
      </c>
      <c r="G304" s="12">
        <v>3979.8</v>
      </c>
      <c r="H304" s="12">
        <v>39798</v>
      </c>
      <c r="I304" s="13">
        <v>3303.2339999999999</v>
      </c>
      <c r="J304" s="10" t="s">
        <v>289</v>
      </c>
      <c r="K304" s="10" t="s">
        <v>290</v>
      </c>
      <c r="L304" s="10" t="s">
        <v>34</v>
      </c>
      <c r="M304" s="12">
        <v>33032.339999999997</v>
      </c>
      <c r="N304" s="12">
        <v>6765.66</v>
      </c>
      <c r="O304" s="10">
        <v>17</v>
      </c>
      <c r="P304" s="10" t="s">
        <v>26</v>
      </c>
      <c r="Q304" s="10">
        <v>12</v>
      </c>
      <c r="R304" s="10" t="s">
        <v>27</v>
      </c>
      <c r="S304" s="14" t="str">
        <f t="shared" si="4"/>
        <v>Week 2</v>
      </c>
    </row>
    <row r="305" spans="1:19" x14ac:dyDescent="0.3">
      <c r="A305" s="15" t="s">
        <v>580</v>
      </c>
      <c r="B305" s="16">
        <v>43077</v>
      </c>
      <c r="C305" s="17" t="s">
        <v>61</v>
      </c>
      <c r="D305" s="17" t="s">
        <v>21</v>
      </c>
      <c r="E305" s="17" t="s">
        <v>326</v>
      </c>
      <c r="F305" s="18">
        <v>7</v>
      </c>
      <c r="G305" s="19">
        <v>1078.7</v>
      </c>
      <c r="H305" s="19">
        <v>7550.9000000000005</v>
      </c>
      <c r="I305" s="20">
        <v>539.35</v>
      </c>
      <c r="J305" s="17" t="s">
        <v>436</v>
      </c>
      <c r="K305" s="17" t="s">
        <v>437</v>
      </c>
      <c r="L305" s="17" t="s">
        <v>25</v>
      </c>
      <c r="M305" s="19">
        <v>3775.45</v>
      </c>
      <c r="N305" s="19">
        <v>3775.45</v>
      </c>
      <c r="O305" s="17">
        <v>50</v>
      </c>
      <c r="P305" s="17" t="s">
        <v>26</v>
      </c>
      <c r="Q305" s="17">
        <v>12</v>
      </c>
      <c r="R305" s="17" t="s">
        <v>27</v>
      </c>
      <c r="S305" s="14" t="str">
        <f t="shared" si="4"/>
        <v>Week 2</v>
      </c>
    </row>
    <row r="306" spans="1:19" x14ac:dyDescent="0.3">
      <c r="A306" s="8" t="s">
        <v>581</v>
      </c>
      <c r="B306" s="9">
        <v>43078</v>
      </c>
      <c r="C306" s="10" t="s">
        <v>328</v>
      </c>
      <c r="D306" s="10" t="s">
        <v>21</v>
      </c>
      <c r="E306" s="10" t="s">
        <v>91</v>
      </c>
      <c r="F306" s="11">
        <v>6</v>
      </c>
      <c r="G306" s="12">
        <v>174.2</v>
      </c>
      <c r="H306" s="12">
        <v>1045.1999999999998</v>
      </c>
      <c r="I306" s="13">
        <v>146.328</v>
      </c>
      <c r="J306" s="10" t="s">
        <v>54</v>
      </c>
      <c r="K306" s="10" t="s">
        <v>55</v>
      </c>
      <c r="L306" s="10" t="s">
        <v>56</v>
      </c>
      <c r="M306" s="12">
        <v>877.96799999999996</v>
      </c>
      <c r="N306" s="12">
        <v>167.231999999999</v>
      </c>
      <c r="O306" s="10">
        <v>15.999999999999901</v>
      </c>
      <c r="P306" s="10" t="s">
        <v>26</v>
      </c>
      <c r="Q306" s="10">
        <v>12</v>
      </c>
      <c r="R306" s="10" t="s">
        <v>27</v>
      </c>
      <c r="S306" s="14" t="str">
        <f t="shared" si="4"/>
        <v>Week 2</v>
      </c>
    </row>
    <row r="307" spans="1:19" x14ac:dyDescent="0.3">
      <c r="A307" s="15" t="s">
        <v>582</v>
      </c>
      <c r="B307" s="16">
        <v>43078</v>
      </c>
      <c r="C307" s="17" t="s">
        <v>464</v>
      </c>
      <c r="D307" s="17" t="s">
        <v>21</v>
      </c>
      <c r="E307" s="17" t="s">
        <v>103</v>
      </c>
      <c r="F307" s="18">
        <v>10</v>
      </c>
      <c r="G307" s="19">
        <v>234.5</v>
      </c>
      <c r="H307" s="19">
        <v>2345</v>
      </c>
      <c r="I307" s="20">
        <v>159.46</v>
      </c>
      <c r="J307" s="17" t="s">
        <v>177</v>
      </c>
      <c r="K307" s="17" t="s">
        <v>178</v>
      </c>
      <c r="L307" s="17" t="s">
        <v>40</v>
      </c>
      <c r="M307" s="19">
        <v>1594.6</v>
      </c>
      <c r="N307" s="19">
        <v>750.39999999999895</v>
      </c>
      <c r="O307" s="17">
        <v>31.999999999999901</v>
      </c>
      <c r="P307" s="17" t="s">
        <v>26</v>
      </c>
      <c r="Q307" s="17">
        <v>12</v>
      </c>
      <c r="R307" s="17" t="s">
        <v>27</v>
      </c>
      <c r="S307" s="14" t="str">
        <f t="shared" si="4"/>
        <v>Week 2</v>
      </c>
    </row>
    <row r="308" spans="1:19" x14ac:dyDescent="0.3">
      <c r="A308" s="8" t="s">
        <v>583</v>
      </c>
      <c r="B308" s="9">
        <v>43078</v>
      </c>
      <c r="C308" s="10" t="s">
        <v>321</v>
      </c>
      <c r="D308" s="10" t="s">
        <v>21</v>
      </c>
      <c r="E308" s="10" t="s">
        <v>120</v>
      </c>
      <c r="F308" s="11">
        <v>8</v>
      </c>
      <c r="G308" s="12">
        <v>1721.9</v>
      </c>
      <c r="H308" s="12">
        <v>13775.2</v>
      </c>
      <c r="I308" s="13">
        <v>688.76</v>
      </c>
      <c r="J308" s="10" t="s">
        <v>94</v>
      </c>
      <c r="K308" s="10" t="s">
        <v>95</v>
      </c>
      <c r="L308" s="10" t="s">
        <v>40</v>
      </c>
      <c r="M308" s="12">
        <v>5510.08</v>
      </c>
      <c r="N308" s="12">
        <v>8265.1199999999899</v>
      </c>
      <c r="O308" s="10">
        <v>59.999999999999901</v>
      </c>
      <c r="P308" s="10" t="s">
        <v>26</v>
      </c>
      <c r="Q308" s="10">
        <v>12</v>
      </c>
      <c r="R308" s="10" t="s">
        <v>27</v>
      </c>
      <c r="S308" s="14" t="str">
        <f t="shared" si="4"/>
        <v>Week 2</v>
      </c>
    </row>
    <row r="309" spans="1:19" x14ac:dyDescent="0.3">
      <c r="A309" s="15" t="s">
        <v>584</v>
      </c>
      <c r="B309" s="16">
        <v>43078</v>
      </c>
      <c r="C309" s="17" t="s">
        <v>142</v>
      </c>
      <c r="D309" s="17" t="s">
        <v>21</v>
      </c>
      <c r="E309" s="17" t="s">
        <v>44</v>
      </c>
      <c r="F309" s="18">
        <v>6</v>
      </c>
      <c r="G309" s="19">
        <v>2666.6</v>
      </c>
      <c r="H309" s="19">
        <v>15999.599999999999</v>
      </c>
      <c r="I309" s="20">
        <v>1546.6279999999999</v>
      </c>
      <c r="J309" s="17" t="s">
        <v>54</v>
      </c>
      <c r="K309" s="17" t="s">
        <v>55</v>
      </c>
      <c r="L309" s="17" t="s">
        <v>56</v>
      </c>
      <c r="M309" s="19">
        <v>9279.768</v>
      </c>
      <c r="N309" s="19">
        <v>6719.8319999999903</v>
      </c>
      <c r="O309" s="17">
        <v>41.999999999999901</v>
      </c>
      <c r="P309" s="17" t="s">
        <v>26</v>
      </c>
      <c r="Q309" s="17">
        <v>12</v>
      </c>
      <c r="R309" s="17" t="s">
        <v>27</v>
      </c>
      <c r="S309" s="14" t="str">
        <f t="shared" si="4"/>
        <v>Week 2</v>
      </c>
    </row>
    <row r="310" spans="1:19" x14ac:dyDescent="0.3">
      <c r="A310" s="8" t="s">
        <v>585</v>
      </c>
      <c r="B310" s="9">
        <v>43078</v>
      </c>
      <c r="C310" s="10" t="s">
        <v>472</v>
      </c>
      <c r="D310" s="10" t="s">
        <v>21</v>
      </c>
      <c r="E310" s="10" t="s">
        <v>265</v>
      </c>
      <c r="F310" s="11">
        <v>8</v>
      </c>
      <c r="G310" s="12">
        <v>1721.9</v>
      </c>
      <c r="H310" s="12">
        <v>13775.2</v>
      </c>
      <c r="I310" s="13">
        <v>1033.1400000000001</v>
      </c>
      <c r="J310" s="10" t="s">
        <v>94</v>
      </c>
      <c r="K310" s="10" t="s">
        <v>95</v>
      </c>
      <c r="L310" s="10" t="s">
        <v>40</v>
      </c>
      <c r="M310" s="12">
        <v>8265.1200000000008</v>
      </c>
      <c r="N310" s="12">
        <v>5510.08</v>
      </c>
      <c r="O310" s="10">
        <v>40</v>
      </c>
      <c r="P310" s="10" t="s">
        <v>26</v>
      </c>
      <c r="Q310" s="10">
        <v>12</v>
      </c>
      <c r="R310" s="10" t="s">
        <v>27</v>
      </c>
      <c r="S310" s="14" t="str">
        <f t="shared" si="4"/>
        <v>Week 2</v>
      </c>
    </row>
    <row r="311" spans="1:19" x14ac:dyDescent="0.3">
      <c r="A311" s="15" t="s">
        <v>586</v>
      </c>
      <c r="B311" s="16">
        <v>43078</v>
      </c>
      <c r="C311" s="17" t="s">
        <v>308</v>
      </c>
      <c r="D311" s="17" t="s">
        <v>21</v>
      </c>
      <c r="E311" s="17" t="s">
        <v>127</v>
      </c>
      <c r="F311" s="18">
        <v>10</v>
      </c>
      <c r="G311" s="19">
        <v>1132.3</v>
      </c>
      <c r="H311" s="19">
        <v>11323</v>
      </c>
      <c r="I311" s="20">
        <v>905.84</v>
      </c>
      <c r="J311" s="17" t="s">
        <v>76</v>
      </c>
      <c r="K311" s="17" t="s">
        <v>77</v>
      </c>
      <c r="L311" s="17" t="s">
        <v>56</v>
      </c>
      <c r="M311" s="19">
        <v>9058.4</v>
      </c>
      <c r="N311" s="19">
        <v>2264.6</v>
      </c>
      <c r="O311" s="17">
        <v>20</v>
      </c>
      <c r="P311" s="17" t="s">
        <v>26</v>
      </c>
      <c r="Q311" s="17">
        <v>12</v>
      </c>
      <c r="R311" s="17" t="s">
        <v>27</v>
      </c>
      <c r="S311" s="14" t="str">
        <f t="shared" si="4"/>
        <v>Week 2</v>
      </c>
    </row>
    <row r="312" spans="1:19" x14ac:dyDescent="0.3">
      <c r="A312" s="8" t="s">
        <v>587</v>
      </c>
      <c r="B312" s="9">
        <v>43078</v>
      </c>
      <c r="C312" s="10" t="s">
        <v>36</v>
      </c>
      <c r="D312" s="10" t="s">
        <v>30</v>
      </c>
      <c r="E312" s="10" t="s">
        <v>31</v>
      </c>
      <c r="F312" s="11">
        <v>12</v>
      </c>
      <c r="G312" s="12">
        <v>1085.4000000000001</v>
      </c>
      <c r="H312" s="12">
        <v>13024.800000000001</v>
      </c>
      <c r="I312" s="13">
        <v>792.34199999999998</v>
      </c>
      <c r="J312" s="10" t="s">
        <v>32</v>
      </c>
      <c r="K312" s="10" t="s">
        <v>33</v>
      </c>
      <c r="L312" s="10" t="s">
        <v>34</v>
      </c>
      <c r="M312" s="12">
        <v>9508.1039999999994</v>
      </c>
      <c r="N312" s="12">
        <v>3516.6959999999999</v>
      </c>
      <c r="O312" s="10">
        <v>26.999999999999901</v>
      </c>
      <c r="P312" s="10" t="s">
        <v>26</v>
      </c>
      <c r="Q312" s="10">
        <v>12</v>
      </c>
      <c r="R312" s="10" t="s">
        <v>27</v>
      </c>
      <c r="S312" s="14" t="str">
        <f t="shared" si="4"/>
        <v>Week 2</v>
      </c>
    </row>
    <row r="313" spans="1:19" x14ac:dyDescent="0.3">
      <c r="A313" s="15" t="s">
        <v>588</v>
      </c>
      <c r="B313" s="16">
        <v>43078</v>
      </c>
      <c r="C313" s="17" t="s">
        <v>497</v>
      </c>
      <c r="D313" s="17" t="s">
        <v>21</v>
      </c>
      <c r="E313" s="17" t="s">
        <v>326</v>
      </c>
      <c r="F313" s="18">
        <v>6</v>
      </c>
      <c r="G313" s="19">
        <v>1018.4</v>
      </c>
      <c r="H313" s="19">
        <v>6110.4</v>
      </c>
      <c r="I313" s="20">
        <v>478.647999999999</v>
      </c>
      <c r="J313" s="17" t="s">
        <v>458</v>
      </c>
      <c r="K313" s="17" t="s">
        <v>459</v>
      </c>
      <c r="L313" s="17" t="s">
        <v>34</v>
      </c>
      <c r="M313" s="19">
        <v>2871.8879999999999</v>
      </c>
      <c r="N313" s="19">
        <v>3238.5119999999902</v>
      </c>
      <c r="O313" s="17">
        <v>53</v>
      </c>
      <c r="P313" s="17" t="s">
        <v>26</v>
      </c>
      <c r="Q313" s="17">
        <v>12</v>
      </c>
      <c r="R313" s="17" t="s">
        <v>27</v>
      </c>
      <c r="S313" s="14" t="str">
        <f t="shared" si="4"/>
        <v>Week 2</v>
      </c>
    </row>
    <row r="314" spans="1:19" x14ac:dyDescent="0.3">
      <c r="A314" s="8" t="s">
        <v>589</v>
      </c>
      <c r="B314" s="9">
        <v>43078</v>
      </c>
      <c r="C314" s="10" t="s">
        <v>308</v>
      </c>
      <c r="D314" s="10" t="s">
        <v>21</v>
      </c>
      <c r="E314" s="10" t="s">
        <v>49</v>
      </c>
      <c r="F314" s="11">
        <v>12</v>
      </c>
      <c r="G314" s="12">
        <v>2331.6</v>
      </c>
      <c r="H314" s="12">
        <v>27979.199999999997</v>
      </c>
      <c r="I314" s="13">
        <v>1445.5919999999901</v>
      </c>
      <c r="J314" s="10" t="s">
        <v>132</v>
      </c>
      <c r="K314" s="10" t="s">
        <v>133</v>
      </c>
      <c r="L314" s="10" t="s">
        <v>34</v>
      </c>
      <c r="M314" s="12">
        <v>17347.103999999999</v>
      </c>
      <c r="N314" s="12">
        <v>10632.0959999999</v>
      </c>
      <c r="O314" s="10">
        <v>37.999999999999901</v>
      </c>
      <c r="P314" s="10" t="s">
        <v>26</v>
      </c>
      <c r="Q314" s="10">
        <v>12</v>
      </c>
      <c r="R314" s="10" t="s">
        <v>27</v>
      </c>
      <c r="S314" s="14" t="str">
        <f t="shared" si="4"/>
        <v>Week 2</v>
      </c>
    </row>
    <row r="315" spans="1:19" x14ac:dyDescent="0.3">
      <c r="A315" s="15" t="s">
        <v>590</v>
      </c>
      <c r="B315" s="16">
        <v>43078</v>
      </c>
      <c r="C315" s="17" t="s">
        <v>591</v>
      </c>
      <c r="D315" s="17" t="s">
        <v>21</v>
      </c>
      <c r="E315" s="17" t="s">
        <v>360</v>
      </c>
      <c r="F315" s="18">
        <v>12</v>
      </c>
      <c r="G315" s="19">
        <v>201</v>
      </c>
      <c r="H315" s="19">
        <v>2412</v>
      </c>
      <c r="I315" s="20">
        <v>166.82999999999899</v>
      </c>
      <c r="J315" s="17" t="s">
        <v>69</v>
      </c>
      <c r="K315" s="17" t="s">
        <v>70</v>
      </c>
      <c r="L315" s="17" t="s">
        <v>25</v>
      </c>
      <c r="M315" s="19">
        <v>2001.95999999999</v>
      </c>
      <c r="N315" s="19">
        <v>410.04</v>
      </c>
      <c r="O315" s="17">
        <v>17</v>
      </c>
      <c r="P315" s="17" t="s">
        <v>26</v>
      </c>
      <c r="Q315" s="17">
        <v>12</v>
      </c>
      <c r="R315" s="17" t="s">
        <v>27</v>
      </c>
      <c r="S315" s="14" t="str">
        <f t="shared" si="4"/>
        <v>Week 2</v>
      </c>
    </row>
    <row r="316" spans="1:19" x14ac:dyDescent="0.3">
      <c r="A316" s="8" t="s">
        <v>592</v>
      </c>
      <c r="B316" s="9">
        <v>43078</v>
      </c>
      <c r="C316" s="10" t="s">
        <v>371</v>
      </c>
      <c r="D316" s="10" t="s">
        <v>30</v>
      </c>
      <c r="E316" s="10" t="s">
        <v>146</v>
      </c>
      <c r="F316" s="11">
        <v>11</v>
      </c>
      <c r="G316" s="12">
        <v>214.4</v>
      </c>
      <c r="H316" s="12">
        <v>2358.4</v>
      </c>
      <c r="I316" s="13">
        <v>115.776</v>
      </c>
      <c r="J316" s="10" t="s">
        <v>32</v>
      </c>
      <c r="K316" s="10" t="s">
        <v>33</v>
      </c>
      <c r="L316" s="10" t="s">
        <v>34</v>
      </c>
      <c r="M316" s="12">
        <v>1273.5360000000001</v>
      </c>
      <c r="N316" s="12">
        <v>1084.864</v>
      </c>
      <c r="O316" s="10">
        <v>46</v>
      </c>
      <c r="P316" s="10" t="s">
        <v>26</v>
      </c>
      <c r="Q316" s="10">
        <v>12</v>
      </c>
      <c r="R316" s="10" t="s">
        <v>27</v>
      </c>
      <c r="S316" s="14" t="str">
        <f t="shared" si="4"/>
        <v>Week 2</v>
      </c>
    </row>
    <row r="317" spans="1:19" x14ac:dyDescent="0.3">
      <c r="A317" s="15" t="s">
        <v>593</v>
      </c>
      <c r="B317" s="16">
        <v>43078</v>
      </c>
      <c r="C317" s="17" t="s">
        <v>594</v>
      </c>
      <c r="D317" s="17" t="s">
        <v>21</v>
      </c>
      <c r="E317" s="17" t="s">
        <v>360</v>
      </c>
      <c r="F317" s="18">
        <v>10</v>
      </c>
      <c r="G317" s="19">
        <v>3651.5</v>
      </c>
      <c r="H317" s="19">
        <v>36515</v>
      </c>
      <c r="I317" s="20">
        <v>2446.5050000000001</v>
      </c>
      <c r="J317" s="17" t="s">
        <v>54</v>
      </c>
      <c r="K317" s="17" t="s">
        <v>55</v>
      </c>
      <c r="L317" s="17" t="s">
        <v>56</v>
      </c>
      <c r="M317" s="19">
        <v>24465.05</v>
      </c>
      <c r="N317" s="19">
        <v>12049.949999999901</v>
      </c>
      <c r="O317" s="17">
        <v>32.999999999999901</v>
      </c>
      <c r="P317" s="17" t="s">
        <v>26</v>
      </c>
      <c r="Q317" s="17">
        <v>12</v>
      </c>
      <c r="R317" s="17" t="s">
        <v>27</v>
      </c>
      <c r="S317" s="14" t="str">
        <f t="shared" si="4"/>
        <v>Week 2</v>
      </c>
    </row>
    <row r="318" spans="1:19" x14ac:dyDescent="0.3">
      <c r="A318" s="8" t="s">
        <v>595</v>
      </c>
      <c r="B318" s="9">
        <v>43078</v>
      </c>
      <c r="C318" s="10" t="s">
        <v>154</v>
      </c>
      <c r="D318" s="10" t="s">
        <v>21</v>
      </c>
      <c r="E318" s="10" t="s">
        <v>360</v>
      </c>
      <c r="F318" s="11">
        <v>8</v>
      </c>
      <c r="G318" s="12">
        <v>180.9</v>
      </c>
      <c r="H318" s="12">
        <v>1447.2</v>
      </c>
      <c r="I318" s="13">
        <v>135.67500000000001</v>
      </c>
      <c r="J318" s="10" t="s">
        <v>54</v>
      </c>
      <c r="K318" s="10" t="s">
        <v>55</v>
      </c>
      <c r="L318" s="10" t="s">
        <v>56</v>
      </c>
      <c r="M318" s="12">
        <v>1085.4000000000001</v>
      </c>
      <c r="N318" s="12">
        <v>361.79999999999899</v>
      </c>
      <c r="O318" s="10">
        <v>24.999999999999901</v>
      </c>
      <c r="P318" s="10" t="s">
        <v>26</v>
      </c>
      <c r="Q318" s="10">
        <v>12</v>
      </c>
      <c r="R318" s="10" t="s">
        <v>27</v>
      </c>
      <c r="S318" s="14" t="str">
        <f t="shared" si="4"/>
        <v>Week 2</v>
      </c>
    </row>
    <row r="319" spans="1:19" x14ac:dyDescent="0.3">
      <c r="A319" s="15" t="s">
        <v>596</v>
      </c>
      <c r="B319" s="16">
        <v>43078</v>
      </c>
      <c r="C319" s="17" t="s">
        <v>347</v>
      </c>
      <c r="D319" s="17" t="s">
        <v>43</v>
      </c>
      <c r="E319" s="17" t="s">
        <v>31</v>
      </c>
      <c r="F319" s="18">
        <v>5</v>
      </c>
      <c r="G319" s="19">
        <v>2237.8000000000002</v>
      </c>
      <c r="H319" s="19">
        <v>11189</v>
      </c>
      <c r="I319" s="20">
        <v>1029.3879999999999</v>
      </c>
      <c r="J319" s="17" t="s">
        <v>23</v>
      </c>
      <c r="K319" s="17" t="s">
        <v>24</v>
      </c>
      <c r="L319" s="17" t="s">
        <v>25</v>
      </c>
      <c r="M319" s="19">
        <v>5146.9399999999996</v>
      </c>
      <c r="N319" s="19">
        <v>6042.0599999999904</v>
      </c>
      <c r="O319" s="17">
        <v>53.999999999999901</v>
      </c>
      <c r="P319" s="17" t="s">
        <v>26</v>
      </c>
      <c r="Q319" s="17">
        <v>12</v>
      </c>
      <c r="R319" s="17" t="s">
        <v>27</v>
      </c>
      <c r="S319" s="14" t="str">
        <f t="shared" si="4"/>
        <v>Week 2</v>
      </c>
    </row>
    <row r="320" spans="1:19" x14ac:dyDescent="0.3">
      <c r="A320" s="8" t="s">
        <v>597</v>
      </c>
      <c r="B320" s="9">
        <v>43078</v>
      </c>
      <c r="C320" s="10" t="s">
        <v>526</v>
      </c>
      <c r="D320" s="10" t="s">
        <v>30</v>
      </c>
      <c r="E320" s="10" t="s">
        <v>73</v>
      </c>
      <c r="F320" s="11">
        <v>8</v>
      </c>
      <c r="G320" s="12">
        <v>1742</v>
      </c>
      <c r="H320" s="12">
        <v>13936</v>
      </c>
      <c r="I320" s="13">
        <v>1027.78</v>
      </c>
      <c r="J320" s="10" t="s">
        <v>436</v>
      </c>
      <c r="K320" s="10" t="s">
        <v>437</v>
      </c>
      <c r="L320" s="10" t="s">
        <v>25</v>
      </c>
      <c r="M320" s="12">
        <v>8222.24</v>
      </c>
      <c r="N320" s="12">
        <v>5713.76</v>
      </c>
      <c r="O320" s="10">
        <v>41</v>
      </c>
      <c r="P320" s="10" t="s">
        <v>26</v>
      </c>
      <c r="Q320" s="10">
        <v>12</v>
      </c>
      <c r="R320" s="10" t="s">
        <v>27</v>
      </c>
      <c r="S320" s="14" t="str">
        <f t="shared" si="4"/>
        <v>Week 2</v>
      </c>
    </row>
    <row r="321" spans="1:19" x14ac:dyDescent="0.3">
      <c r="A321" s="15" t="s">
        <v>598</v>
      </c>
      <c r="B321" s="16">
        <v>43078</v>
      </c>
      <c r="C321" s="17" t="s">
        <v>404</v>
      </c>
      <c r="D321" s="17" t="s">
        <v>21</v>
      </c>
      <c r="E321" s="17" t="s">
        <v>31</v>
      </c>
      <c r="F321" s="18">
        <v>7</v>
      </c>
      <c r="G321" s="19">
        <v>1005</v>
      </c>
      <c r="H321" s="19">
        <v>7035</v>
      </c>
      <c r="I321" s="20">
        <v>613.04999999999995</v>
      </c>
      <c r="J321" s="17" t="s">
        <v>411</v>
      </c>
      <c r="K321" s="17" t="s">
        <v>412</v>
      </c>
      <c r="L321" s="17" t="s">
        <v>56</v>
      </c>
      <c r="M321" s="19">
        <v>4291.3499999999904</v>
      </c>
      <c r="N321" s="19">
        <v>2743.65</v>
      </c>
      <c r="O321" s="17">
        <v>39</v>
      </c>
      <c r="P321" s="17" t="s">
        <v>26</v>
      </c>
      <c r="Q321" s="17">
        <v>12</v>
      </c>
      <c r="R321" s="17" t="s">
        <v>27</v>
      </c>
      <c r="S321" s="14" t="str">
        <f t="shared" si="4"/>
        <v>Week 2</v>
      </c>
    </row>
    <row r="322" spans="1:19" x14ac:dyDescent="0.3">
      <c r="A322" s="8" t="s">
        <v>599</v>
      </c>
      <c r="B322" s="9">
        <v>43078</v>
      </c>
      <c r="C322" s="10" t="s">
        <v>325</v>
      </c>
      <c r="D322" s="10" t="s">
        <v>21</v>
      </c>
      <c r="E322" s="10" t="s">
        <v>149</v>
      </c>
      <c r="F322" s="11">
        <v>7</v>
      </c>
      <c r="G322" s="12">
        <v>261.3</v>
      </c>
      <c r="H322" s="12">
        <v>1829.1000000000001</v>
      </c>
      <c r="I322" s="13">
        <v>107.133</v>
      </c>
      <c r="J322" s="10" t="s">
        <v>177</v>
      </c>
      <c r="K322" s="10" t="s">
        <v>178</v>
      </c>
      <c r="L322" s="10" t="s">
        <v>40</v>
      </c>
      <c r="M322" s="12">
        <v>749.93099999999902</v>
      </c>
      <c r="N322" s="12">
        <v>1079.1690000000001</v>
      </c>
      <c r="O322" s="10">
        <v>59</v>
      </c>
      <c r="P322" s="10" t="s">
        <v>26</v>
      </c>
      <c r="Q322" s="10">
        <v>12</v>
      </c>
      <c r="R322" s="10" t="s">
        <v>27</v>
      </c>
      <c r="S322" s="14" t="str">
        <f t="shared" si="4"/>
        <v>Week 2</v>
      </c>
    </row>
    <row r="323" spans="1:19" x14ac:dyDescent="0.3">
      <c r="A323" s="15" t="s">
        <v>600</v>
      </c>
      <c r="B323" s="16">
        <v>43078</v>
      </c>
      <c r="C323" s="17" t="s">
        <v>435</v>
      </c>
      <c r="D323" s="17" t="s">
        <v>21</v>
      </c>
      <c r="E323" s="17" t="s">
        <v>103</v>
      </c>
      <c r="F323" s="18">
        <v>5</v>
      </c>
      <c r="G323" s="19">
        <v>1085.4000000000001</v>
      </c>
      <c r="H323" s="19">
        <v>5427</v>
      </c>
      <c r="I323" s="20">
        <v>835.75800000000004</v>
      </c>
      <c r="J323" s="17" t="s">
        <v>257</v>
      </c>
      <c r="K323" s="17" t="s">
        <v>258</v>
      </c>
      <c r="L323" s="17" t="s">
        <v>25</v>
      </c>
      <c r="M323" s="19">
        <v>4178.79</v>
      </c>
      <c r="N323" s="19">
        <v>1248.21</v>
      </c>
      <c r="O323" s="17">
        <v>23</v>
      </c>
      <c r="P323" s="17" t="s">
        <v>26</v>
      </c>
      <c r="Q323" s="17">
        <v>12</v>
      </c>
      <c r="R323" s="17" t="s">
        <v>27</v>
      </c>
      <c r="S323" s="14" t="str">
        <f t="shared" ref="S323:S386" si="5">"Week "&amp;INT((DAY(B323)-1)/7)+1</f>
        <v>Week 2</v>
      </c>
    </row>
    <row r="324" spans="1:19" x14ac:dyDescent="0.3">
      <c r="A324" s="8" t="s">
        <v>601</v>
      </c>
      <c r="B324" s="9">
        <v>43078</v>
      </c>
      <c r="C324" s="10" t="s">
        <v>378</v>
      </c>
      <c r="D324" s="10" t="s">
        <v>30</v>
      </c>
      <c r="E324" s="10" t="s">
        <v>93</v>
      </c>
      <c r="F324" s="11">
        <v>11</v>
      </c>
      <c r="G324" s="12">
        <v>1065.3</v>
      </c>
      <c r="H324" s="12">
        <v>11718.3</v>
      </c>
      <c r="I324" s="13">
        <v>511.34399999999903</v>
      </c>
      <c r="J324" s="10" t="s">
        <v>257</v>
      </c>
      <c r="K324" s="10" t="s">
        <v>258</v>
      </c>
      <c r="L324" s="10" t="s">
        <v>25</v>
      </c>
      <c r="M324" s="12">
        <v>5624.7839999999997</v>
      </c>
      <c r="N324" s="12">
        <v>6093.5159999999996</v>
      </c>
      <c r="O324" s="10">
        <v>52</v>
      </c>
      <c r="P324" s="10" t="s">
        <v>26</v>
      </c>
      <c r="Q324" s="10">
        <v>12</v>
      </c>
      <c r="R324" s="10" t="s">
        <v>27</v>
      </c>
      <c r="S324" s="14" t="str">
        <f t="shared" si="5"/>
        <v>Week 2</v>
      </c>
    </row>
    <row r="325" spans="1:19" x14ac:dyDescent="0.3">
      <c r="A325" s="15" t="s">
        <v>602</v>
      </c>
      <c r="B325" s="16">
        <v>43078</v>
      </c>
      <c r="C325" s="17" t="s">
        <v>256</v>
      </c>
      <c r="D325" s="17" t="s">
        <v>30</v>
      </c>
      <c r="E325" s="17" t="s">
        <v>149</v>
      </c>
      <c r="F325" s="18">
        <v>12</v>
      </c>
      <c r="G325" s="19">
        <v>1098.8</v>
      </c>
      <c r="H325" s="19">
        <v>13185.599999999999</v>
      </c>
      <c r="I325" s="20">
        <v>670.26799999999901</v>
      </c>
      <c r="J325" s="17" t="s">
        <v>54</v>
      </c>
      <c r="K325" s="17" t="s">
        <v>55</v>
      </c>
      <c r="L325" s="17" t="s">
        <v>56</v>
      </c>
      <c r="M325" s="19">
        <v>8043.2159999999903</v>
      </c>
      <c r="N325" s="19">
        <v>5142.384</v>
      </c>
      <c r="O325" s="17">
        <v>39</v>
      </c>
      <c r="P325" s="17" t="s">
        <v>26</v>
      </c>
      <c r="Q325" s="17">
        <v>12</v>
      </c>
      <c r="R325" s="17" t="s">
        <v>27</v>
      </c>
      <c r="S325" s="14" t="str">
        <f t="shared" si="5"/>
        <v>Week 2</v>
      </c>
    </row>
    <row r="326" spans="1:19" x14ac:dyDescent="0.3">
      <c r="A326" s="8" t="s">
        <v>603</v>
      </c>
      <c r="B326" s="9">
        <v>43078</v>
      </c>
      <c r="C326" s="10" t="s">
        <v>61</v>
      </c>
      <c r="D326" s="10" t="s">
        <v>21</v>
      </c>
      <c r="E326" s="10" t="s">
        <v>252</v>
      </c>
      <c r="F326" s="11">
        <v>5</v>
      </c>
      <c r="G326" s="12">
        <v>5179.1000000000004</v>
      </c>
      <c r="H326" s="12">
        <v>25895.5</v>
      </c>
      <c r="I326" s="13">
        <v>2434.1770000000001</v>
      </c>
      <c r="J326" s="10" t="s">
        <v>54</v>
      </c>
      <c r="K326" s="10" t="s">
        <v>55</v>
      </c>
      <c r="L326" s="10" t="s">
        <v>56</v>
      </c>
      <c r="M326" s="12">
        <v>12170.885</v>
      </c>
      <c r="N326" s="12">
        <v>13724.615</v>
      </c>
      <c r="O326" s="10">
        <v>53</v>
      </c>
      <c r="P326" s="10" t="s">
        <v>26</v>
      </c>
      <c r="Q326" s="10">
        <v>12</v>
      </c>
      <c r="R326" s="10" t="s">
        <v>27</v>
      </c>
      <c r="S326" s="14" t="str">
        <f t="shared" si="5"/>
        <v>Week 2</v>
      </c>
    </row>
    <row r="327" spans="1:19" x14ac:dyDescent="0.3">
      <c r="A327" s="15" t="s">
        <v>604</v>
      </c>
      <c r="B327" s="16">
        <v>43078</v>
      </c>
      <c r="C327" s="17" t="s">
        <v>131</v>
      </c>
      <c r="D327" s="17" t="s">
        <v>43</v>
      </c>
      <c r="E327" s="17" t="s">
        <v>37</v>
      </c>
      <c r="F327" s="18">
        <v>11</v>
      </c>
      <c r="G327" s="19">
        <v>5092</v>
      </c>
      <c r="H327" s="19">
        <v>56012</v>
      </c>
      <c r="I327" s="20">
        <v>4226.3599999999997</v>
      </c>
      <c r="J327" s="17" t="s">
        <v>54</v>
      </c>
      <c r="K327" s="17" t="s">
        <v>55</v>
      </c>
      <c r="L327" s="17" t="s">
        <v>56</v>
      </c>
      <c r="M327" s="19">
        <v>46489.96</v>
      </c>
      <c r="N327" s="19">
        <v>9522.0400000000009</v>
      </c>
      <c r="O327" s="17">
        <v>17</v>
      </c>
      <c r="P327" s="17" t="s">
        <v>26</v>
      </c>
      <c r="Q327" s="17">
        <v>12</v>
      </c>
      <c r="R327" s="17" t="s">
        <v>27</v>
      </c>
      <c r="S327" s="14" t="str">
        <f t="shared" si="5"/>
        <v>Week 2</v>
      </c>
    </row>
    <row r="328" spans="1:19" x14ac:dyDescent="0.3">
      <c r="A328" s="8" t="s">
        <v>605</v>
      </c>
      <c r="B328" s="9">
        <v>43078</v>
      </c>
      <c r="C328" s="10" t="s">
        <v>53</v>
      </c>
      <c r="D328" s="10" t="s">
        <v>30</v>
      </c>
      <c r="E328" s="10" t="s">
        <v>31</v>
      </c>
      <c r="F328" s="11">
        <v>6</v>
      </c>
      <c r="G328" s="12">
        <v>3557.7</v>
      </c>
      <c r="H328" s="12">
        <v>21346.199999999997</v>
      </c>
      <c r="I328" s="13">
        <v>1814.4269999999999</v>
      </c>
      <c r="J328" s="10" t="s">
        <v>94</v>
      </c>
      <c r="K328" s="10" t="s">
        <v>95</v>
      </c>
      <c r="L328" s="10" t="s">
        <v>40</v>
      </c>
      <c r="M328" s="12">
        <v>10886.562</v>
      </c>
      <c r="N328" s="12">
        <v>10459.637999999901</v>
      </c>
      <c r="O328" s="10">
        <v>48.999999999999901</v>
      </c>
      <c r="P328" s="10" t="s">
        <v>26</v>
      </c>
      <c r="Q328" s="10">
        <v>12</v>
      </c>
      <c r="R328" s="10" t="s">
        <v>27</v>
      </c>
      <c r="S328" s="14" t="str">
        <f t="shared" si="5"/>
        <v>Week 2</v>
      </c>
    </row>
    <row r="329" spans="1:19" x14ac:dyDescent="0.3">
      <c r="A329" s="15" t="s">
        <v>606</v>
      </c>
      <c r="B329" s="16">
        <v>43078</v>
      </c>
      <c r="C329" s="17" t="s">
        <v>297</v>
      </c>
      <c r="D329" s="17" t="s">
        <v>21</v>
      </c>
      <c r="E329" s="17" t="s">
        <v>127</v>
      </c>
      <c r="F329" s="18">
        <v>12</v>
      </c>
      <c r="G329" s="19">
        <v>1005</v>
      </c>
      <c r="H329" s="19">
        <v>12060</v>
      </c>
      <c r="I329" s="20">
        <v>824.099999999999</v>
      </c>
      <c r="J329" s="17" t="s">
        <v>23</v>
      </c>
      <c r="K329" s="17" t="s">
        <v>24</v>
      </c>
      <c r="L329" s="17" t="s">
        <v>25</v>
      </c>
      <c r="M329" s="19">
        <v>9889.1999999999898</v>
      </c>
      <c r="N329" s="19">
        <v>2170.8000000000002</v>
      </c>
      <c r="O329" s="17">
        <v>18</v>
      </c>
      <c r="P329" s="17" t="s">
        <v>26</v>
      </c>
      <c r="Q329" s="17">
        <v>12</v>
      </c>
      <c r="R329" s="17" t="s">
        <v>27</v>
      </c>
      <c r="S329" s="14" t="str">
        <f t="shared" si="5"/>
        <v>Week 2</v>
      </c>
    </row>
    <row r="330" spans="1:19" x14ac:dyDescent="0.3">
      <c r="A330" s="8" t="s">
        <v>607</v>
      </c>
      <c r="B330" s="9">
        <v>43078</v>
      </c>
      <c r="C330" s="10" t="s">
        <v>261</v>
      </c>
      <c r="D330" s="10" t="s">
        <v>21</v>
      </c>
      <c r="E330" s="10" t="s">
        <v>110</v>
      </c>
      <c r="F330" s="11">
        <v>6</v>
      </c>
      <c r="G330" s="12">
        <v>837.5</v>
      </c>
      <c r="H330" s="12">
        <v>5025</v>
      </c>
      <c r="I330" s="13">
        <v>619.75</v>
      </c>
      <c r="J330" s="10" t="s">
        <v>257</v>
      </c>
      <c r="K330" s="10" t="s">
        <v>258</v>
      </c>
      <c r="L330" s="10" t="s">
        <v>25</v>
      </c>
      <c r="M330" s="12">
        <v>3718.5</v>
      </c>
      <c r="N330" s="12">
        <v>1306.5</v>
      </c>
      <c r="O330" s="10">
        <v>26</v>
      </c>
      <c r="P330" s="10" t="s">
        <v>26</v>
      </c>
      <c r="Q330" s="10">
        <v>12</v>
      </c>
      <c r="R330" s="10" t="s">
        <v>27</v>
      </c>
      <c r="S330" s="14" t="str">
        <f t="shared" si="5"/>
        <v>Week 2</v>
      </c>
    </row>
    <row r="331" spans="1:19" x14ac:dyDescent="0.3">
      <c r="A331" s="15" t="s">
        <v>608</v>
      </c>
      <c r="B331" s="16">
        <v>43078</v>
      </c>
      <c r="C331" s="17" t="s">
        <v>374</v>
      </c>
      <c r="D331" s="17" t="s">
        <v>43</v>
      </c>
      <c r="E331" s="17" t="s">
        <v>62</v>
      </c>
      <c r="F331" s="18">
        <v>6</v>
      </c>
      <c r="G331" s="19">
        <v>234.5</v>
      </c>
      <c r="H331" s="19">
        <v>1407</v>
      </c>
      <c r="I331" s="20">
        <v>194.63499999999999</v>
      </c>
      <c r="J331" s="17" t="s">
        <v>32</v>
      </c>
      <c r="K331" s="17" t="s">
        <v>33</v>
      </c>
      <c r="L331" s="17" t="s">
        <v>34</v>
      </c>
      <c r="M331" s="19">
        <v>1167.81</v>
      </c>
      <c r="N331" s="19">
        <v>239.19</v>
      </c>
      <c r="O331" s="17">
        <v>17</v>
      </c>
      <c r="P331" s="17" t="s">
        <v>26</v>
      </c>
      <c r="Q331" s="17">
        <v>12</v>
      </c>
      <c r="R331" s="17" t="s">
        <v>27</v>
      </c>
      <c r="S331" s="14" t="str">
        <f t="shared" si="5"/>
        <v>Week 2</v>
      </c>
    </row>
    <row r="332" spans="1:19" x14ac:dyDescent="0.3">
      <c r="A332" s="8" t="s">
        <v>609</v>
      </c>
      <c r="B332" s="9">
        <v>43078</v>
      </c>
      <c r="C332" s="10" t="s">
        <v>148</v>
      </c>
      <c r="D332" s="10" t="s">
        <v>21</v>
      </c>
      <c r="E332" s="10" t="s">
        <v>22</v>
      </c>
      <c r="F332" s="11">
        <v>11</v>
      </c>
      <c r="G332" s="12">
        <v>1098.8</v>
      </c>
      <c r="H332" s="12">
        <v>12086.8</v>
      </c>
      <c r="I332" s="13">
        <v>813.11199999999997</v>
      </c>
      <c r="J332" s="10" t="s">
        <v>163</v>
      </c>
      <c r="K332" s="10" t="s">
        <v>164</v>
      </c>
      <c r="L332" s="10" t="s">
        <v>40</v>
      </c>
      <c r="M332" s="12">
        <v>8944.232</v>
      </c>
      <c r="N332" s="12">
        <v>3142.5679999999902</v>
      </c>
      <c r="O332" s="10">
        <v>25.999999999999901</v>
      </c>
      <c r="P332" s="10" t="s">
        <v>26</v>
      </c>
      <c r="Q332" s="10">
        <v>12</v>
      </c>
      <c r="R332" s="10" t="s">
        <v>27</v>
      </c>
      <c r="S332" s="14" t="str">
        <f t="shared" si="5"/>
        <v>Week 2</v>
      </c>
    </row>
    <row r="333" spans="1:19" x14ac:dyDescent="0.3">
      <c r="A333" s="15" t="s">
        <v>610</v>
      </c>
      <c r="B333" s="16">
        <v>43078</v>
      </c>
      <c r="C333" s="17" t="s">
        <v>371</v>
      </c>
      <c r="D333" s="17" t="s">
        <v>30</v>
      </c>
      <c r="E333" s="17" t="s">
        <v>167</v>
      </c>
      <c r="F333" s="18">
        <v>10</v>
      </c>
      <c r="G333" s="19">
        <v>3959.7</v>
      </c>
      <c r="H333" s="19">
        <v>39597</v>
      </c>
      <c r="I333" s="20">
        <v>1940.2529999999999</v>
      </c>
      <c r="J333" s="17" t="s">
        <v>45</v>
      </c>
      <c r="K333" s="17" t="s">
        <v>46</v>
      </c>
      <c r="L333" s="17" t="s">
        <v>34</v>
      </c>
      <c r="M333" s="19">
        <v>19402.53</v>
      </c>
      <c r="N333" s="19">
        <v>20194.469999999899</v>
      </c>
      <c r="O333" s="17">
        <v>50.999999999999901</v>
      </c>
      <c r="P333" s="17" t="s">
        <v>26</v>
      </c>
      <c r="Q333" s="17">
        <v>12</v>
      </c>
      <c r="R333" s="17" t="s">
        <v>27</v>
      </c>
      <c r="S333" s="14" t="str">
        <f t="shared" si="5"/>
        <v>Week 2</v>
      </c>
    </row>
    <row r="334" spans="1:19" x14ac:dyDescent="0.3">
      <c r="A334" s="8" t="s">
        <v>611</v>
      </c>
      <c r="B334" s="9">
        <v>43078</v>
      </c>
      <c r="C334" s="10" t="s">
        <v>282</v>
      </c>
      <c r="D334" s="10" t="s">
        <v>21</v>
      </c>
      <c r="E334" s="10" t="s">
        <v>265</v>
      </c>
      <c r="F334" s="11">
        <v>12</v>
      </c>
      <c r="G334" s="12">
        <v>1159.0999999999999</v>
      </c>
      <c r="H334" s="12">
        <v>13909.199999999999</v>
      </c>
      <c r="I334" s="13">
        <v>579.54999999999995</v>
      </c>
      <c r="J334" s="10" t="s">
        <v>536</v>
      </c>
      <c r="K334" s="10" t="s">
        <v>537</v>
      </c>
      <c r="L334" s="10" t="s">
        <v>25</v>
      </c>
      <c r="M334" s="12">
        <v>6954.6</v>
      </c>
      <c r="N334" s="12">
        <v>6954.6</v>
      </c>
      <c r="O334" s="10">
        <v>50</v>
      </c>
      <c r="P334" s="10" t="s">
        <v>26</v>
      </c>
      <c r="Q334" s="10">
        <v>12</v>
      </c>
      <c r="R334" s="10" t="s">
        <v>27</v>
      </c>
      <c r="S334" s="14" t="str">
        <f t="shared" si="5"/>
        <v>Week 2</v>
      </c>
    </row>
    <row r="335" spans="1:19" x14ac:dyDescent="0.3">
      <c r="A335" s="15" t="s">
        <v>612</v>
      </c>
      <c r="B335" s="16">
        <v>43078</v>
      </c>
      <c r="C335" s="17" t="s">
        <v>578</v>
      </c>
      <c r="D335" s="17" t="s">
        <v>43</v>
      </c>
      <c r="E335" s="17" t="s">
        <v>306</v>
      </c>
      <c r="F335" s="18">
        <v>6</v>
      </c>
      <c r="G335" s="19">
        <v>1172.5</v>
      </c>
      <c r="H335" s="19">
        <v>7035</v>
      </c>
      <c r="I335" s="20">
        <v>656.6</v>
      </c>
      <c r="J335" s="17" t="s">
        <v>23</v>
      </c>
      <c r="K335" s="17" t="s">
        <v>24</v>
      </c>
      <c r="L335" s="17" t="s">
        <v>25</v>
      </c>
      <c r="M335" s="19">
        <v>3939.6</v>
      </c>
      <c r="N335" s="19">
        <v>3095.3999999999901</v>
      </c>
      <c r="O335" s="17">
        <v>43.999999999999901</v>
      </c>
      <c r="P335" s="17" t="s">
        <v>26</v>
      </c>
      <c r="Q335" s="17">
        <v>12</v>
      </c>
      <c r="R335" s="17" t="s">
        <v>27</v>
      </c>
      <c r="S335" s="14" t="str">
        <f t="shared" si="5"/>
        <v>Week 2</v>
      </c>
    </row>
    <row r="336" spans="1:19" x14ac:dyDescent="0.3">
      <c r="A336" s="8" t="s">
        <v>613</v>
      </c>
      <c r="B336" s="9">
        <v>43078</v>
      </c>
      <c r="C336" s="10" t="s">
        <v>461</v>
      </c>
      <c r="D336" s="10" t="s">
        <v>30</v>
      </c>
      <c r="E336" s="10" t="s">
        <v>91</v>
      </c>
      <c r="F336" s="11">
        <v>11</v>
      </c>
      <c r="G336" s="12">
        <v>194.3</v>
      </c>
      <c r="H336" s="12">
        <v>2137.3000000000002</v>
      </c>
      <c r="I336" s="13">
        <v>163.21199999999999</v>
      </c>
      <c r="J336" s="10" t="s">
        <v>614</v>
      </c>
      <c r="K336" s="10" t="s">
        <v>615</v>
      </c>
      <c r="L336" s="10" t="s">
        <v>34</v>
      </c>
      <c r="M336" s="12">
        <v>1795.3320000000001</v>
      </c>
      <c r="N336" s="12">
        <v>341.96800000000002</v>
      </c>
      <c r="O336" s="10">
        <v>16</v>
      </c>
      <c r="P336" s="10" t="s">
        <v>26</v>
      </c>
      <c r="Q336" s="10">
        <v>12</v>
      </c>
      <c r="R336" s="10" t="s">
        <v>27</v>
      </c>
      <c r="S336" s="14" t="str">
        <f t="shared" si="5"/>
        <v>Week 2</v>
      </c>
    </row>
    <row r="337" spans="1:19" x14ac:dyDescent="0.3">
      <c r="A337" s="15" t="s">
        <v>616</v>
      </c>
      <c r="B337" s="16">
        <v>43078</v>
      </c>
      <c r="C337" s="17" t="s">
        <v>166</v>
      </c>
      <c r="D337" s="17" t="s">
        <v>30</v>
      </c>
      <c r="E337" s="17" t="s">
        <v>37</v>
      </c>
      <c r="F337" s="18">
        <v>11</v>
      </c>
      <c r="G337" s="19">
        <v>6023.3</v>
      </c>
      <c r="H337" s="19">
        <v>66256.3</v>
      </c>
      <c r="I337" s="20">
        <v>3915.145</v>
      </c>
      <c r="J337" s="17" t="s">
        <v>94</v>
      </c>
      <c r="K337" s="17" t="s">
        <v>95</v>
      </c>
      <c r="L337" s="17" t="s">
        <v>40</v>
      </c>
      <c r="M337" s="19">
        <v>43066.595000000001</v>
      </c>
      <c r="N337" s="19">
        <v>23189.705000000002</v>
      </c>
      <c r="O337" s="17">
        <v>35</v>
      </c>
      <c r="P337" s="17" t="s">
        <v>26</v>
      </c>
      <c r="Q337" s="17">
        <v>12</v>
      </c>
      <c r="R337" s="17" t="s">
        <v>27</v>
      </c>
      <c r="S337" s="14" t="str">
        <f t="shared" si="5"/>
        <v>Week 2</v>
      </c>
    </row>
    <row r="338" spans="1:19" x14ac:dyDescent="0.3">
      <c r="A338" s="8" t="s">
        <v>617</v>
      </c>
      <c r="B338" s="9">
        <v>43078</v>
      </c>
      <c r="C338" s="10" t="s">
        <v>618</v>
      </c>
      <c r="D338" s="10" t="s">
        <v>43</v>
      </c>
      <c r="E338" s="10" t="s">
        <v>146</v>
      </c>
      <c r="F338" s="11">
        <v>5</v>
      </c>
      <c r="G338" s="12">
        <v>3819</v>
      </c>
      <c r="H338" s="12">
        <v>19095</v>
      </c>
      <c r="I338" s="13">
        <v>2864.25</v>
      </c>
      <c r="J338" s="10" t="s">
        <v>54</v>
      </c>
      <c r="K338" s="10" t="s">
        <v>55</v>
      </c>
      <c r="L338" s="10" t="s">
        <v>56</v>
      </c>
      <c r="M338" s="12">
        <v>14321.25</v>
      </c>
      <c r="N338" s="12">
        <v>4773.75</v>
      </c>
      <c r="O338" s="10">
        <v>25</v>
      </c>
      <c r="P338" s="10" t="s">
        <v>26</v>
      </c>
      <c r="Q338" s="10">
        <v>12</v>
      </c>
      <c r="R338" s="10" t="s">
        <v>27</v>
      </c>
      <c r="S338" s="14" t="str">
        <f t="shared" si="5"/>
        <v>Week 2</v>
      </c>
    </row>
    <row r="339" spans="1:19" x14ac:dyDescent="0.3">
      <c r="A339" s="15" t="s">
        <v>619</v>
      </c>
      <c r="B339" s="16">
        <v>43078</v>
      </c>
      <c r="C339" s="17" t="s">
        <v>148</v>
      </c>
      <c r="D339" s="17" t="s">
        <v>21</v>
      </c>
      <c r="E339" s="17" t="s">
        <v>31</v>
      </c>
      <c r="F339" s="18">
        <v>10</v>
      </c>
      <c r="G339" s="19">
        <v>1072</v>
      </c>
      <c r="H339" s="19">
        <v>10720</v>
      </c>
      <c r="I339" s="20">
        <v>761.12</v>
      </c>
      <c r="J339" s="17" t="s">
        <v>222</v>
      </c>
      <c r="K339" s="17" t="s">
        <v>223</v>
      </c>
      <c r="L339" s="17" t="s">
        <v>25</v>
      </c>
      <c r="M339" s="19">
        <v>7611.2</v>
      </c>
      <c r="N339" s="19">
        <v>3108.8</v>
      </c>
      <c r="O339" s="17">
        <v>29</v>
      </c>
      <c r="P339" s="17" t="s">
        <v>26</v>
      </c>
      <c r="Q339" s="17">
        <v>12</v>
      </c>
      <c r="R339" s="17" t="s">
        <v>27</v>
      </c>
      <c r="S339" s="14" t="str">
        <f t="shared" si="5"/>
        <v>Week 2</v>
      </c>
    </row>
    <row r="340" spans="1:19" x14ac:dyDescent="0.3">
      <c r="A340" s="8" t="s">
        <v>620</v>
      </c>
      <c r="B340" s="9">
        <v>43078</v>
      </c>
      <c r="C340" s="10" t="s">
        <v>136</v>
      </c>
      <c r="D340" s="10" t="s">
        <v>30</v>
      </c>
      <c r="E340" s="10" t="s">
        <v>73</v>
      </c>
      <c r="F340" s="11">
        <v>9</v>
      </c>
      <c r="G340" s="12">
        <v>1031.8</v>
      </c>
      <c r="H340" s="12">
        <v>9286.1999999999989</v>
      </c>
      <c r="I340" s="13">
        <v>794.48599999999999</v>
      </c>
      <c r="J340" s="10" t="s">
        <v>76</v>
      </c>
      <c r="K340" s="10" t="s">
        <v>77</v>
      </c>
      <c r="L340" s="10" t="s">
        <v>56</v>
      </c>
      <c r="M340" s="12">
        <v>7150.3739999999998</v>
      </c>
      <c r="N340" s="12">
        <v>2135.82599999999</v>
      </c>
      <c r="O340" s="10">
        <v>22.999999999999901</v>
      </c>
      <c r="P340" s="10" t="s">
        <v>26</v>
      </c>
      <c r="Q340" s="10">
        <v>12</v>
      </c>
      <c r="R340" s="10" t="s">
        <v>27</v>
      </c>
      <c r="S340" s="14" t="str">
        <f t="shared" si="5"/>
        <v>Week 2</v>
      </c>
    </row>
    <row r="341" spans="1:19" x14ac:dyDescent="0.3">
      <c r="A341" s="15" t="s">
        <v>621</v>
      </c>
      <c r="B341" s="16">
        <v>43079</v>
      </c>
      <c r="C341" s="17" t="s">
        <v>158</v>
      </c>
      <c r="D341" s="17" t="s">
        <v>21</v>
      </c>
      <c r="E341" s="17" t="s">
        <v>252</v>
      </c>
      <c r="F341" s="18">
        <v>7</v>
      </c>
      <c r="G341" s="19">
        <v>3973.1</v>
      </c>
      <c r="H341" s="19">
        <v>27811.7</v>
      </c>
      <c r="I341" s="20">
        <v>1708.433</v>
      </c>
      <c r="J341" s="17" t="s">
        <v>32</v>
      </c>
      <c r="K341" s="17" t="s">
        <v>33</v>
      </c>
      <c r="L341" s="17" t="s">
        <v>34</v>
      </c>
      <c r="M341" s="19">
        <v>11959.030999999901</v>
      </c>
      <c r="N341" s="19">
        <v>15852.669</v>
      </c>
      <c r="O341" s="17">
        <v>57</v>
      </c>
      <c r="P341" s="17" t="s">
        <v>26</v>
      </c>
      <c r="Q341" s="17">
        <v>12</v>
      </c>
      <c r="R341" s="17" t="s">
        <v>27</v>
      </c>
      <c r="S341" s="14" t="str">
        <f t="shared" si="5"/>
        <v>Week 2</v>
      </c>
    </row>
    <row r="342" spans="1:19" x14ac:dyDescent="0.3">
      <c r="A342" s="8" t="s">
        <v>622</v>
      </c>
      <c r="B342" s="9">
        <v>43079</v>
      </c>
      <c r="C342" s="10" t="s">
        <v>435</v>
      </c>
      <c r="D342" s="10" t="s">
        <v>21</v>
      </c>
      <c r="E342" s="10" t="s">
        <v>44</v>
      </c>
      <c r="F342" s="11">
        <v>5</v>
      </c>
      <c r="G342" s="12">
        <v>268</v>
      </c>
      <c r="H342" s="12">
        <v>1340</v>
      </c>
      <c r="I342" s="13">
        <v>179.56</v>
      </c>
      <c r="J342" s="10" t="s">
        <v>411</v>
      </c>
      <c r="K342" s="10" t="s">
        <v>412</v>
      </c>
      <c r="L342" s="10" t="s">
        <v>56</v>
      </c>
      <c r="M342" s="12">
        <v>897.8</v>
      </c>
      <c r="N342" s="12">
        <v>442.2</v>
      </c>
      <c r="O342" s="10">
        <v>33</v>
      </c>
      <c r="P342" s="10" t="s">
        <v>26</v>
      </c>
      <c r="Q342" s="10">
        <v>12</v>
      </c>
      <c r="R342" s="10" t="s">
        <v>27</v>
      </c>
      <c r="S342" s="14" t="str">
        <f t="shared" si="5"/>
        <v>Week 2</v>
      </c>
    </row>
    <row r="343" spans="1:19" x14ac:dyDescent="0.3">
      <c r="A343" s="15" t="s">
        <v>623</v>
      </c>
      <c r="B343" s="16">
        <v>43079</v>
      </c>
      <c r="C343" s="17" t="s">
        <v>299</v>
      </c>
      <c r="D343" s="17" t="s">
        <v>43</v>
      </c>
      <c r="E343" s="17" t="s">
        <v>31</v>
      </c>
      <c r="F343" s="18">
        <v>7</v>
      </c>
      <c r="G343" s="19">
        <v>201</v>
      </c>
      <c r="H343" s="19">
        <v>1407</v>
      </c>
      <c r="I343" s="20">
        <v>98.49</v>
      </c>
      <c r="J343" s="17" t="s">
        <v>45</v>
      </c>
      <c r="K343" s="17" t="s">
        <v>46</v>
      </c>
      <c r="L343" s="17" t="s">
        <v>34</v>
      </c>
      <c r="M343" s="19">
        <v>689.43</v>
      </c>
      <c r="N343" s="19">
        <v>717.57</v>
      </c>
      <c r="O343" s="17">
        <v>51</v>
      </c>
      <c r="P343" s="17" t="s">
        <v>26</v>
      </c>
      <c r="Q343" s="17">
        <v>12</v>
      </c>
      <c r="R343" s="17" t="s">
        <v>27</v>
      </c>
      <c r="S343" s="14" t="str">
        <f t="shared" si="5"/>
        <v>Week 2</v>
      </c>
    </row>
    <row r="344" spans="1:19" x14ac:dyDescent="0.3">
      <c r="A344" s="8" t="s">
        <v>624</v>
      </c>
      <c r="B344" s="9">
        <v>43079</v>
      </c>
      <c r="C344" s="10" t="s">
        <v>199</v>
      </c>
      <c r="D344" s="10" t="s">
        <v>21</v>
      </c>
      <c r="E344" s="10" t="s">
        <v>191</v>
      </c>
      <c r="F344" s="11">
        <v>12</v>
      </c>
      <c r="G344" s="12">
        <v>3624.7</v>
      </c>
      <c r="H344" s="12">
        <v>43496.399999999994</v>
      </c>
      <c r="I344" s="13">
        <v>2646.0309999999999</v>
      </c>
      <c r="J344" s="10" t="s">
        <v>54</v>
      </c>
      <c r="K344" s="10" t="s">
        <v>55</v>
      </c>
      <c r="L344" s="10" t="s">
        <v>56</v>
      </c>
      <c r="M344" s="12">
        <v>31752.371999999999</v>
      </c>
      <c r="N344" s="12">
        <v>11744.028</v>
      </c>
      <c r="O344" s="10">
        <v>27</v>
      </c>
      <c r="P344" s="10" t="s">
        <v>26</v>
      </c>
      <c r="Q344" s="10">
        <v>12</v>
      </c>
      <c r="R344" s="10" t="s">
        <v>27</v>
      </c>
      <c r="S344" s="14" t="str">
        <f t="shared" si="5"/>
        <v>Week 2</v>
      </c>
    </row>
    <row r="345" spans="1:19" x14ac:dyDescent="0.3">
      <c r="A345" s="15" t="s">
        <v>625</v>
      </c>
      <c r="B345" s="16">
        <v>43079</v>
      </c>
      <c r="C345" s="17" t="s">
        <v>626</v>
      </c>
      <c r="D345" s="17" t="s">
        <v>21</v>
      </c>
      <c r="E345" s="17" t="s">
        <v>149</v>
      </c>
      <c r="F345" s="18">
        <v>8</v>
      </c>
      <c r="G345" s="19">
        <v>254.6</v>
      </c>
      <c r="H345" s="19">
        <v>2036.8</v>
      </c>
      <c r="I345" s="20">
        <v>142.57599999999999</v>
      </c>
      <c r="J345" s="17" t="s">
        <v>83</v>
      </c>
      <c r="K345" s="17" t="s">
        <v>84</v>
      </c>
      <c r="L345" s="17" t="s">
        <v>34</v>
      </c>
      <c r="M345" s="19">
        <v>1140.6079999999999</v>
      </c>
      <c r="N345" s="19">
        <v>896.19199999999898</v>
      </c>
      <c r="O345" s="17">
        <v>43.999999999999901</v>
      </c>
      <c r="P345" s="17" t="s">
        <v>26</v>
      </c>
      <c r="Q345" s="17">
        <v>12</v>
      </c>
      <c r="R345" s="17" t="s">
        <v>27</v>
      </c>
      <c r="S345" s="14" t="str">
        <f t="shared" si="5"/>
        <v>Week 2</v>
      </c>
    </row>
    <row r="346" spans="1:19" x14ac:dyDescent="0.3">
      <c r="A346" s="8" t="s">
        <v>627</v>
      </c>
      <c r="B346" s="9">
        <v>43079</v>
      </c>
      <c r="C346" s="10" t="s">
        <v>75</v>
      </c>
      <c r="D346" s="10" t="s">
        <v>30</v>
      </c>
      <c r="E346" s="10" t="s">
        <v>230</v>
      </c>
      <c r="F346" s="11">
        <v>11</v>
      </c>
      <c r="G346" s="12">
        <v>1011.7</v>
      </c>
      <c r="H346" s="12">
        <v>11128.7</v>
      </c>
      <c r="I346" s="13">
        <v>789.12599999999998</v>
      </c>
      <c r="J346" s="10" t="s">
        <v>257</v>
      </c>
      <c r="K346" s="10" t="s">
        <v>258</v>
      </c>
      <c r="L346" s="10" t="s">
        <v>25</v>
      </c>
      <c r="M346" s="12">
        <v>8680.3860000000004</v>
      </c>
      <c r="N346" s="12">
        <v>2448.3139999999999</v>
      </c>
      <c r="O346" s="10">
        <v>22</v>
      </c>
      <c r="P346" s="10" t="s">
        <v>26</v>
      </c>
      <c r="Q346" s="10">
        <v>12</v>
      </c>
      <c r="R346" s="10" t="s">
        <v>27</v>
      </c>
      <c r="S346" s="14" t="str">
        <f t="shared" si="5"/>
        <v>Week 2</v>
      </c>
    </row>
    <row r="347" spans="1:19" x14ac:dyDescent="0.3">
      <c r="A347" s="15" t="s">
        <v>628</v>
      </c>
      <c r="B347" s="16">
        <v>43079</v>
      </c>
      <c r="C347" s="17" t="s">
        <v>474</v>
      </c>
      <c r="D347" s="17" t="s">
        <v>21</v>
      </c>
      <c r="E347" s="17" t="s">
        <v>31</v>
      </c>
      <c r="F347" s="18">
        <v>6</v>
      </c>
      <c r="G347" s="19">
        <v>2445.5</v>
      </c>
      <c r="H347" s="19">
        <v>14673</v>
      </c>
      <c r="I347" s="20">
        <v>1980.855</v>
      </c>
      <c r="J347" s="17" t="s">
        <v>257</v>
      </c>
      <c r="K347" s="17" t="s">
        <v>258</v>
      </c>
      <c r="L347" s="17" t="s">
        <v>25</v>
      </c>
      <c r="M347" s="19">
        <v>11885.13</v>
      </c>
      <c r="N347" s="19">
        <v>2787.8699999999899</v>
      </c>
      <c r="O347" s="17">
        <v>18.999999999999901</v>
      </c>
      <c r="P347" s="17" t="s">
        <v>26</v>
      </c>
      <c r="Q347" s="17">
        <v>12</v>
      </c>
      <c r="R347" s="17" t="s">
        <v>27</v>
      </c>
      <c r="S347" s="14" t="str">
        <f t="shared" si="5"/>
        <v>Week 2</v>
      </c>
    </row>
    <row r="348" spans="1:19" x14ac:dyDescent="0.3">
      <c r="A348" s="8" t="s">
        <v>629</v>
      </c>
      <c r="B348" s="9">
        <v>43079</v>
      </c>
      <c r="C348" s="10" t="s">
        <v>299</v>
      </c>
      <c r="D348" s="10" t="s">
        <v>21</v>
      </c>
      <c r="E348" s="10" t="s">
        <v>167</v>
      </c>
      <c r="F348" s="11">
        <v>5</v>
      </c>
      <c r="G348" s="12">
        <v>1762.1</v>
      </c>
      <c r="H348" s="12">
        <v>8810.5</v>
      </c>
      <c r="I348" s="13">
        <v>1444.922</v>
      </c>
      <c r="J348" s="10" t="s">
        <v>177</v>
      </c>
      <c r="K348" s="10" t="s">
        <v>178</v>
      </c>
      <c r="L348" s="10" t="s">
        <v>40</v>
      </c>
      <c r="M348" s="12">
        <v>7224.61</v>
      </c>
      <c r="N348" s="12">
        <v>1585.8899999999901</v>
      </c>
      <c r="O348" s="10">
        <v>17.999999999999901</v>
      </c>
      <c r="P348" s="10" t="s">
        <v>26</v>
      </c>
      <c r="Q348" s="10">
        <v>12</v>
      </c>
      <c r="R348" s="10" t="s">
        <v>27</v>
      </c>
      <c r="S348" s="14" t="str">
        <f t="shared" si="5"/>
        <v>Week 2</v>
      </c>
    </row>
    <row r="349" spans="1:19" x14ac:dyDescent="0.3">
      <c r="A349" s="15" t="s">
        <v>630</v>
      </c>
      <c r="B349" s="16">
        <v>43079</v>
      </c>
      <c r="C349" s="17" t="s">
        <v>221</v>
      </c>
      <c r="D349" s="17" t="s">
        <v>21</v>
      </c>
      <c r="E349" s="17" t="s">
        <v>197</v>
      </c>
      <c r="F349" s="18">
        <v>8</v>
      </c>
      <c r="G349" s="19">
        <v>1185.9000000000001</v>
      </c>
      <c r="H349" s="19">
        <v>9487.2000000000007</v>
      </c>
      <c r="I349" s="20">
        <v>948.72</v>
      </c>
      <c r="J349" s="17" t="s">
        <v>266</v>
      </c>
      <c r="K349" s="17" t="s">
        <v>267</v>
      </c>
      <c r="L349" s="17" t="s">
        <v>34</v>
      </c>
      <c r="M349" s="19">
        <v>7589.76</v>
      </c>
      <c r="N349" s="19">
        <v>1897.4399999999901</v>
      </c>
      <c r="O349" s="17">
        <v>19.999999999999901</v>
      </c>
      <c r="P349" s="17" t="s">
        <v>26</v>
      </c>
      <c r="Q349" s="17">
        <v>12</v>
      </c>
      <c r="R349" s="17" t="s">
        <v>27</v>
      </c>
      <c r="S349" s="14" t="str">
        <f t="shared" si="5"/>
        <v>Week 2</v>
      </c>
    </row>
    <row r="350" spans="1:19" x14ac:dyDescent="0.3">
      <c r="A350" s="8" t="s">
        <v>631</v>
      </c>
      <c r="B350" s="9">
        <v>43079</v>
      </c>
      <c r="C350" s="10" t="s">
        <v>632</v>
      </c>
      <c r="D350" s="10" t="s">
        <v>21</v>
      </c>
      <c r="E350" s="10" t="s">
        <v>62</v>
      </c>
      <c r="F350" s="11">
        <v>8</v>
      </c>
      <c r="G350" s="12">
        <v>1031.8</v>
      </c>
      <c r="H350" s="12">
        <v>8254.4</v>
      </c>
      <c r="I350" s="13">
        <v>825.44</v>
      </c>
      <c r="J350" s="10" t="s">
        <v>54</v>
      </c>
      <c r="K350" s="10" t="s">
        <v>55</v>
      </c>
      <c r="L350" s="10" t="s">
        <v>56</v>
      </c>
      <c r="M350" s="12">
        <v>6603.52</v>
      </c>
      <c r="N350" s="12">
        <v>1650.8799999999901</v>
      </c>
      <c r="O350" s="10">
        <v>19.999999999999901</v>
      </c>
      <c r="P350" s="10" t="s">
        <v>26</v>
      </c>
      <c r="Q350" s="10">
        <v>12</v>
      </c>
      <c r="R350" s="10" t="s">
        <v>27</v>
      </c>
      <c r="S350" s="14" t="str">
        <f t="shared" si="5"/>
        <v>Week 2</v>
      </c>
    </row>
    <row r="351" spans="1:19" x14ac:dyDescent="0.3">
      <c r="A351" s="15" t="s">
        <v>633</v>
      </c>
      <c r="B351" s="16">
        <v>43079</v>
      </c>
      <c r="C351" s="17" t="s">
        <v>148</v>
      </c>
      <c r="D351" s="17" t="s">
        <v>21</v>
      </c>
      <c r="E351" s="17" t="s">
        <v>326</v>
      </c>
      <c r="F351" s="18">
        <v>7</v>
      </c>
      <c r="G351" s="19">
        <v>837.5</v>
      </c>
      <c r="H351" s="19">
        <v>5862.5</v>
      </c>
      <c r="I351" s="20">
        <v>544.375</v>
      </c>
      <c r="J351" s="17" t="s">
        <v>23</v>
      </c>
      <c r="K351" s="17" t="s">
        <v>24</v>
      </c>
      <c r="L351" s="17" t="s">
        <v>25</v>
      </c>
      <c r="M351" s="19">
        <v>3810.625</v>
      </c>
      <c r="N351" s="19">
        <v>2051.875</v>
      </c>
      <c r="O351" s="17">
        <v>35</v>
      </c>
      <c r="P351" s="17" t="s">
        <v>26</v>
      </c>
      <c r="Q351" s="17">
        <v>12</v>
      </c>
      <c r="R351" s="17" t="s">
        <v>27</v>
      </c>
      <c r="S351" s="14" t="str">
        <f t="shared" si="5"/>
        <v>Week 2</v>
      </c>
    </row>
    <row r="352" spans="1:19" x14ac:dyDescent="0.3">
      <c r="A352" s="8" t="s">
        <v>634</v>
      </c>
      <c r="B352" s="9">
        <v>43079</v>
      </c>
      <c r="C352" s="10" t="s">
        <v>328</v>
      </c>
      <c r="D352" s="10" t="s">
        <v>21</v>
      </c>
      <c r="E352" s="10" t="s">
        <v>62</v>
      </c>
      <c r="F352" s="11">
        <v>10</v>
      </c>
      <c r="G352" s="12">
        <v>971.5</v>
      </c>
      <c r="H352" s="12">
        <v>9715</v>
      </c>
      <c r="I352" s="13">
        <v>437.17500000000001</v>
      </c>
      <c r="J352" s="10" t="s">
        <v>50</v>
      </c>
      <c r="K352" s="10" t="s">
        <v>51</v>
      </c>
      <c r="L352" s="10" t="s">
        <v>40</v>
      </c>
      <c r="M352" s="12">
        <v>4371.75</v>
      </c>
      <c r="N352" s="12">
        <v>5343.25</v>
      </c>
      <c r="O352" s="10">
        <v>55</v>
      </c>
      <c r="P352" s="10" t="s">
        <v>26</v>
      </c>
      <c r="Q352" s="10">
        <v>12</v>
      </c>
      <c r="R352" s="10" t="s">
        <v>27</v>
      </c>
      <c r="S352" s="14" t="str">
        <f t="shared" si="5"/>
        <v>Week 2</v>
      </c>
    </row>
    <row r="353" spans="1:19" x14ac:dyDescent="0.3">
      <c r="A353" s="15" t="s">
        <v>635</v>
      </c>
      <c r="B353" s="16">
        <v>43079</v>
      </c>
      <c r="C353" s="17" t="s">
        <v>241</v>
      </c>
      <c r="D353" s="17" t="s">
        <v>21</v>
      </c>
      <c r="E353" s="17" t="s">
        <v>103</v>
      </c>
      <c r="F353" s="18">
        <v>7</v>
      </c>
      <c r="G353" s="19">
        <v>1246.2</v>
      </c>
      <c r="H353" s="19">
        <v>8723.4</v>
      </c>
      <c r="I353" s="20">
        <v>573.25199999999995</v>
      </c>
      <c r="J353" s="17" t="s">
        <v>94</v>
      </c>
      <c r="K353" s="17" t="s">
        <v>95</v>
      </c>
      <c r="L353" s="17" t="s">
        <v>40</v>
      </c>
      <c r="M353" s="19">
        <v>4012.7640000000001</v>
      </c>
      <c r="N353" s="19">
        <v>4710.6359999999904</v>
      </c>
      <c r="O353" s="17">
        <v>53.999999999999901</v>
      </c>
      <c r="P353" s="17" t="s">
        <v>26</v>
      </c>
      <c r="Q353" s="17">
        <v>12</v>
      </c>
      <c r="R353" s="17" t="s">
        <v>27</v>
      </c>
      <c r="S353" s="14" t="str">
        <f t="shared" si="5"/>
        <v>Week 2</v>
      </c>
    </row>
    <row r="354" spans="1:19" x14ac:dyDescent="0.3">
      <c r="A354" s="8" t="s">
        <v>636</v>
      </c>
      <c r="B354" s="9">
        <v>43079</v>
      </c>
      <c r="C354" s="10" t="s">
        <v>124</v>
      </c>
      <c r="D354" s="10" t="s">
        <v>30</v>
      </c>
      <c r="E354" s="10" t="s">
        <v>127</v>
      </c>
      <c r="F354" s="11">
        <v>12</v>
      </c>
      <c r="G354" s="12">
        <v>1299.8</v>
      </c>
      <c r="H354" s="12">
        <v>15597.599999999999</v>
      </c>
      <c r="I354" s="13">
        <v>961.85199999999998</v>
      </c>
      <c r="J354" s="10" t="s">
        <v>637</v>
      </c>
      <c r="K354" s="10" t="s">
        <v>638</v>
      </c>
      <c r="L354" s="10" t="s">
        <v>40</v>
      </c>
      <c r="M354" s="12">
        <v>11542.224</v>
      </c>
      <c r="N354" s="12">
        <v>4055.3759999999902</v>
      </c>
      <c r="O354" s="10">
        <v>25.999999999999901</v>
      </c>
      <c r="P354" s="10" t="s">
        <v>26</v>
      </c>
      <c r="Q354" s="10">
        <v>12</v>
      </c>
      <c r="R354" s="10" t="s">
        <v>27</v>
      </c>
      <c r="S354" s="14" t="str">
        <f t="shared" si="5"/>
        <v>Week 2</v>
      </c>
    </row>
    <row r="355" spans="1:19" x14ac:dyDescent="0.3">
      <c r="A355" s="15" t="s">
        <v>639</v>
      </c>
      <c r="B355" s="16">
        <v>43079</v>
      </c>
      <c r="C355" s="17" t="s">
        <v>640</v>
      </c>
      <c r="D355" s="17" t="s">
        <v>30</v>
      </c>
      <c r="E355" s="17" t="s">
        <v>31</v>
      </c>
      <c r="F355" s="18">
        <v>6</v>
      </c>
      <c r="G355" s="19">
        <v>1165.8</v>
      </c>
      <c r="H355" s="19">
        <v>6994.7999999999993</v>
      </c>
      <c r="I355" s="20">
        <v>617.87400000000002</v>
      </c>
      <c r="J355" s="17" t="s">
        <v>23</v>
      </c>
      <c r="K355" s="17" t="s">
        <v>24</v>
      </c>
      <c r="L355" s="17" t="s">
        <v>25</v>
      </c>
      <c r="M355" s="19">
        <v>3707.2440000000001</v>
      </c>
      <c r="N355" s="19">
        <v>3287.55599999999</v>
      </c>
      <c r="O355" s="17">
        <v>46.999999999999901</v>
      </c>
      <c r="P355" s="17" t="s">
        <v>26</v>
      </c>
      <c r="Q355" s="17">
        <v>12</v>
      </c>
      <c r="R355" s="17" t="s">
        <v>27</v>
      </c>
      <c r="S355" s="14" t="str">
        <f t="shared" si="5"/>
        <v>Week 2</v>
      </c>
    </row>
    <row r="356" spans="1:19" x14ac:dyDescent="0.3">
      <c r="A356" s="8" t="s">
        <v>641</v>
      </c>
      <c r="B356" s="9">
        <v>43079</v>
      </c>
      <c r="C356" s="10" t="s">
        <v>277</v>
      </c>
      <c r="D356" s="10" t="s">
        <v>21</v>
      </c>
      <c r="E356" s="10" t="s">
        <v>22</v>
      </c>
      <c r="F356" s="11">
        <v>8</v>
      </c>
      <c r="G356" s="12">
        <v>5152.3</v>
      </c>
      <c r="H356" s="12">
        <v>41218.400000000001</v>
      </c>
      <c r="I356" s="13">
        <v>2576.15</v>
      </c>
      <c r="J356" s="10" t="s">
        <v>50</v>
      </c>
      <c r="K356" s="10" t="s">
        <v>51</v>
      </c>
      <c r="L356" s="10" t="s">
        <v>40</v>
      </c>
      <c r="M356" s="12">
        <v>20609.2</v>
      </c>
      <c r="N356" s="12">
        <v>20609.2</v>
      </c>
      <c r="O356" s="10">
        <v>50</v>
      </c>
      <c r="P356" s="10" t="s">
        <v>26</v>
      </c>
      <c r="Q356" s="10">
        <v>12</v>
      </c>
      <c r="R356" s="10" t="s">
        <v>27</v>
      </c>
      <c r="S356" s="14" t="str">
        <f t="shared" si="5"/>
        <v>Week 2</v>
      </c>
    </row>
    <row r="357" spans="1:19" x14ac:dyDescent="0.3">
      <c r="A357" s="15" t="s">
        <v>642</v>
      </c>
      <c r="B357" s="16">
        <v>43079</v>
      </c>
      <c r="C357" s="17" t="s">
        <v>643</v>
      </c>
      <c r="D357" s="17" t="s">
        <v>30</v>
      </c>
      <c r="E357" s="17" t="s">
        <v>191</v>
      </c>
      <c r="F357" s="18">
        <v>6</v>
      </c>
      <c r="G357" s="19">
        <v>1902.8</v>
      </c>
      <c r="H357" s="19">
        <v>11416.8</v>
      </c>
      <c r="I357" s="20">
        <v>1255.848</v>
      </c>
      <c r="J357" s="17" t="s">
        <v>23</v>
      </c>
      <c r="K357" s="17" t="s">
        <v>24</v>
      </c>
      <c r="L357" s="17" t="s">
        <v>25</v>
      </c>
      <c r="M357" s="19">
        <v>7535.0879999999997</v>
      </c>
      <c r="N357" s="19">
        <v>3881.71199999999</v>
      </c>
      <c r="O357" s="17">
        <v>34</v>
      </c>
      <c r="P357" s="17" t="s">
        <v>26</v>
      </c>
      <c r="Q357" s="17">
        <v>12</v>
      </c>
      <c r="R357" s="17" t="s">
        <v>27</v>
      </c>
      <c r="S357" s="14" t="str">
        <f t="shared" si="5"/>
        <v>Week 2</v>
      </c>
    </row>
    <row r="358" spans="1:19" x14ac:dyDescent="0.3">
      <c r="A358" s="8" t="s">
        <v>644</v>
      </c>
      <c r="B358" s="9">
        <v>43079</v>
      </c>
      <c r="C358" s="10" t="s">
        <v>209</v>
      </c>
      <c r="D358" s="10" t="s">
        <v>21</v>
      </c>
      <c r="E358" s="10" t="s">
        <v>120</v>
      </c>
      <c r="F358" s="11">
        <v>8</v>
      </c>
      <c r="G358" s="12">
        <v>871</v>
      </c>
      <c r="H358" s="12">
        <v>6968</v>
      </c>
      <c r="I358" s="13">
        <v>574.86</v>
      </c>
      <c r="J358" s="10" t="s">
        <v>50</v>
      </c>
      <c r="K358" s="10" t="s">
        <v>51</v>
      </c>
      <c r="L358" s="10" t="s">
        <v>40</v>
      </c>
      <c r="M358" s="12">
        <v>4598.88</v>
      </c>
      <c r="N358" s="12">
        <v>2369.12</v>
      </c>
      <c r="O358" s="10">
        <v>34</v>
      </c>
      <c r="P358" s="10" t="s">
        <v>26</v>
      </c>
      <c r="Q358" s="10">
        <v>12</v>
      </c>
      <c r="R358" s="10" t="s">
        <v>27</v>
      </c>
      <c r="S358" s="14" t="str">
        <f t="shared" si="5"/>
        <v>Week 2</v>
      </c>
    </row>
    <row r="359" spans="1:19" x14ac:dyDescent="0.3">
      <c r="A359" s="15" t="s">
        <v>645</v>
      </c>
      <c r="B359" s="16">
        <v>43079</v>
      </c>
      <c r="C359" s="17" t="s">
        <v>646</v>
      </c>
      <c r="D359" s="17" t="s">
        <v>21</v>
      </c>
      <c r="E359" s="17" t="s">
        <v>37</v>
      </c>
      <c r="F359" s="18">
        <v>9</v>
      </c>
      <c r="G359" s="19">
        <v>6123.8</v>
      </c>
      <c r="H359" s="19">
        <v>55114.200000000004</v>
      </c>
      <c r="I359" s="20">
        <v>3306.8519999999999</v>
      </c>
      <c r="J359" s="17" t="s">
        <v>54</v>
      </c>
      <c r="K359" s="17" t="s">
        <v>55</v>
      </c>
      <c r="L359" s="17" t="s">
        <v>56</v>
      </c>
      <c r="M359" s="19">
        <v>29761.668000000001</v>
      </c>
      <c r="N359" s="19">
        <v>25352.531999999999</v>
      </c>
      <c r="O359" s="17">
        <v>46</v>
      </c>
      <c r="P359" s="17" t="s">
        <v>26</v>
      </c>
      <c r="Q359" s="17">
        <v>12</v>
      </c>
      <c r="R359" s="17" t="s">
        <v>27</v>
      </c>
      <c r="S359" s="14" t="str">
        <f t="shared" si="5"/>
        <v>Week 2</v>
      </c>
    </row>
    <row r="360" spans="1:19" x14ac:dyDescent="0.3">
      <c r="A360" s="8" t="s">
        <v>647</v>
      </c>
      <c r="B360" s="9">
        <v>43079</v>
      </c>
      <c r="C360" s="10" t="s">
        <v>428</v>
      </c>
      <c r="D360" s="10" t="s">
        <v>43</v>
      </c>
      <c r="E360" s="10" t="s">
        <v>80</v>
      </c>
      <c r="F360" s="11">
        <v>7</v>
      </c>
      <c r="G360" s="12">
        <v>180.9</v>
      </c>
      <c r="H360" s="12">
        <v>1266.3</v>
      </c>
      <c r="I360" s="13">
        <v>141.102</v>
      </c>
      <c r="J360" s="10" t="s">
        <v>87</v>
      </c>
      <c r="K360" s="10" t="s">
        <v>88</v>
      </c>
      <c r="L360" s="10" t="s">
        <v>56</v>
      </c>
      <c r="M360" s="12">
        <v>987.71400000000006</v>
      </c>
      <c r="N360" s="12">
        <v>278.58599999999899</v>
      </c>
      <c r="O360" s="10">
        <v>21.999999999999901</v>
      </c>
      <c r="P360" s="10" t="s">
        <v>26</v>
      </c>
      <c r="Q360" s="10">
        <v>12</v>
      </c>
      <c r="R360" s="10" t="s">
        <v>27</v>
      </c>
      <c r="S360" s="14" t="str">
        <f t="shared" si="5"/>
        <v>Week 2</v>
      </c>
    </row>
    <row r="361" spans="1:19" x14ac:dyDescent="0.3">
      <c r="A361" s="15" t="s">
        <v>648</v>
      </c>
      <c r="B361" s="16">
        <v>43079</v>
      </c>
      <c r="C361" s="17" t="s">
        <v>129</v>
      </c>
      <c r="D361" s="17" t="s">
        <v>21</v>
      </c>
      <c r="E361" s="17" t="s">
        <v>115</v>
      </c>
      <c r="F361" s="18">
        <v>9</v>
      </c>
      <c r="G361" s="19">
        <v>951.4</v>
      </c>
      <c r="H361" s="19">
        <v>8562.6</v>
      </c>
      <c r="I361" s="20">
        <v>428.13</v>
      </c>
      <c r="J361" s="17" t="s">
        <v>45</v>
      </c>
      <c r="K361" s="17" t="s">
        <v>46</v>
      </c>
      <c r="L361" s="17" t="s">
        <v>34</v>
      </c>
      <c r="M361" s="19">
        <v>3853.17</v>
      </c>
      <c r="N361" s="19">
        <v>4709.43</v>
      </c>
      <c r="O361" s="17">
        <v>55</v>
      </c>
      <c r="P361" s="17" t="s">
        <v>26</v>
      </c>
      <c r="Q361" s="17">
        <v>12</v>
      </c>
      <c r="R361" s="17" t="s">
        <v>27</v>
      </c>
      <c r="S361" s="14" t="str">
        <f t="shared" si="5"/>
        <v>Week 2</v>
      </c>
    </row>
    <row r="362" spans="1:19" x14ac:dyDescent="0.3">
      <c r="A362" s="8" t="s">
        <v>649</v>
      </c>
      <c r="B362" s="9">
        <v>43079</v>
      </c>
      <c r="C362" s="10" t="s">
        <v>247</v>
      </c>
      <c r="D362" s="10" t="s">
        <v>21</v>
      </c>
      <c r="E362" s="10" t="s">
        <v>306</v>
      </c>
      <c r="F362" s="11">
        <v>10</v>
      </c>
      <c r="G362" s="12">
        <v>2532.6</v>
      </c>
      <c r="H362" s="12">
        <v>25326</v>
      </c>
      <c r="I362" s="13">
        <v>1696.8420000000001</v>
      </c>
      <c r="J362" s="10" t="s">
        <v>54</v>
      </c>
      <c r="K362" s="10" t="s">
        <v>55</v>
      </c>
      <c r="L362" s="10" t="s">
        <v>56</v>
      </c>
      <c r="M362" s="12">
        <v>16968.419999999998</v>
      </c>
      <c r="N362" s="12">
        <v>8357.5799999999908</v>
      </c>
      <c r="O362" s="10">
        <v>32.999999999999901</v>
      </c>
      <c r="P362" s="10" t="s">
        <v>26</v>
      </c>
      <c r="Q362" s="10">
        <v>12</v>
      </c>
      <c r="R362" s="10" t="s">
        <v>27</v>
      </c>
      <c r="S362" s="14" t="str">
        <f t="shared" si="5"/>
        <v>Week 2</v>
      </c>
    </row>
    <row r="363" spans="1:19" x14ac:dyDescent="0.3">
      <c r="A363" s="15" t="s">
        <v>650</v>
      </c>
      <c r="B363" s="16">
        <v>43079</v>
      </c>
      <c r="C363" s="17" t="s">
        <v>643</v>
      </c>
      <c r="D363" s="17" t="s">
        <v>30</v>
      </c>
      <c r="E363" s="17" t="s">
        <v>191</v>
      </c>
      <c r="F363" s="18">
        <v>6</v>
      </c>
      <c r="G363" s="19">
        <v>1072</v>
      </c>
      <c r="H363" s="19">
        <v>6432</v>
      </c>
      <c r="I363" s="20">
        <v>621.76</v>
      </c>
      <c r="J363" s="17" t="s">
        <v>76</v>
      </c>
      <c r="K363" s="17" t="s">
        <v>77</v>
      </c>
      <c r="L363" s="17" t="s">
        <v>56</v>
      </c>
      <c r="M363" s="19">
        <v>3730.56</v>
      </c>
      <c r="N363" s="19">
        <v>2701.44</v>
      </c>
      <c r="O363" s="17">
        <v>42</v>
      </c>
      <c r="P363" s="17" t="s">
        <v>26</v>
      </c>
      <c r="Q363" s="17">
        <v>12</v>
      </c>
      <c r="R363" s="17" t="s">
        <v>27</v>
      </c>
      <c r="S363" s="14" t="str">
        <f t="shared" si="5"/>
        <v>Week 2</v>
      </c>
    </row>
    <row r="364" spans="1:19" x14ac:dyDescent="0.3">
      <c r="A364" s="8" t="s">
        <v>651</v>
      </c>
      <c r="B364" s="9">
        <v>43079</v>
      </c>
      <c r="C364" s="10" t="s">
        <v>241</v>
      </c>
      <c r="D364" s="10" t="s">
        <v>30</v>
      </c>
      <c r="E364" s="10" t="s">
        <v>49</v>
      </c>
      <c r="F364" s="11">
        <v>9</v>
      </c>
      <c r="G364" s="12">
        <v>2887.7</v>
      </c>
      <c r="H364" s="12">
        <v>25989.3</v>
      </c>
      <c r="I364" s="13">
        <v>1212.8340000000001</v>
      </c>
      <c r="J364" s="10" t="s">
        <v>76</v>
      </c>
      <c r="K364" s="10" t="s">
        <v>77</v>
      </c>
      <c r="L364" s="10" t="s">
        <v>56</v>
      </c>
      <c r="M364" s="12">
        <v>10915.505999999999</v>
      </c>
      <c r="N364" s="12">
        <v>15073.794</v>
      </c>
      <c r="O364" s="10">
        <v>57.999999999999901</v>
      </c>
      <c r="P364" s="10" t="s">
        <v>26</v>
      </c>
      <c r="Q364" s="10">
        <v>12</v>
      </c>
      <c r="R364" s="10" t="s">
        <v>27</v>
      </c>
      <c r="S364" s="14" t="str">
        <f t="shared" si="5"/>
        <v>Week 2</v>
      </c>
    </row>
    <row r="365" spans="1:19" x14ac:dyDescent="0.3">
      <c r="A365" s="15" t="s">
        <v>652</v>
      </c>
      <c r="B365" s="16">
        <v>43079</v>
      </c>
      <c r="C365" s="17" t="s">
        <v>358</v>
      </c>
      <c r="D365" s="17" t="s">
        <v>30</v>
      </c>
      <c r="E365" s="17" t="s">
        <v>265</v>
      </c>
      <c r="F365" s="18">
        <v>5</v>
      </c>
      <c r="G365" s="19">
        <v>5514.1</v>
      </c>
      <c r="H365" s="19">
        <v>27570.5</v>
      </c>
      <c r="I365" s="20">
        <v>4025.2930000000001</v>
      </c>
      <c r="J365" s="17" t="s">
        <v>45</v>
      </c>
      <c r="K365" s="17" t="s">
        <v>46</v>
      </c>
      <c r="L365" s="17" t="s">
        <v>34</v>
      </c>
      <c r="M365" s="19">
        <v>20126.465</v>
      </c>
      <c r="N365" s="19">
        <v>7444.0349999999999</v>
      </c>
      <c r="O365" s="17">
        <v>27</v>
      </c>
      <c r="P365" s="17" t="s">
        <v>26</v>
      </c>
      <c r="Q365" s="17">
        <v>12</v>
      </c>
      <c r="R365" s="17" t="s">
        <v>27</v>
      </c>
      <c r="S365" s="14" t="str">
        <f t="shared" si="5"/>
        <v>Week 2</v>
      </c>
    </row>
    <row r="366" spans="1:19" x14ac:dyDescent="0.3">
      <c r="A366" s="8" t="s">
        <v>653</v>
      </c>
      <c r="B366" s="9">
        <v>43079</v>
      </c>
      <c r="C366" s="10" t="s">
        <v>114</v>
      </c>
      <c r="D366" s="10" t="s">
        <v>21</v>
      </c>
      <c r="E366" s="10" t="s">
        <v>127</v>
      </c>
      <c r="F366" s="11">
        <v>11</v>
      </c>
      <c r="G366" s="12">
        <v>3912.8</v>
      </c>
      <c r="H366" s="12">
        <v>43040.800000000003</v>
      </c>
      <c r="I366" s="13">
        <v>3091.1120000000001</v>
      </c>
      <c r="J366" s="10" t="s">
        <v>536</v>
      </c>
      <c r="K366" s="10" t="s">
        <v>537</v>
      </c>
      <c r="L366" s="10" t="s">
        <v>25</v>
      </c>
      <c r="M366" s="12">
        <v>34002.232000000004</v>
      </c>
      <c r="N366" s="12">
        <v>9038.5679999999993</v>
      </c>
      <c r="O366" s="10">
        <v>20.999999999999901</v>
      </c>
      <c r="P366" s="10" t="s">
        <v>26</v>
      </c>
      <c r="Q366" s="10">
        <v>12</v>
      </c>
      <c r="R366" s="10" t="s">
        <v>27</v>
      </c>
      <c r="S366" s="14" t="str">
        <f t="shared" si="5"/>
        <v>Week 2</v>
      </c>
    </row>
    <row r="367" spans="1:19" x14ac:dyDescent="0.3">
      <c r="A367" s="15" t="s">
        <v>654</v>
      </c>
      <c r="B367" s="16">
        <v>43079</v>
      </c>
      <c r="C367" s="17" t="s">
        <v>254</v>
      </c>
      <c r="D367" s="17" t="s">
        <v>21</v>
      </c>
      <c r="E367" s="17" t="s">
        <v>127</v>
      </c>
      <c r="F367" s="18">
        <v>5</v>
      </c>
      <c r="G367" s="19">
        <v>241.2</v>
      </c>
      <c r="H367" s="19">
        <v>1206</v>
      </c>
      <c r="I367" s="20">
        <v>96.48</v>
      </c>
      <c r="J367" s="17" t="s">
        <v>386</v>
      </c>
      <c r="K367" s="17" t="s">
        <v>387</v>
      </c>
      <c r="L367" s="17" t="s">
        <v>56</v>
      </c>
      <c r="M367" s="19">
        <v>482.4</v>
      </c>
      <c r="N367" s="19">
        <v>723.599999999999</v>
      </c>
      <c r="O367" s="17">
        <v>60</v>
      </c>
      <c r="P367" s="17" t="s">
        <v>26</v>
      </c>
      <c r="Q367" s="17">
        <v>12</v>
      </c>
      <c r="R367" s="17" t="s">
        <v>27</v>
      </c>
      <c r="S367" s="14" t="str">
        <f t="shared" si="5"/>
        <v>Week 2</v>
      </c>
    </row>
    <row r="368" spans="1:19" x14ac:dyDescent="0.3">
      <c r="A368" s="8" t="s">
        <v>655</v>
      </c>
      <c r="B368" s="9">
        <v>43079</v>
      </c>
      <c r="C368" s="10" t="s">
        <v>279</v>
      </c>
      <c r="D368" s="10" t="s">
        <v>21</v>
      </c>
      <c r="E368" s="10" t="s">
        <v>37</v>
      </c>
      <c r="F368" s="11">
        <v>9</v>
      </c>
      <c r="G368" s="12">
        <v>1045.2</v>
      </c>
      <c r="H368" s="12">
        <v>9406.8000000000011</v>
      </c>
      <c r="I368" s="13">
        <v>888.42</v>
      </c>
      <c r="J368" s="10" t="s">
        <v>23</v>
      </c>
      <c r="K368" s="10" t="s">
        <v>24</v>
      </c>
      <c r="L368" s="10" t="s">
        <v>25</v>
      </c>
      <c r="M368" s="12">
        <v>7995.78</v>
      </c>
      <c r="N368" s="12">
        <v>1411.02</v>
      </c>
      <c r="O368" s="10">
        <v>15</v>
      </c>
      <c r="P368" s="10" t="s">
        <v>26</v>
      </c>
      <c r="Q368" s="10">
        <v>12</v>
      </c>
      <c r="R368" s="10" t="s">
        <v>27</v>
      </c>
      <c r="S368" s="14" t="str">
        <f t="shared" si="5"/>
        <v>Week 2</v>
      </c>
    </row>
    <row r="369" spans="1:19" x14ac:dyDescent="0.3">
      <c r="A369" s="15" t="s">
        <v>656</v>
      </c>
      <c r="B369" s="16">
        <v>43079</v>
      </c>
      <c r="C369" s="17" t="s">
        <v>174</v>
      </c>
      <c r="D369" s="17" t="s">
        <v>30</v>
      </c>
      <c r="E369" s="17" t="s">
        <v>120</v>
      </c>
      <c r="F369" s="18">
        <v>9</v>
      </c>
      <c r="G369" s="19">
        <v>3852.5</v>
      </c>
      <c r="H369" s="19">
        <v>34672.5</v>
      </c>
      <c r="I369" s="20">
        <v>2311.5</v>
      </c>
      <c r="J369" s="17" t="s">
        <v>54</v>
      </c>
      <c r="K369" s="17" t="s">
        <v>55</v>
      </c>
      <c r="L369" s="17" t="s">
        <v>56</v>
      </c>
      <c r="M369" s="19">
        <v>20803.5</v>
      </c>
      <c r="N369" s="19">
        <v>13869</v>
      </c>
      <c r="O369" s="17">
        <v>40</v>
      </c>
      <c r="P369" s="17" t="s">
        <v>26</v>
      </c>
      <c r="Q369" s="17">
        <v>12</v>
      </c>
      <c r="R369" s="17" t="s">
        <v>27</v>
      </c>
      <c r="S369" s="14" t="str">
        <f t="shared" si="5"/>
        <v>Week 2</v>
      </c>
    </row>
    <row r="370" spans="1:19" x14ac:dyDescent="0.3">
      <c r="A370" s="8" t="s">
        <v>657</v>
      </c>
      <c r="B370" s="9">
        <v>43079</v>
      </c>
      <c r="C370" s="10" t="s">
        <v>174</v>
      </c>
      <c r="D370" s="10" t="s">
        <v>21</v>
      </c>
      <c r="E370" s="10" t="s">
        <v>91</v>
      </c>
      <c r="F370" s="11">
        <v>8</v>
      </c>
      <c r="G370" s="12">
        <v>3886</v>
      </c>
      <c r="H370" s="12">
        <v>31088</v>
      </c>
      <c r="I370" s="13">
        <v>2215.02</v>
      </c>
      <c r="J370" s="10" t="s">
        <v>222</v>
      </c>
      <c r="K370" s="10" t="s">
        <v>223</v>
      </c>
      <c r="L370" s="10" t="s">
        <v>25</v>
      </c>
      <c r="M370" s="12">
        <v>17720.16</v>
      </c>
      <c r="N370" s="12">
        <v>13367.84</v>
      </c>
      <c r="O370" s="10">
        <v>43</v>
      </c>
      <c r="P370" s="10" t="s">
        <v>26</v>
      </c>
      <c r="Q370" s="10">
        <v>12</v>
      </c>
      <c r="R370" s="10" t="s">
        <v>27</v>
      </c>
      <c r="S370" s="14" t="str">
        <f t="shared" si="5"/>
        <v>Week 2</v>
      </c>
    </row>
    <row r="371" spans="1:19" x14ac:dyDescent="0.3">
      <c r="A371" s="15" t="s">
        <v>658</v>
      </c>
      <c r="B371" s="16">
        <v>43079</v>
      </c>
      <c r="C371" s="17" t="s">
        <v>142</v>
      </c>
      <c r="D371" s="17" t="s">
        <v>21</v>
      </c>
      <c r="E371" s="17" t="s">
        <v>44</v>
      </c>
      <c r="F371" s="18">
        <v>6</v>
      </c>
      <c r="G371" s="19">
        <v>2666.6</v>
      </c>
      <c r="H371" s="19">
        <v>15999.599999999999</v>
      </c>
      <c r="I371" s="20">
        <v>1546.6279999999999</v>
      </c>
      <c r="J371" s="17" t="s">
        <v>257</v>
      </c>
      <c r="K371" s="17" t="s">
        <v>258</v>
      </c>
      <c r="L371" s="17" t="s">
        <v>25</v>
      </c>
      <c r="M371" s="19">
        <v>9279.768</v>
      </c>
      <c r="N371" s="19">
        <v>6719.8319999999903</v>
      </c>
      <c r="O371" s="17">
        <v>41.999999999999901</v>
      </c>
      <c r="P371" s="17" t="s">
        <v>26</v>
      </c>
      <c r="Q371" s="17">
        <v>12</v>
      </c>
      <c r="R371" s="17" t="s">
        <v>27</v>
      </c>
      <c r="S371" s="14" t="str">
        <f t="shared" si="5"/>
        <v>Week 2</v>
      </c>
    </row>
    <row r="372" spans="1:19" x14ac:dyDescent="0.3">
      <c r="A372" s="8" t="s">
        <v>659</v>
      </c>
      <c r="B372" s="9">
        <v>43079</v>
      </c>
      <c r="C372" s="10" t="s">
        <v>389</v>
      </c>
      <c r="D372" s="10" t="s">
        <v>43</v>
      </c>
      <c r="E372" s="10" t="s">
        <v>37</v>
      </c>
      <c r="F372" s="11">
        <v>10</v>
      </c>
      <c r="G372" s="12">
        <v>1152.4000000000001</v>
      </c>
      <c r="H372" s="12">
        <v>11524</v>
      </c>
      <c r="I372" s="13">
        <v>507.05599999999998</v>
      </c>
      <c r="J372" s="10" t="s">
        <v>266</v>
      </c>
      <c r="K372" s="10" t="s">
        <v>267</v>
      </c>
      <c r="L372" s="10" t="s">
        <v>34</v>
      </c>
      <c r="M372" s="12">
        <v>5070.5600000000004</v>
      </c>
      <c r="N372" s="12">
        <v>6453.44</v>
      </c>
      <c r="O372" s="10">
        <v>55.999999999999901</v>
      </c>
      <c r="P372" s="10" t="s">
        <v>26</v>
      </c>
      <c r="Q372" s="10">
        <v>12</v>
      </c>
      <c r="R372" s="10" t="s">
        <v>27</v>
      </c>
      <c r="S372" s="14" t="str">
        <f t="shared" si="5"/>
        <v>Week 2</v>
      </c>
    </row>
    <row r="373" spans="1:19" x14ac:dyDescent="0.3">
      <c r="A373" s="15" t="s">
        <v>660</v>
      </c>
      <c r="B373" s="16">
        <v>43079</v>
      </c>
      <c r="C373" s="17" t="s">
        <v>288</v>
      </c>
      <c r="D373" s="17" t="s">
        <v>30</v>
      </c>
      <c r="E373" s="17" t="s">
        <v>31</v>
      </c>
      <c r="F373" s="18">
        <v>8</v>
      </c>
      <c r="G373" s="19">
        <v>1922.9</v>
      </c>
      <c r="H373" s="19">
        <v>15383.2</v>
      </c>
      <c r="I373" s="20">
        <v>999.90800000000002</v>
      </c>
      <c r="J373" s="17" t="s">
        <v>132</v>
      </c>
      <c r="K373" s="17" t="s">
        <v>133</v>
      </c>
      <c r="L373" s="17" t="s">
        <v>34</v>
      </c>
      <c r="M373" s="19">
        <v>7999.2640000000001</v>
      </c>
      <c r="N373" s="19">
        <v>7383.9359999999997</v>
      </c>
      <c r="O373" s="17">
        <v>48</v>
      </c>
      <c r="P373" s="17" t="s">
        <v>26</v>
      </c>
      <c r="Q373" s="17">
        <v>12</v>
      </c>
      <c r="R373" s="17" t="s">
        <v>27</v>
      </c>
      <c r="S373" s="14" t="str">
        <f t="shared" si="5"/>
        <v>Week 2</v>
      </c>
    </row>
    <row r="374" spans="1:19" x14ac:dyDescent="0.3">
      <c r="A374" s="8" t="s">
        <v>661</v>
      </c>
      <c r="B374" s="9">
        <v>43079</v>
      </c>
      <c r="C374" s="10" t="s">
        <v>136</v>
      </c>
      <c r="D374" s="10" t="s">
        <v>21</v>
      </c>
      <c r="E374" s="10" t="s">
        <v>103</v>
      </c>
      <c r="F374" s="11">
        <v>11</v>
      </c>
      <c r="G374" s="12">
        <v>1072</v>
      </c>
      <c r="H374" s="12">
        <v>11792</v>
      </c>
      <c r="I374" s="13">
        <v>493.12</v>
      </c>
      <c r="J374" s="10" t="s">
        <v>54</v>
      </c>
      <c r="K374" s="10" t="s">
        <v>55</v>
      </c>
      <c r="L374" s="10" t="s">
        <v>56</v>
      </c>
      <c r="M374" s="12">
        <v>5424.32</v>
      </c>
      <c r="N374" s="12">
        <v>6367.68</v>
      </c>
      <c r="O374" s="10">
        <v>54</v>
      </c>
      <c r="P374" s="10" t="s">
        <v>26</v>
      </c>
      <c r="Q374" s="10">
        <v>12</v>
      </c>
      <c r="R374" s="10" t="s">
        <v>27</v>
      </c>
      <c r="S374" s="14" t="str">
        <f t="shared" si="5"/>
        <v>Week 2</v>
      </c>
    </row>
    <row r="375" spans="1:19" x14ac:dyDescent="0.3">
      <c r="A375" s="15" t="s">
        <v>662</v>
      </c>
      <c r="B375" s="16">
        <v>43079</v>
      </c>
      <c r="C375" s="17" t="s">
        <v>470</v>
      </c>
      <c r="D375" s="17" t="s">
        <v>21</v>
      </c>
      <c r="E375" s="17" t="s">
        <v>418</v>
      </c>
      <c r="F375" s="18">
        <v>12</v>
      </c>
      <c r="G375" s="19">
        <v>2391.9</v>
      </c>
      <c r="H375" s="19">
        <v>28702.800000000003</v>
      </c>
      <c r="I375" s="20">
        <v>1387.3019999999999</v>
      </c>
      <c r="J375" s="17" t="s">
        <v>225</v>
      </c>
      <c r="K375" s="17" t="s">
        <v>226</v>
      </c>
      <c r="L375" s="17" t="s">
        <v>25</v>
      </c>
      <c r="M375" s="19">
        <v>16647.624</v>
      </c>
      <c r="N375" s="19">
        <v>12055.175999999999</v>
      </c>
      <c r="O375" s="17">
        <v>42</v>
      </c>
      <c r="P375" s="17" t="s">
        <v>26</v>
      </c>
      <c r="Q375" s="17">
        <v>12</v>
      </c>
      <c r="R375" s="17" t="s">
        <v>27</v>
      </c>
      <c r="S375" s="14" t="str">
        <f t="shared" si="5"/>
        <v>Week 2</v>
      </c>
    </row>
    <row r="376" spans="1:19" x14ac:dyDescent="0.3">
      <c r="A376" s="8" t="s">
        <v>663</v>
      </c>
      <c r="B376" s="9">
        <v>43079</v>
      </c>
      <c r="C376" s="10" t="s">
        <v>664</v>
      </c>
      <c r="D376" s="10" t="s">
        <v>21</v>
      </c>
      <c r="E376" s="10" t="s">
        <v>31</v>
      </c>
      <c r="F376" s="11">
        <v>8</v>
      </c>
      <c r="G376" s="12">
        <v>2010</v>
      </c>
      <c r="H376" s="12">
        <v>16080</v>
      </c>
      <c r="I376" s="13">
        <v>1386.8999999999901</v>
      </c>
      <c r="J376" s="10" t="s">
        <v>54</v>
      </c>
      <c r="K376" s="10" t="s">
        <v>55</v>
      </c>
      <c r="L376" s="10" t="s">
        <v>56</v>
      </c>
      <c r="M376" s="12">
        <v>11095.199999999901</v>
      </c>
      <c r="N376" s="12">
        <v>4984.8</v>
      </c>
      <c r="O376" s="10">
        <v>31</v>
      </c>
      <c r="P376" s="10" t="s">
        <v>26</v>
      </c>
      <c r="Q376" s="10">
        <v>12</v>
      </c>
      <c r="R376" s="10" t="s">
        <v>27</v>
      </c>
      <c r="S376" s="14" t="str">
        <f t="shared" si="5"/>
        <v>Week 2</v>
      </c>
    </row>
    <row r="377" spans="1:19" x14ac:dyDescent="0.3">
      <c r="A377" s="15" t="s">
        <v>665</v>
      </c>
      <c r="B377" s="16">
        <v>43079</v>
      </c>
      <c r="C377" s="17" t="s">
        <v>270</v>
      </c>
      <c r="D377" s="17" t="s">
        <v>30</v>
      </c>
      <c r="E377" s="17" t="s">
        <v>31</v>
      </c>
      <c r="F377" s="18">
        <v>7</v>
      </c>
      <c r="G377" s="19">
        <v>1018.4</v>
      </c>
      <c r="H377" s="19">
        <v>7128.8</v>
      </c>
      <c r="I377" s="20">
        <v>672.14400000000001</v>
      </c>
      <c r="J377" s="17" t="s">
        <v>69</v>
      </c>
      <c r="K377" s="17" t="s">
        <v>70</v>
      </c>
      <c r="L377" s="17" t="s">
        <v>25</v>
      </c>
      <c r="M377" s="19">
        <v>4705.0079999999998</v>
      </c>
      <c r="N377" s="19">
        <v>2423.7919999999999</v>
      </c>
      <c r="O377" s="17">
        <v>34</v>
      </c>
      <c r="P377" s="17" t="s">
        <v>26</v>
      </c>
      <c r="Q377" s="17">
        <v>12</v>
      </c>
      <c r="R377" s="17" t="s">
        <v>27</v>
      </c>
      <c r="S377" s="14" t="str">
        <f t="shared" si="5"/>
        <v>Week 2</v>
      </c>
    </row>
    <row r="378" spans="1:19" x14ac:dyDescent="0.3">
      <c r="A378" s="8" t="s">
        <v>666</v>
      </c>
      <c r="B378" s="9">
        <v>43079</v>
      </c>
      <c r="C378" s="10" t="s">
        <v>239</v>
      </c>
      <c r="D378" s="10" t="s">
        <v>30</v>
      </c>
      <c r="E378" s="10" t="s">
        <v>22</v>
      </c>
      <c r="F378" s="11">
        <v>7</v>
      </c>
      <c r="G378" s="12">
        <v>1909.5</v>
      </c>
      <c r="H378" s="12">
        <v>13366.5</v>
      </c>
      <c r="I378" s="13">
        <v>801.99</v>
      </c>
      <c r="J378" s="10" t="s">
        <v>23</v>
      </c>
      <c r="K378" s="10" t="s">
        <v>24</v>
      </c>
      <c r="L378" s="10" t="s">
        <v>25</v>
      </c>
      <c r="M378" s="12">
        <v>5613.93</v>
      </c>
      <c r="N378" s="12">
        <v>7752.57</v>
      </c>
      <c r="O378" s="10">
        <v>57.999999999999901</v>
      </c>
      <c r="P378" s="10" t="s">
        <v>26</v>
      </c>
      <c r="Q378" s="10">
        <v>12</v>
      </c>
      <c r="R378" s="10" t="s">
        <v>27</v>
      </c>
      <c r="S378" s="14" t="str">
        <f t="shared" si="5"/>
        <v>Week 2</v>
      </c>
    </row>
    <row r="379" spans="1:19" x14ac:dyDescent="0.3">
      <c r="A379" s="15" t="s">
        <v>667</v>
      </c>
      <c r="B379" s="16">
        <v>43079</v>
      </c>
      <c r="C379" s="17" t="s">
        <v>112</v>
      </c>
      <c r="D379" s="17" t="s">
        <v>21</v>
      </c>
      <c r="E379" s="17" t="s">
        <v>284</v>
      </c>
      <c r="F379" s="18">
        <v>7</v>
      </c>
      <c r="G379" s="19">
        <v>2633.1</v>
      </c>
      <c r="H379" s="19">
        <v>18431.7</v>
      </c>
      <c r="I379" s="20">
        <v>1764.1769999999999</v>
      </c>
      <c r="J379" s="17" t="s">
        <v>32</v>
      </c>
      <c r="K379" s="17" t="s">
        <v>33</v>
      </c>
      <c r="L379" s="17" t="s">
        <v>34</v>
      </c>
      <c r="M379" s="19">
        <v>12349.239</v>
      </c>
      <c r="N379" s="19">
        <v>6082.4609999999902</v>
      </c>
      <c r="O379" s="17">
        <v>32.999999999999901</v>
      </c>
      <c r="P379" s="17" t="s">
        <v>26</v>
      </c>
      <c r="Q379" s="17">
        <v>12</v>
      </c>
      <c r="R379" s="17" t="s">
        <v>27</v>
      </c>
      <c r="S379" s="14" t="str">
        <f t="shared" si="5"/>
        <v>Week 2</v>
      </c>
    </row>
    <row r="380" spans="1:19" x14ac:dyDescent="0.3">
      <c r="A380" s="8" t="s">
        <v>668</v>
      </c>
      <c r="B380" s="9">
        <v>43079</v>
      </c>
      <c r="C380" s="10" t="s">
        <v>435</v>
      </c>
      <c r="D380" s="10" t="s">
        <v>43</v>
      </c>
      <c r="E380" s="10" t="s">
        <v>31</v>
      </c>
      <c r="F380" s="11">
        <v>11</v>
      </c>
      <c r="G380" s="12">
        <v>1145.7</v>
      </c>
      <c r="H380" s="12">
        <v>12602.7</v>
      </c>
      <c r="I380" s="13">
        <v>492.65100000000001</v>
      </c>
      <c r="J380" s="10" t="s">
        <v>76</v>
      </c>
      <c r="K380" s="10" t="s">
        <v>77</v>
      </c>
      <c r="L380" s="10" t="s">
        <v>56</v>
      </c>
      <c r="M380" s="12">
        <v>5419.1610000000001</v>
      </c>
      <c r="N380" s="12">
        <v>7183.5389999999998</v>
      </c>
      <c r="O380" s="10">
        <v>57</v>
      </c>
      <c r="P380" s="10" t="s">
        <v>26</v>
      </c>
      <c r="Q380" s="10">
        <v>12</v>
      </c>
      <c r="R380" s="10" t="s">
        <v>27</v>
      </c>
      <c r="S380" s="14" t="str">
        <f t="shared" si="5"/>
        <v>Week 2</v>
      </c>
    </row>
    <row r="381" spans="1:19" x14ac:dyDescent="0.3">
      <c r="A381" s="15" t="s">
        <v>669</v>
      </c>
      <c r="B381" s="16">
        <v>43080</v>
      </c>
      <c r="C381" s="17" t="s">
        <v>270</v>
      </c>
      <c r="D381" s="17" t="s">
        <v>30</v>
      </c>
      <c r="E381" s="17" t="s">
        <v>91</v>
      </c>
      <c r="F381" s="18">
        <v>9</v>
      </c>
      <c r="G381" s="19">
        <v>3819</v>
      </c>
      <c r="H381" s="19">
        <v>34371</v>
      </c>
      <c r="I381" s="20">
        <v>1565.79</v>
      </c>
      <c r="J381" s="17" t="s">
        <v>63</v>
      </c>
      <c r="K381" s="17" t="s">
        <v>64</v>
      </c>
      <c r="L381" s="17" t="s">
        <v>34</v>
      </c>
      <c r="M381" s="19">
        <v>14092.11</v>
      </c>
      <c r="N381" s="19">
        <v>20278.89</v>
      </c>
      <c r="O381" s="17">
        <v>59</v>
      </c>
      <c r="P381" s="17" t="s">
        <v>26</v>
      </c>
      <c r="Q381" s="17">
        <v>12</v>
      </c>
      <c r="R381" s="17" t="s">
        <v>27</v>
      </c>
      <c r="S381" s="14" t="str">
        <f t="shared" si="5"/>
        <v>Week 2</v>
      </c>
    </row>
    <row r="382" spans="1:19" x14ac:dyDescent="0.3">
      <c r="A382" s="8" t="s">
        <v>670</v>
      </c>
      <c r="B382" s="9">
        <v>43080</v>
      </c>
      <c r="C382" s="10" t="s">
        <v>671</v>
      </c>
      <c r="D382" s="10" t="s">
        <v>43</v>
      </c>
      <c r="E382" s="10" t="s">
        <v>360</v>
      </c>
      <c r="F382" s="11">
        <v>6</v>
      </c>
      <c r="G382" s="12">
        <v>2291.4</v>
      </c>
      <c r="H382" s="12">
        <v>13748.400000000001</v>
      </c>
      <c r="I382" s="13">
        <v>1191.528</v>
      </c>
      <c r="J382" s="10" t="s">
        <v>458</v>
      </c>
      <c r="K382" s="10" t="s">
        <v>459</v>
      </c>
      <c r="L382" s="10" t="s">
        <v>34</v>
      </c>
      <c r="M382" s="12">
        <v>7149.1679999999997</v>
      </c>
      <c r="N382" s="12">
        <v>6599.232</v>
      </c>
      <c r="O382" s="10">
        <v>48</v>
      </c>
      <c r="P382" s="10" t="s">
        <v>26</v>
      </c>
      <c r="Q382" s="10">
        <v>12</v>
      </c>
      <c r="R382" s="10" t="s">
        <v>27</v>
      </c>
      <c r="S382" s="14" t="str">
        <f t="shared" si="5"/>
        <v>Week 2</v>
      </c>
    </row>
    <row r="383" spans="1:19" x14ac:dyDescent="0.3">
      <c r="A383" s="15" t="s">
        <v>672</v>
      </c>
      <c r="B383" s="16">
        <v>43080</v>
      </c>
      <c r="C383" s="17" t="s">
        <v>345</v>
      </c>
      <c r="D383" s="17" t="s">
        <v>30</v>
      </c>
      <c r="E383" s="17" t="s">
        <v>149</v>
      </c>
      <c r="F383" s="18">
        <v>10</v>
      </c>
      <c r="G383" s="19">
        <v>1092.0999999999999</v>
      </c>
      <c r="H383" s="19">
        <v>10921</v>
      </c>
      <c r="I383" s="20">
        <v>851.83799999999997</v>
      </c>
      <c r="J383" s="17" t="s">
        <v>257</v>
      </c>
      <c r="K383" s="17" t="s">
        <v>258</v>
      </c>
      <c r="L383" s="17" t="s">
        <v>25</v>
      </c>
      <c r="M383" s="19">
        <v>8518.3799999999992</v>
      </c>
      <c r="N383" s="19">
        <v>2402.62</v>
      </c>
      <c r="O383" s="17">
        <v>22</v>
      </c>
      <c r="P383" s="17" t="s">
        <v>26</v>
      </c>
      <c r="Q383" s="17">
        <v>12</v>
      </c>
      <c r="R383" s="17" t="s">
        <v>27</v>
      </c>
      <c r="S383" s="14" t="str">
        <f t="shared" si="5"/>
        <v>Week 2</v>
      </c>
    </row>
    <row r="384" spans="1:19" x14ac:dyDescent="0.3">
      <c r="A384" s="8" t="s">
        <v>673</v>
      </c>
      <c r="B384" s="9">
        <v>43080</v>
      </c>
      <c r="C384" s="10" t="s">
        <v>185</v>
      </c>
      <c r="D384" s="10" t="s">
        <v>30</v>
      </c>
      <c r="E384" s="10" t="s">
        <v>49</v>
      </c>
      <c r="F384" s="11">
        <v>8</v>
      </c>
      <c r="G384" s="12">
        <v>1085.4000000000001</v>
      </c>
      <c r="H384" s="12">
        <v>8683.2000000000007</v>
      </c>
      <c r="I384" s="13">
        <v>716.36400000000003</v>
      </c>
      <c r="J384" s="10" t="s">
        <v>289</v>
      </c>
      <c r="K384" s="10" t="s">
        <v>290</v>
      </c>
      <c r="L384" s="10" t="s">
        <v>34</v>
      </c>
      <c r="M384" s="12">
        <v>5730.9120000000003</v>
      </c>
      <c r="N384" s="12">
        <v>2952.28799999999</v>
      </c>
      <c r="O384" s="10">
        <v>33.999999999999901</v>
      </c>
      <c r="P384" s="10" t="s">
        <v>26</v>
      </c>
      <c r="Q384" s="10">
        <v>12</v>
      </c>
      <c r="R384" s="10" t="s">
        <v>27</v>
      </c>
      <c r="S384" s="14" t="str">
        <f t="shared" si="5"/>
        <v>Week 2</v>
      </c>
    </row>
    <row r="385" spans="1:19" x14ac:dyDescent="0.3">
      <c r="A385" s="15" t="s">
        <v>674</v>
      </c>
      <c r="B385" s="16">
        <v>43080</v>
      </c>
      <c r="C385" s="17" t="s">
        <v>578</v>
      </c>
      <c r="D385" s="17" t="s">
        <v>43</v>
      </c>
      <c r="E385" s="17" t="s">
        <v>73</v>
      </c>
      <c r="F385" s="18">
        <v>11</v>
      </c>
      <c r="G385" s="19">
        <v>2425.4</v>
      </c>
      <c r="H385" s="19">
        <v>26679.4</v>
      </c>
      <c r="I385" s="20">
        <v>1600.7639999999999</v>
      </c>
      <c r="J385" s="17" t="s">
        <v>97</v>
      </c>
      <c r="K385" s="17" t="s">
        <v>98</v>
      </c>
      <c r="L385" s="17" t="s">
        <v>56</v>
      </c>
      <c r="M385" s="19">
        <v>17608.403999999999</v>
      </c>
      <c r="N385" s="19">
        <v>9070.9959999999992</v>
      </c>
      <c r="O385" s="17">
        <v>34</v>
      </c>
      <c r="P385" s="17" t="s">
        <v>26</v>
      </c>
      <c r="Q385" s="17">
        <v>12</v>
      </c>
      <c r="R385" s="17" t="s">
        <v>27</v>
      </c>
      <c r="S385" s="14" t="str">
        <f t="shared" si="5"/>
        <v>Week 2</v>
      </c>
    </row>
    <row r="386" spans="1:19" x14ac:dyDescent="0.3">
      <c r="A386" s="8" t="s">
        <v>675</v>
      </c>
      <c r="B386" s="9">
        <v>43080</v>
      </c>
      <c r="C386" s="10" t="s">
        <v>497</v>
      </c>
      <c r="D386" s="10" t="s">
        <v>43</v>
      </c>
      <c r="E386" s="10" t="s">
        <v>62</v>
      </c>
      <c r="F386" s="11">
        <v>12</v>
      </c>
      <c r="G386" s="12">
        <v>6251.1</v>
      </c>
      <c r="H386" s="12">
        <v>75013.200000000012</v>
      </c>
      <c r="I386" s="13">
        <v>2938.0169999999998</v>
      </c>
      <c r="J386" s="10" t="s">
        <v>177</v>
      </c>
      <c r="K386" s="10" t="s">
        <v>178</v>
      </c>
      <c r="L386" s="10" t="s">
        <v>40</v>
      </c>
      <c r="M386" s="12">
        <v>35256.203999999998</v>
      </c>
      <c r="N386" s="12">
        <v>39756.995999999999</v>
      </c>
      <c r="O386" s="10">
        <v>53</v>
      </c>
      <c r="P386" s="10" t="s">
        <v>26</v>
      </c>
      <c r="Q386" s="10">
        <v>12</v>
      </c>
      <c r="R386" s="10" t="s">
        <v>27</v>
      </c>
      <c r="S386" s="14" t="str">
        <f t="shared" si="5"/>
        <v>Week 2</v>
      </c>
    </row>
    <row r="387" spans="1:19" x14ac:dyDescent="0.3">
      <c r="A387" s="15" t="s">
        <v>676</v>
      </c>
      <c r="B387" s="16">
        <v>43080</v>
      </c>
      <c r="C387" s="17" t="s">
        <v>182</v>
      </c>
      <c r="D387" s="17" t="s">
        <v>21</v>
      </c>
      <c r="E387" s="17" t="s">
        <v>31</v>
      </c>
      <c r="F387" s="18">
        <v>12</v>
      </c>
      <c r="G387" s="19">
        <v>1132.3</v>
      </c>
      <c r="H387" s="19">
        <v>13587.599999999999</v>
      </c>
      <c r="I387" s="20">
        <v>520.85799999999995</v>
      </c>
      <c r="J387" s="17" t="s">
        <v>32</v>
      </c>
      <c r="K387" s="17" t="s">
        <v>33</v>
      </c>
      <c r="L387" s="17" t="s">
        <v>34</v>
      </c>
      <c r="M387" s="19">
        <v>6250.2959999999903</v>
      </c>
      <c r="N387" s="19">
        <v>7337.3039999999901</v>
      </c>
      <c r="O387" s="17">
        <v>54</v>
      </c>
      <c r="P387" s="17" t="s">
        <v>26</v>
      </c>
      <c r="Q387" s="17">
        <v>12</v>
      </c>
      <c r="R387" s="17" t="s">
        <v>27</v>
      </c>
      <c r="S387" s="14" t="str">
        <f t="shared" ref="S387:S450" si="6">"Week "&amp;INT((DAY(B387)-1)/7)+1</f>
        <v>Week 2</v>
      </c>
    </row>
    <row r="388" spans="1:19" x14ac:dyDescent="0.3">
      <c r="A388" s="8" t="s">
        <v>677</v>
      </c>
      <c r="B388" s="9">
        <v>43080</v>
      </c>
      <c r="C388" s="10" t="s">
        <v>162</v>
      </c>
      <c r="D388" s="10" t="s">
        <v>30</v>
      </c>
      <c r="E388" s="10" t="s">
        <v>49</v>
      </c>
      <c r="F388" s="11">
        <v>11</v>
      </c>
      <c r="G388" s="12">
        <v>5319.8</v>
      </c>
      <c r="H388" s="12">
        <v>58517.8</v>
      </c>
      <c r="I388" s="13">
        <v>3298.2759999999998</v>
      </c>
      <c r="J388" s="10" t="s">
        <v>76</v>
      </c>
      <c r="K388" s="10" t="s">
        <v>77</v>
      </c>
      <c r="L388" s="10" t="s">
        <v>56</v>
      </c>
      <c r="M388" s="12">
        <v>36281.036</v>
      </c>
      <c r="N388" s="12">
        <v>22236.763999999999</v>
      </c>
      <c r="O388" s="10">
        <v>38</v>
      </c>
      <c r="P388" s="10" t="s">
        <v>26</v>
      </c>
      <c r="Q388" s="10">
        <v>12</v>
      </c>
      <c r="R388" s="10" t="s">
        <v>27</v>
      </c>
      <c r="S388" s="14" t="str">
        <f t="shared" si="6"/>
        <v>Week 2</v>
      </c>
    </row>
    <row r="389" spans="1:19" x14ac:dyDescent="0.3">
      <c r="A389" s="15" t="s">
        <v>678</v>
      </c>
      <c r="B389" s="16">
        <v>43080</v>
      </c>
      <c r="C389" s="17" t="s">
        <v>487</v>
      </c>
      <c r="D389" s="17" t="s">
        <v>21</v>
      </c>
      <c r="E389" s="17" t="s">
        <v>37</v>
      </c>
      <c r="F389" s="18">
        <v>8</v>
      </c>
      <c r="G389" s="19">
        <v>3946.3</v>
      </c>
      <c r="H389" s="19">
        <v>31570.400000000001</v>
      </c>
      <c r="I389" s="20">
        <v>1894.2239999999999</v>
      </c>
      <c r="J389" s="17" t="s">
        <v>32</v>
      </c>
      <c r="K389" s="17" t="s">
        <v>33</v>
      </c>
      <c r="L389" s="17" t="s">
        <v>34</v>
      </c>
      <c r="M389" s="19">
        <v>15153.791999999999</v>
      </c>
      <c r="N389" s="19">
        <v>16416.608</v>
      </c>
      <c r="O389" s="17">
        <v>52</v>
      </c>
      <c r="P389" s="17" t="s">
        <v>26</v>
      </c>
      <c r="Q389" s="17">
        <v>12</v>
      </c>
      <c r="R389" s="17" t="s">
        <v>27</v>
      </c>
      <c r="S389" s="14" t="str">
        <f t="shared" si="6"/>
        <v>Week 2</v>
      </c>
    </row>
    <row r="390" spans="1:19" x14ac:dyDescent="0.3">
      <c r="A390" s="8" t="s">
        <v>679</v>
      </c>
      <c r="B390" s="9">
        <v>43080</v>
      </c>
      <c r="C390" s="10" t="s">
        <v>551</v>
      </c>
      <c r="D390" s="10" t="s">
        <v>30</v>
      </c>
      <c r="E390" s="10" t="s">
        <v>44</v>
      </c>
      <c r="F390" s="11">
        <v>11</v>
      </c>
      <c r="G390" s="12">
        <v>2572.8000000000002</v>
      </c>
      <c r="H390" s="12">
        <v>28300.800000000003</v>
      </c>
      <c r="I390" s="13">
        <v>1517.952</v>
      </c>
      <c r="J390" s="10" t="s">
        <v>132</v>
      </c>
      <c r="K390" s="10" t="s">
        <v>133</v>
      </c>
      <c r="L390" s="10" t="s">
        <v>34</v>
      </c>
      <c r="M390" s="12">
        <v>16697.472000000002</v>
      </c>
      <c r="N390" s="12">
        <v>11603.328</v>
      </c>
      <c r="O390" s="10">
        <v>41</v>
      </c>
      <c r="P390" s="10" t="s">
        <v>26</v>
      </c>
      <c r="Q390" s="10">
        <v>12</v>
      </c>
      <c r="R390" s="10" t="s">
        <v>27</v>
      </c>
      <c r="S390" s="14" t="str">
        <f t="shared" si="6"/>
        <v>Week 2</v>
      </c>
    </row>
    <row r="391" spans="1:19" x14ac:dyDescent="0.3">
      <c r="A391" s="15" t="s">
        <v>680</v>
      </c>
      <c r="B391" s="16">
        <v>43080</v>
      </c>
      <c r="C391" s="17" t="s">
        <v>180</v>
      </c>
      <c r="D391" s="17" t="s">
        <v>21</v>
      </c>
      <c r="E391" s="17" t="s">
        <v>115</v>
      </c>
      <c r="F391" s="18">
        <v>9</v>
      </c>
      <c r="G391" s="19">
        <v>1105.5</v>
      </c>
      <c r="H391" s="19">
        <v>9949.5</v>
      </c>
      <c r="I391" s="20">
        <v>895.45500000000004</v>
      </c>
      <c r="J391" s="17" t="s">
        <v>32</v>
      </c>
      <c r="K391" s="17" t="s">
        <v>33</v>
      </c>
      <c r="L391" s="17" t="s">
        <v>34</v>
      </c>
      <c r="M391" s="19">
        <v>8059.0950000000003</v>
      </c>
      <c r="N391" s="19">
        <v>1890.40499999999</v>
      </c>
      <c r="O391" s="17">
        <v>18.999999999999901</v>
      </c>
      <c r="P391" s="17" t="s">
        <v>26</v>
      </c>
      <c r="Q391" s="17">
        <v>12</v>
      </c>
      <c r="R391" s="17" t="s">
        <v>27</v>
      </c>
      <c r="S391" s="14" t="str">
        <f t="shared" si="6"/>
        <v>Week 2</v>
      </c>
    </row>
    <row r="392" spans="1:19" x14ac:dyDescent="0.3">
      <c r="A392" s="8" t="s">
        <v>681</v>
      </c>
      <c r="B392" s="9">
        <v>43080</v>
      </c>
      <c r="C392" s="10" t="s">
        <v>646</v>
      </c>
      <c r="D392" s="10" t="s">
        <v>21</v>
      </c>
      <c r="E392" s="10" t="s">
        <v>120</v>
      </c>
      <c r="F392" s="11">
        <v>6</v>
      </c>
      <c r="G392" s="12">
        <v>3912.8</v>
      </c>
      <c r="H392" s="12">
        <v>23476.800000000003</v>
      </c>
      <c r="I392" s="13">
        <v>2425.9360000000001</v>
      </c>
      <c r="J392" s="10" t="s">
        <v>132</v>
      </c>
      <c r="K392" s="10" t="s">
        <v>133</v>
      </c>
      <c r="L392" s="10" t="s">
        <v>34</v>
      </c>
      <c r="M392" s="12">
        <v>14555.616</v>
      </c>
      <c r="N392" s="12">
        <v>8921.1839999999993</v>
      </c>
      <c r="O392" s="10">
        <v>38</v>
      </c>
      <c r="P392" s="10" t="s">
        <v>26</v>
      </c>
      <c r="Q392" s="10">
        <v>12</v>
      </c>
      <c r="R392" s="10" t="s">
        <v>27</v>
      </c>
      <c r="S392" s="14" t="str">
        <f t="shared" si="6"/>
        <v>Week 2</v>
      </c>
    </row>
    <row r="393" spans="1:19" x14ac:dyDescent="0.3">
      <c r="A393" s="15" t="s">
        <v>682</v>
      </c>
      <c r="B393" s="16">
        <v>43080</v>
      </c>
      <c r="C393" s="17" t="s">
        <v>683</v>
      </c>
      <c r="D393" s="17" t="s">
        <v>21</v>
      </c>
      <c r="E393" s="17" t="s">
        <v>418</v>
      </c>
      <c r="F393" s="18">
        <v>9</v>
      </c>
      <c r="G393" s="19">
        <v>6050.1</v>
      </c>
      <c r="H393" s="19">
        <v>54450.9</v>
      </c>
      <c r="I393" s="20">
        <v>3025.05</v>
      </c>
      <c r="J393" s="17" t="s">
        <v>411</v>
      </c>
      <c r="K393" s="17" t="s">
        <v>412</v>
      </c>
      <c r="L393" s="17" t="s">
        <v>56</v>
      </c>
      <c r="M393" s="19">
        <v>27225.45</v>
      </c>
      <c r="N393" s="19">
        <v>27225.45</v>
      </c>
      <c r="O393" s="17">
        <v>50</v>
      </c>
      <c r="P393" s="17" t="s">
        <v>26</v>
      </c>
      <c r="Q393" s="17">
        <v>12</v>
      </c>
      <c r="R393" s="17" t="s">
        <v>27</v>
      </c>
      <c r="S393" s="14" t="str">
        <f t="shared" si="6"/>
        <v>Week 2</v>
      </c>
    </row>
    <row r="394" spans="1:19" x14ac:dyDescent="0.3">
      <c r="A394" s="8" t="s">
        <v>684</v>
      </c>
      <c r="B394" s="9">
        <v>43080</v>
      </c>
      <c r="C394" s="10" t="s">
        <v>48</v>
      </c>
      <c r="D394" s="10" t="s">
        <v>21</v>
      </c>
      <c r="E394" s="10" t="s">
        <v>91</v>
      </c>
      <c r="F394" s="11">
        <v>11</v>
      </c>
      <c r="G394" s="12">
        <v>824.1</v>
      </c>
      <c r="H394" s="12">
        <v>9065.1</v>
      </c>
      <c r="I394" s="13">
        <v>684.00300000000004</v>
      </c>
      <c r="J394" s="10" t="s">
        <v>257</v>
      </c>
      <c r="K394" s="10" t="s">
        <v>258</v>
      </c>
      <c r="L394" s="10" t="s">
        <v>25</v>
      </c>
      <c r="M394" s="12">
        <v>7524.0330000000004</v>
      </c>
      <c r="N394" s="12">
        <v>1541.067</v>
      </c>
      <c r="O394" s="10">
        <v>17</v>
      </c>
      <c r="P394" s="10" t="s">
        <v>26</v>
      </c>
      <c r="Q394" s="10">
        <v>12</v>
      </c>
      <c r="R394" s="10" t="s">
        <v>27</v>
      </c>
      <c r="S394" s="14" t="str">
        <f t="shared" si="6"/>
        <v>Week 2</v>
      </c>
    </row>
    <row r="395" spans="1:19" x14ac:dyDescent="0.3">
      <c r="A395" s="15" t="s">
        <v>685</v>
      </c>
      <c r="B395" s="16">
        <v>43080</v>
      </c>
      <c r="C395" s="17" t="s">
        <v>311</v>
      </c>
      <c r="D395" s="17" t="s">
        <v>43</v>
      </c>
      <c r="E395" s="17" t="s">
        <v>115</v>
      </c>
      <c r="F395" s="18">
        <v>8</v>
      </c>
      <c r="G395" s="19">
        <v>3993.2</v>
      </c>
      <c r="H395" s="19">
        <v>31945.599999999999</v>
      </c>
      <c r="I395" s="20">
        <v>1597.28</v>
      </c>
      <c r="J395" s="17" t="s">
        <v>177</v>
      </c>
      <c r="K395" s="17" t="s">
        <v>178</v>
      </c>
      <c r="L395" s="17" t="s">
        <v>40</v>
      </c>
      <c r="M395" s="19">
        <v>12778.24</v>
      </c>
      <c r="N395" s="19">
        <v>19167.36</v>
      </c>
      <c r="O395" s="17">
        <v>60</v>
      </c>
      <c r="P395" s="17" t="s">
        <v>26</v>
      </c>
      <c r="Q395" s="17">
        <v>12</v>
      </c>
      <c r="R395" s="17" t="s">
        <v>27</v>
      </c>
      <c r="S395" s="14" t="str">
        <f t="shared" si="6"/>
        <v>Week 2</v>
      </c>
    </row>
    <row r="396" spans="1:19" x14ac:dyDescent="0.3">
      <c r="A396" s="8" t="s">
        <v>686</v>
      </c>
      <c r="B396" s="9">
        <v>43080</v>
      </c>
      <c r="C396" s="10" t="s">
        <v>618</v>
      </c>
      <c r="D396" s="10" t="s">
        <v>30</v>
      </c>
      <c r="E396" s="10" t="s">
        <v>31</v>
      </c>
      <c r="F396" s="11">
        <v>12</v>
      </c>
      <c r="G396" s="12">
        <v>3604.6</v>
      </c>
      <c r="H396" s="12">
        <v>43255.199999999997</v>
      </c>
      <c r="I396" s="13">
        <v>2270.8980000000001</v>
      </c>
      <c r="J396" s="10" t="s">
        <v>94</v>
      </c>
      <c r="K396" s="10" t="s">
        <v>95</v>
      </c>
      <c r="L396" s="10" t="s">
        <v>40</v>
      </c>
      <c r="M396" s="12">
        <v>27250.776000000002</v>
      </c>
      <c r="N396" s="12">
        <v>16004.423999999901</v>
      </c>
      <c r="O396" s="10">
        <v>36.999999999999901</v>
      </c>
      <c r="P396" s="10" t="s">
        <v>26</v>
      </c>
      <c r="Q396" s="10">
        <v>12</v>
      </c>
      <c r="R396" s="10" t="s">
        <v>27</v>
      </c>
      <c r="S396" s="14" t="str">
        <f t="shared" si="6"/>
        <v>Week 2</v>
      </c>
    </row>
    <row r="397" spans="1:19" x14ac:dyDescent="0.3">
      <c r="A397" s="15" t="s">
        <v>687</v>
      </c>
      <c r="B397" s="16">
        <v>43080</v>
      </c>
      <c r="C397" s="17" t="s">
        <v>20</v>
      </c>
      <c r="D397" s="17" t="s">
        <v>21</v>
      </c>
      <c r="E397" s="17" t="s">
        <v>228</v>
      </c>
      <c r="F397" s="18">
        <v>7</v>
      </c>
      <c r="G397" s="19">
        <v>241.2</v>
      </c>
      <c r="H397" s="19">
        <v>1688.3999999999999</v>
      </c>
      <c r="I397" s="20">
        <v>159.19200000000001</v>
      </c>
      <c r="J397" s="17" t="s">
        <v>83</v>
      </c>
      <c r="K397" s="17" t="s">
        <v>84</v>
      </c>
      <c r="L397" s="17" t="s">
        <v>34</v>
      </c>
      <c r="M397" s="19">
        <v>1114.3440000000001</v>
      </c>
      <c r="N397" s="19">
        <v>574.05600000000004</v>
      </c>
      <c r="O397" s="17">
        <v>34</v>
      </c>
      <c r="P397" s="17" t="s">
        <v>26</v>
      </c>
      <c r="Q397" s="17">
        <v>12</v>
      </c>
      <c r="R397" s="17" t="s">
        <v>27</v>
      </c>
      <c r="S397" s="14" t="str">
        <f t="shared" si="6"/>
        <v>Week 2</v>
      </c>
    </row>
    <row r="398" spans="1:19" x14ac:dyDescent="0.3">
      <c r="A398" s="8" t="s">
        <v>688</v>
      </c>
      <c r="B398" s="9">
        <v>43080</v>
      </c>
      <c r="C398" s="10" t="s">
        <v>207</v>
      </c>
      <c r="D398" s="10" t="s">
        <v>21</v>
      </c>
      <c r="E398" s="10" t="s">
        <v>265</v>
      </c>
      <c r="F398" s="11">
        <v>11</v>
      </c>
      <c r="G398" s="12">
        <v>2284.6999999999998</v>
      </c>
      <c r="H398" s="12">
        <v>25131.699999999997</v>
      </c>
      <c r="I398" s="13">
        <v>1941.9949999999999</v>
      </c>
      <c r="J398" s="10" t="s">
        <v>83</v>
      </c>
      <c r="K398" s="10" t="s">
        <v>84</v>
      </c>
      <c r="L398" s="10" t="s">
        <v>34</v>
      </c>
      <c r="M398" s="12">
        <v>21361.945</v>
      </c>
      <c r="N398" s="12">
        <v>3769.7550000000001</v>
      </c>
      <c r="O398" s="10">
        <v>15</v>
      </c>
      <c r="P398" s="10" t="s">
        <v>26</v>
      </c>
      <c r="Q398" s="10">
        <v>12</v>
      </c>
      <c r="R398" s="10" t="s">
        <v>27</v>
      </c>
      <c r="S398" s="14" t="str">
        <f t="shared" si="6"/>
        <v>Week 2</v>
      </c>
    </row>
    <row r="399" spans="1:19" x14ac:dyDescent="0.3">
      <c r="A399" s="15" t="s">
        <v>689</v>
      </c>
      <c r="B399" s="16">
        <v>43080</v>
      </c>
      <c r="C399" s="17" t="s">
        <v>53</v>
      </c>
      <c r="D399" s="17" t="s">
        <v>21</v>
      </c>
      <c r="E399" s="17" t="s">
        <v>127</v>
      </c>
      <c r="F399" s="18">
        <v>10</v>
      </c>
      <c r="G399" s="19">
        <v>1105.5</v>
      </c>
      <c r="H399" s="19">
        <v>11055</v>
      </c>
      <c r="I399" s="20">
        <v>519.58499999999901</v>
      </c>
      <c r="J399" s="17" t="s">
        <v>159</v>
      </c>
      <c r="K399" s="17" t="s">
        <v>160</v>
      </c>
      <c r="L399" s="17" t="s">
        <v>25</v>
      </c>
      <c r="M399" s="19">
        <v>5195.8499999999904</v>
      </c>
      <c r="N399" s="19">
        <v>5859.15</v>
      </c>
      <c r="O399" s="17">
        <v>53</v>
      </c>
      <c r="P399" s="17" t="s">
        <v>26</v>
      </c>
      <c r="Q399" s="17">
        <v>12</v>
      </c>
      <c r="R399" s="17" t="s">
        <v>27</v>
      </c>
      <c r="S399" s="14" t="str">
        <f t="shared" si="6"/>
        <v>Week 2</v>
      </c>
    </row>
    <row r="400" spans="1:19" x14ac:dyDescent="0.3">
      <c r="A400" s="8" t="s">
        <v>690</v>
      </c>
      <c r="B400" s="9">
        <v>43080</v>
      </c>
      <c r="C400" s="10" t="s">
        <v>119</v>
      </c>
      <c r="D400" s="10" t="s">
        <v>21</v>
      </c>
      <c r="E400" s="10" t="s">
        <v>127</v>
      </c>
      <c r="F400" s="11">
        <v>7</v>
      </c>
      <c r="G400" s="12">
        <v>5540.9</v>
      </c>
      <c r="H400" s="12">
        <v>38786.299999999996</v>
      </c>
      <c r="I400" s="13">
        <v>2437.9960000000001</v>
      </c>
      <c r="J400" s="10" t="s">
        <v>155</v>
      </c>
      <c r="K400" s="10" t="s">
        <v>156</v>
      </c>
      <c r="L400" s="10" t="s">
        <v>56</v>
      </c>
      <c r="M400" s="12">
        <v>17065.972000000002</v>
      </c>
      <c r="N400" s="12">
        <v>21720.328000000001</v>
      </c>
      <c r="O400" s="10">
        <v>55.999999999999901</v>
      </c>
      <c r="P400" s="10" t="s">
        <v>26</v>
      </c>
      <c r="Q400" s="10">
        <v>12</v>
      </c>
      <c r="R400" s="10" t="s">
        <v>27</v>
      </c>
      <c r="S400" s="14" t="str">
        <f t="shared" si="6"/>
        <v>Week 2</v>
      </c>
    </row>
    <row r="401" spans="1:19" x14ac:dyDescent="0.3">
      <c r="A401" s="15" t="s">
        <v>691</v>
      </c>
      <c r="B401" s="16">
        <v>43080</v>
      </c>
      <c r="C401" s="17" t="s">
        <v>526</v>
      </c>
      <c r="D401" s="17" t="s">
        <v>30</v>
      </c>
      <c r="E401" s="17" t="s">
        <v>91</v>
      </c>
      <c r="F401" s="18">
        <v>7</v>
      </c>
      <c r="G401" s="19">
        <v>1695.1</v>
      </c>
      <c r="H401" s="19">
        <v>11865.699999999999</v>
      </c>
      <c r="I401" s="20">
        <v>1101.8150000000001</v>
      </c>
      <c r="J401" s="17" t="s">
        <v>94</v>
      </c>
      <c r="K401" s="17" t="s">
        <v>95</v>
      </c>
      <c r="L401" s="17" t="s">
        <v>40</v>
      </c>
      <c r="M401" s="19">
        <v>7712.7049999999999</v>
      </c>
      <c r="N401" s="19">
        <v>4152.9949999999999</v>
      </c>
      <c r="O401" s="17">
        <v>35</v>
      </c>
      <c r="P401" s="17" t="s">
        <v>26</v>
      </c>
      <c r="Q401" s="17">
        <v>12</v>
      </c>
      <c r="R401" s="17" t="s">
        <v>27</v>
      </c>
      <c r="S401" s="14" t="str">
        <f t="shared" si="6"/>
        <v>Week 2</v>
      </c>
    </row>
    <row r="402" spans="1:19" x14ac:dyDescent="0.3">
      <c r="A402" s="8" t="s">
        <v>692</v>
      </c>
      <c r="B402" s="9">
        <v>43080</v>
      </c>
      <c r="C402" s="10" t="s">
        <v>435</v>
      </c>
      <c r="D402" s="10" t="s">
        <v>21</v>
      </c>
      <c r="E402" s="10" t="s">
        <v>146</v>
      </c>
      <c r="F402" s="11">
        <v>5</v>
      </c>
      <c r="G402" s="12">
        <v>1118.9000000000001</v>
      </c>
      <c r="H402" s="12">
        <v>5594.5</v>
      </c>
      <c r="I402" s="13">
        <v>850.36400000000003</v>
      </c>
      <c r="J402" s="10" t="s">
        <v>405</v>
      </c>
      <c r="K402" s="10" t="s">
        <v>406</v>
      </c>
      <c r="L402" s="10" t="s">
        <v>56</v>
      </c>
      <c r="M402" s="12">
        <v>4251.82</v>
      </c>
      <c r="N402" s="12">
        <v>1342.68</v>
      </c>
      <c r="O402" s="10">
        <v>24</v>
      </c>
      <c r="P402" s="10" t="s">
        <v>26</v>
      </c>
      <c r="Q402" s="10">
        <v>12</v>
      </c>
      <c r="R402" s="10" t="s">
        <v>27</v>
      </c>
      <c r="S402" s="14" t="str">
        <f t="shared" si="6"/>
        <v>Week 2</v>
      </c>
    </row>
    <row r="403" spans="1:19" x14ac:dyDescent="0.3">
      <c r="A403" s="15" t="s">
        <v>693</v>
      </c>
      <c r="B403" s="16">
        <v>43080</v>
      </c>
      <c r="C403" s="17" t="s">
        <v>341</v>
      </c>
      <c r="D403" s="17" t="s">
        <v>21</v>
      </c>
      <c r="E403" s="17" t="s">
        <v>146</v>
      </c>
      <c r="F403" s="18">
        <v>11</v>
      </c>
      <c r="G403" s="19">
        <v>207.7</v>
      </c>
      <c r="H403" s="19">
        <v>2284.6999999999998</v>
      </c>
      <c r="I403" s="20">
        <v>89.311000000000007</v>
      </c>
      <c r="J403" s="17" t="s">
        <v>38</v>
      </c>
      <c r="K403" s="17" t="s">
        <v>39</v>
      </c>
      <c r="L403" s="17" t="s">
        <v>40</v>
      </c>
      <c r="M403" s="19">
        <v>982.42100000000005</v>
      </c>
      <c r="N403" s="19">
        <v>1302.279</v>
      </c>
      <c r="O403" s="17">
        <v>57</v>
      </c>
      <c r="P403" s="17" t="s">
        <v>26</v>
      </c>
      <c r="Q403" s="17">
        <v>12</v>
      </c>
      <c r="R403" s="17" t="s">
        <v>27</v>
      </c>
      <c r="S403" s="14" t="str">
        <f t="shared" si="6"/>
        <v>Week 2</v>
      </c>
    </row>
    <row r="404" spans="1:19" x14ac:dyDescent="0.3">
      <c r="A404" s="8" t="s">
        <v>694</v>
      </c>
      <c r="B404" s="9">
        <v>43080</v>
      </c>
      <c r="C404" s="10" t="s">
        <v>695</v>
      </c>
      <c r="D404" s="10" t="s">
        <v>21</v>
      </c>
      <c r="E404" s="10" t="s">
        <v>31</v>
      </c>
      <c r="F404" s="11">
        <v>11</v>
      </c>
      <c r="G404" s="12">
        <v>2438.8000000000002</v>
      </c>
      <c r="H404" s="12">
        <v>26826.800000000003</v>
      </c>
      <c r="I404" s="13">
        <v>1195.0119999999999</v>
      </c>
      <c r="J404" s="10" t="s">
        <v>23</v>
      </c>
      <c r="K404" s="10" t="s">
        <v>24</v>
      </c>
      <c r="L404" s="10" t="s">
        <v>25</v>
      </c>
      <c r="M404" s="12">
        <v>13145.132</v>
      </c>
      <c r="N404" s="12">
        <v>13681.668</v>
      </c>
      <c r="O404" s="10">
        <v>51</v>
      </c>
      <c r="P404" s="10" t="s">
        <v>26</v>
      </c>
      <c r="Q404" s="10">
        <v>12</v>
      </c>
      <c r="R404" s="10" t="s">
        <v>27</v>
      </c>
      <c r="S404" s="14" t="str">
        <f t="shared" si="6"/>
        <v>Week 2</v>
      </c>
    </row>
    <row r="405" spans="1:19" x14ac:dyDescent="0.3">
      <c r="A405" s="15" t="s">
        <v>696</v>
      </c>
      <c r="B405" s="16">
        <v>43080</v>
      </c>
      <c r="C405" s="17" t="s">
        <v>251</v>
      </c>
      <c r="D405" s="17" t="s">
        <v>21</v>
      </c>
      <c r="E405" s="17" t="s">
        <v>73</v>
      </c>
      <c r="F405" s="18">
        <v>8</v>
      </c>
      <c r="G405" s="19">
        <v>3705.1</v>
      </c>
      <c r="H405" s="19">
        <v>29640.799999999999</v>
      </c>
      <c r="I405" s="20">
        <v>2111.9069999999901</v>
      </c>
      <c r="J405" s="17" t="s">
        <v>436</v>
      </c>
      <c r="K405" s="17" t="s">
        <v>437</v>
      </c>
      <c r="L405" s="17" t="s">
        <v>25</v>
      </c>
      <c r="M405" s="19">
        <v>16895.255999999899</v>
      </c>
      <c r="N405" s="19">
        <v>12745.544</v>
      </c>
      <c r="O405" s="17">
        <v>43</v>
      </c>
      <c r="P405" s="17" t="s">
        <v>26</v>
      </c>
      <c r="Q405" s="17">
        <v>12</v>
      </c>
      <c r="R405" s="17" t="s">
        <v>27</v>
      </c>
      <c r="S405" s="14" t="str">
        <f t="shared" si="6"/>
        <v>Week 2</v>
      </c>
    </row>
    <row r="406" spans="1:19" x14ac:dyDescent="0.3">
      <c r="A406" s="8" t="s">
        <v>697</v>
      </c>
      <c r="B406" s="9">
        <v>43080</v>
      </c>
      <c r="C406" s="10" t="s">
        <v>529</v>
      </c>
      <c r="D406" s="10" t="s">
        <v>21</v>
      </c>
      <c r="E406" s="10" t="s">
        <v>73</v>
      </c>
      <c r="F406" s="11">
        <v>7</v>
      </c>
      <c r="G406" s="12">
        <v>194.3</v>
      </c>
      <c r="H406" s="12">
        <v>1360.1000000000001</v>
      </c>
      <c r="I406" s="13">
        <v>102.979</v>
      </c>
      <c r="J406" s="10" t="s">
        <v>225</v>
      </c>
      <c r="K406" s="10" t="s">
        <v>226</v>
      </c>
      <c r="L406" s="10" t="s">
        <v>25</v>
      </c>
      <c r="M406" s="12">
        <v>720.85299999999995</v>
      </c>
      <c r="N406" s="12">
        <v>639.24699999999996</v>
      </c>
      <c r="O406" s="10">
        <v>47</v>
      </c>
      <c r="P406" s="10" t="s">
        <v>26</v>
      </c>
      <c r="Q406" s="10">
        <v>12</v>
      </c>
      <c r="R406" s="10" t="s">
        <v>27</v>
      </c>
      <c r="S406" s="14" t="str">
        <f t="shared" si="6"/>
        <v>Week 2</v>
      </c>
    </row>
    <row r="407" spans="1:19" x14ac:dyDescent="0.3">
      <c r="A407" s="15" t="s">
        <v>698</v>
      </c>
      <c r="B407" s="16">
        <v>43080</v>
      </c>
      <c r="C407" s="17" t="s">
        <v>209</v>
      </c>
      <c r="D407" s="17" t="s">
        <v>21</v>
      </c>
      <c r="E407" s="17" t="s">
        <v>37</v>
      </c>
      <c r="F407" s="18">
        <v>9</v>
      </c>
      <c r="G407" s="19">
        <v>3932.9</v>
      </c>
      <c r="H407" s="19">
        <v>35396.1</v>
      </c>
      <c r="I407" s="20">
        <v>2831.6880000000001</v>
      </c>
      <c r="J407" s="17" t="s">
        <v>225</v>
      </c>
      <c r="K407" s="17" t="s">
        <v>226</v>
      </c>
      <c r="L407" s="17" t="s">
        <v>25</v>
      </c>
      <c r="M407" s="19">
        <v>25485.191999999999</v>
      </c>
      <c r="N407" s="19">
        <v>9910.9079999999904</v>
      </c>
      <c r="O407" s="17">
        <v>27.999999999999901</v>
      </c>
      <c r="P407" s="17" t="s">
        <v>26</v>
      </c>
      <c r="Q407" s="17">
        <v>12</v>
      </c>
      <c r="R407" s="17" t="s">
        <v>27</v>
      </c>
      <c r="S407" s="14" t="str">
        <f t="shared" si="6"/>
        <v>Week 2</v>
      </c>
    </row>
    <row r="408" spans="1:19" x14ac:dyDescent="0.3">
      <c r="A408" s="8" t="s">
        <v>699</v>
      </c>
      <c r="B408" s="9">
        <v>43080</v>
      </c>
      <c r="C408" s="10" t="s">
        <v>256</v>
      </c>
      <c r="D408" s="10" t="s">
        <v>43</v>
      </c>
      <c r="E408" s="10" t="s">
        <v>73</v>
      </c>
      <c r="F408" s="11">
        <v>10</v>
      </c>
      <c r="G408" s="12">
        <v>1708.5</v>
      </c>
      <c r="H408" s="12">
        <v>17085</v>
      </c>
      <c r="I408" s="13">
        <v>1213.0349999999901</v>
      </c>
      <c r="J408" s="10" t="s">
        <v>54</v>
      </c>
      <c r="K408" s="10" t="s">
        <v>55</v>
      </c>
      <c r="L408" s="10" t="s">
        <v>56</v>
      </c>
      <c r="M408" s="12">
        <v>12130.3499999999</v>
      </c>
      <c r="N408" s="12">
        <v>4954.6499999999996</v>
      </c>
      <c r="O408" s="10">
        <v>29</v>
      </c>
      <c r="P408" s="10" t="s">
        <v>26</v>
      </c>
      <c r="Q408" s="10">
        <v>12</v>
      </c>
      <c r="R408" s="10" t="s">
        <v>27</v>
      </c>
      <c r="S408" s="14" t="str">
        <f t="shared" si="6"/>
        <v>Week 2</v>
      </c>
    </row>
    <row r="409" spans="1:19" x14ac:dyDescent="0.3">
      <c r="A409" s="15" t="s">
        <v>700</v>
      </c>
      <c r="B409" s="16">
        <v>43080</v>
      </c>
      <c r="C409" s="17" t="s">
        <v>215</v>
      </c>
      <c r="D409" s="17" t="s">
        <v>30</v>
      </c>
      <c r="E409" s="17" t="s">
        <v>49</v>
      </c>
      <c r="F409" s="18">
        <v>9</v>
      </c>
      <c r="G409" s="19">
        <v>1159.0999999999999</v>
      </c>
      <c r="H409" s="19">
        <v>10431.9</v>
      </c>
      <c r="I409" s="20">
        <v>533.18600000000004</v>
      </c>
      <c r="J409" s="17" t="s">
        <v>76</v>
      </c>
      <c r="K409" s="17" t="s">
        <v>77</v>
      </c>
      <c r="L409" s="17" t="s">
        <v>56</v>
      </c>
      <c r="M409" s="19">
        <v>4798.674</v>
      </c>
      <c r="N409" s="19">
        <v>5633.2259999999997</v>
      </c>
      <c r="O409" s="17">
        <v>54</v>
      </c>
      <c r="P409" s="17" t="s">
        <v>26</v>
      </c>
      <c r="Q409" s="17">
        <v>12</v>
      </c>
      <c r="R409" s="17" t="s">
        <v>27</v>
      </c>
      <c r="S409" s="14" t="str">
        <f t="shared" si="6"/>
        <v>Week 2</v>
      </c>
    </row>
    <row r="410" spans="1:19" x14ac:dyDescent="0.3">
      <c r="A410" s="8" t="s">
        <v>701</v>
      </c>
      <c r="B410" s="9">
        <v>43080</v>
      </c>
      <c r="C410" s="10" t="s">
        <v>129</v>
      </c>
      <c r="D410" s="10" t="s">
        <v>30</v>
      </c>
      <c r="E410" s="10" t="s">
        <v>73</v>
      </c>
      <c r="F410" s="11">
        <v>6</v>
      </c>
      <c r="G410" s="12">
        <v>1246.2</v>
      </c>
      <c r="H410" s="12">
        <v>7477.2000000000007</v>
      </c>
      <c r="I410" s="13">
        <v>710.33399999999995</v>
      </c>
      <c r="J410" s="10" t="s">
        <v>54</v>
      </c>
      <c r="K410" s="10" t="s">
        <v>55</v>
      </c>
      <c r="L410" s="10" t="s">
        <v>56</v>
      </c>
      <c r="M410" s="12">
        <v>4262.0039999999999</v>
      </c>
      <c r="N410" s="12">
        <v>3215.1959999999999</v>
      </c>
      <c r="O410" s="10">
        <v>43</v>
      </c>
      <c r="P410" s="10" t="s">
        <v>26</v>
      </c>
      <c r="Q410" s="10">
        <v>12</v>
      </c>
      <c r="R410" s="10" t="s">
        <v>27</v>
      </c>
      <c r="S410" s="14" t="str">
        <f t="shared" si="6"/>
        <v>Week 2</v>
      </c>
    </row>
    <row r="411" spans="1:19" x14ac:dyDescent="0.3">
      <c r="A411" s="15" t="s">
        <v>702</v>
      </c>
      <c r="B411" s="16">
        <v>43080</v>
      </c>
      <c r="C411" s="17" t="s">
        <v>703</v>
      </c>
      <c r="D411" s="17" t="s">
        <v>30</v>
      </c>
      <c r="E411" s="17" t="s">
        <v>146</v>
      </c>
      <c r="F411" s="18">
        <v>7</v>
      </c>
      <c r="G411" s="19">
        <v>2599.6</v>
      </c>
      <c r="H411" s="19">
        <v>18197.2</v>
      </c>
      <c r="I411" s="20">
        <v>1819.71999999999</v>
      </c>
      <c r="J411" s="17" t="s">
        <v>257</v>
      </c>
      <c r="K411" s="17" t="s">
        <v>258</v>
      </c>
      <c r="L411" s="17" t="s">
        <v>25</v>
      </c>
      <c r="M411" s="19">
        <v>12738.039999999901</v>
      </c>
      <c r="N411" s="19">
        <v>5459.16</v>
      </c>
      <c r="O411" s="17">
        <v>30</v>
      </c>
      <c r="P411" s="17" t="s">
        <v>26</v>
      </c>
      <c r="Q411" s="17">
        <v>12</v>
      </c>
      <c r="R411" s="17" t="s">
        <v>27</v>
      </c>
      <c r="S411" s="14" t="str">
        <f t="shared" si="6"/>
        <v>Week 2</v>
      </c>
    </row>
    <row r="412" spans="1:19" x14ac:dyDescent="0.3">
      <c r="A412" s="8" t="s">
        <v>704</v>
      </c>
      <c r="B412" s="9">
        <v>43080</v>
      </c>
      <c r="C412" s="10" t="s">
        <v>499</v>
      </c>
      <c r="D412" s="10" t="s">
        <v>21</v>
      </c>
      <c r="E412" s="10" t="s">
        <v>93</v>
      </c>
      <c r="F412" s="11">
        <v>5</v>
      </c>
      <c r="G412" s="12">
        <v>3450.5</v>
      </c>
      <c r="H412" s="12">
        <v>17252.5</v>
      </c>
      <c r="I412" s="13">
        <v>2346.34</v>
      </c>
      <c r="J412" s="10" t="s">
        <v>177</v>
      </c>
      <c r="K412" s="10" t="s">
        <v>178</v>
      </c>
      <c r="L412" s="10" t="s">
        <v>40</v>
      </c>
      <c r="M412" s="12">
        <v>11731.7</v>
      </c>
      <c r="N412" s="12">
        <v>5520.7999999999902</v>
      </c>
      <c r="O412" s="10">
        <v>31.999999999999901</v>
      </c>
      <c r="P412" s="10" t="s">
        <v>26</v>
      </c>
      <c r="Q412" s="10">
        <v>12</v>
      </c>
      <c r="R412" s="10" t="s">
        <v>27</v>
      </c>
      <c r="S412" s="14" t="str">
        <f t="shared" si="6"/>
        <v>Week 2</v>
      </c>
    </row>
    <row r="413" spans="1:19" x14ac:dyDescent="0.3">
      <c r="A413" s="15" t="s">
        <v>705</v>
      </c>
      <c r="B413" s="16">
        <v>43080</v>
      </c>
      <c r="C413" s="17" t="s">
        <v>180</v>
      </c>
      <c r="D413" s="17" t="s">
        <v>30</v>
      </c>
      <c r="E413" s="17" t="s">
        <v>120</v>
      </c>
      <c r="F413" s="18">
        <v>9</v>
      </c>
      <c r="G413" s="19">
        <v>3745.3</v>
      </c>
      <c r="H413" s="19">
        <v>33707.700000000004</v>
      </c>
      <c r="I413" s="20">
        <v>2808.9749999999999</v>
      </c>
      <c r="J413" s="17" t="s">
        <v>54</v>
      </c>
      <c r="K413" s="17" t="s">
        <v>55</v>
      </c>
      <c r="L413" s="17" t="s">
        <v>56</v>
      </c>
      <c r="M413" s="19">
        <v>25280.775000000001</v>
      </c>
      <c r="N413" s="19">
        <v>8426.9249999999993</v>
      </c>
      <c r="O413" s="17">
        <v>25</v>
      </c>
      <c r="P413" s="17" t="s">
        <v>26</v>
      </c>
      <c r="Q413" s="17">
        <v>12</v>
      </c>
      <c r="R413" s="17" t="s">
        <v>27</v>
      </c>
      <c r="S413" s="14" t="str">
        <f t="shared" si="6"/>
        <v>Week 2</v>
      </c>
    </row>
    <row r="414" spans="1:19" x14ac:dyDescent="0.3">
      <c r="A414" s="8" t="s">
        <v>706</v>
      </c>
      <c r="B414" s="9">
        <v>43080</v>
      </c>
      <c r="C414" s="10" t="s">
        <v>239</v>
      </c>
      <c r="D414" s="10" t="s">
        <v>21</v>
      </c>
      <c r="E414" s="10" t="s">
        <v>91</v>
      </c>
      <c r="F414" s="11">
        <v>6</v>
      </c>
      <c r="G414" s="12">
        <v>3691.7</v>
      </c>
      <c r="H414" s="12">
        <v>22150.199999999997</v>
      </c>
      <c r="I414" s="13">
        <v>2178.1030000000001</v>
      </c>
      <c r="J414" s="10" t="s">
        <v>386</v>
      </c>
      <c r="K414" s="10" t="s">
        <v>387</v>
      </c>
      <c r="L414" s="10" t="s">
        <v>56</v>
      </c>
      <c r="M414" s="12">
        <v>13068.618</v>
      </c>
      <c r="N414" s="12">
        <v>9081.5820000000003</v>
      </c>
      <c r="O414" s="10">
        <v>41</v>
      </c>
      <c r="P414" s="10" t="s">
        <v>26</v>
      </c>
      <c r="Q414" s="10">
        <v>12</v>
      </c>
      <c r="R414" s="10" t="s">
        <v>27</v>
      </c>
      <c r="S414" s="14" t="str">
        <f t="shared" si="6"/>
        <v>Week 2</v>
      </c>
    </row>
    <row r="415" spans="1:19" x14ac:dyDescent="0.3">
      <c r="A415" s="15" t="s">
        <v>707</v>
      </c>
      <c r="B415" s="16">
        <v>43080</v>
      </c>
      <c r="C415" s="17" t="s">
        <v>138</v>
      </c>
      <c r="D415" s="17" t="s">
        <v>30</v>
      </c>
      <c r="E415" s="17" t="s">
        <v>31</v>
      </c>
      <c r="F415" s="18">
        <v>7</v>
      </c>
      <c r="G415" s="19">
        <v>5849.1</v>
      </c>
      <c r="H415" s="19">
        <v>40943.700000000004</v>
      </c>
      <c r="I415" s="20">
        <v>3041.5320000000002</v>
      </c>
      <c r="J415" s="17" t="s">
        <v>38</v>
      </c>
      <c r="K415" s="17" t="s">
        <v>39</v>
      </c>
      <c r="L415" s="17" t="s">
        <v>40</v>
      </c>
      <c r="M415" s="19">
        <v>21290.723999999998</v>
      </c>
      <c r="N415" s="19">
        <v>19652.975999999999</v>
      </c>
      <c r="O415" s="17">
        <v>48</v>
      </c>
      <c r="P415" s="17" t="s">
        <v>26</v>
      </c>
      <c r="Q415" s="17">
        <v>12</v>
      </c>
      <c r="R415" s="17" t="s">
        <v>27</v>
      </c>
      <c r="S415" s="14" t="str">
        <f t="shared" si="6"/>
        <v>Week 2</v>
      </c>
    </row>
    <row r="416" spans="1:19" x14ac:dyDescent="0.3">
      <c r="A416" s="8" t="s">
        <v>708</v>
      </c>
      <c r="B416" s="9">
        <v>43080</v>
      </c>
      <c r="C416" s="10" t="s">
        <v>404</v>
      </c>
      <c r="D416" s="10" t="s">
        <v>21</v>
      </c>
      <c r="E416" s="10" t="s">
        <v>228</v>
      </c>
      <c r="F416" s="11">
        <v>7</v>
      </c>
      <c r="G416" s="12">
        <v>1098.8</v>
      </c>
      <c r="H416" s="12">
        <v>7691.5999999999995</v>
      </c>
      <c r="I416" s="13">
        <v>879.04</v>
      </c>
      <c r="J416" s="10" t="s">
        <v>104</v>
      </c>
      <c r="K416" s="10" t="s">
        <v>105</v>
      </c>
      <c r="L416" s="10" t="s">
        <v>25</v>
      </c>
      <c r="M416" s="12">
        <v>6153.28</v>
      </c>
      <c r="N416" s="12">
        <v>1538.3199999999899</v>
      </c>
      <c r="O416" s="10">
        <v>20</v>
      </c>
      <c r="P416" s="10" t="s">
        <v>26</v>
      </c>
      <c r="Q416" s="10">
        <v>12</v>
      </c>
      <c r="R416" s="10" t="s">
        <v>27</v>
      </c>
      <c r="S416" s="14" t="str">
        <f t="shared" si="6"/>
        <v>Week 2</v>
      </c>
    </row>
    <row r="417" spans="1:19" x14ac:dyDescent="0.3">
      <c r="A417" s="15" t="s">
        <v>709</v>
      </c>
      <c r="B417" s="16">
        <v>43080</v>
      </c>
      <c r="C417" s="17" t="s">
        <v>68</v>
      </c>
      <c r="D417" s="17" t="s">
        <v>21</v>
      </c>
      <c r="E417" s="17" t="s">
        <v>127</v>
      </c>
      <c r="F417" s="18">
        <v>6</v>
      </c>
      <c r="G417" s="19">
        <v>5976.4</v>
      </c>
      <c r="H417" s="19">
        <v>35858.399999999994</v>
      </c>
      <c r="I417" s="20">
        <v>3585.84</v>
      </c>
      <c r="J417" s="17" t="s">
        <v>23</v>
      </c>
      <c r="K417" s="17" t="s">
        <v>24</v>
      </c>
      <c r="L417" s="17" t="s">
        <v>25</v>
      </c>
      <c r="M417" s="19">
        <v>21515.040000000001</v>
      </c>
      <c r="N417" s="19">
        <v>14343.36</v>
      </c>
      <c r="O417" s="17">
        <v>40</v>
      </c>
      <c r="P417" s="17" t="s">
        <v>26</v>
      </c>
      <c r="Q417" s="17">
        <v>12</v>
      </c>
      <c r="R417" s="17" t="s">
        <v>27</v>
      </c>
      <c r="S417" s="14" t="str">
        <f t="shared" si="6"/>
        <v>Week 2</v>
      </c>
    </row>
    <row r="418" spans="1:19" x14ac:dyDescent="0.3">
      <c r="A418" s="8" t="s">
        <v>710</v>
      </c>
      <c r="B418" s="9">
        <v>43080</v>
      </c>
      <c r="C418" s="10" t="s">
        <v>29</v>
      </c>
      <c r="D418" s="10" t="s">
        <v>30</v>
      </c>
      <c r="E418" s="10" t="s">
        <v>115</v>
      </c>
      <c r="F418" s="11">
        <v>5</v>
      </c>
      <c r="G418" s="12">
        <v>1728.6</v>
      </c>
      <c r="H418" s="12">
        <v>8643</v>
      </c>
      <c r="I418" s="13">
        <v>1123.5899999999999</v>
      </c>
      <c r="J418" s="10" t="s">
        <v>54</v>
      </c>
      <c r="K418" s="10" t="s">
        <v>55</v>
      </c>
      <c r="L418" s="10" t="s">
        <v>56</v>
      </c>
      <c r="M418" s="12">
        <v>5617.95</v>
      </c>
      <c r="N418" s="12">
        <v>3025.0499999999902</v>
      </c>
      <c r="O418" s="10">
        <v>34.999999999999901</v>
      </c>
      <c r="P418" s="10" t="s">
        <v>26</v>
      </c>
      <c r="Q418" s="10">
        <v>12</v>
      </c>
      <c r="R418" s="10" t="s">
        <v>27</v>
      </c>
      <c r="S418" s="14" t="str">
        <f t="shared" si="6"/>
        <v>Week 2</v>
      </c>
    </row>
    <row r="419" spans="1:19" x14ac:dyDescent="0.3">
      <c r="A419" s="15" t="s">
        <v>711</v>
      </c>
      <c r="B419" s="16">
        <v>43080</v>
      </c>
      <c r="C419" s="17" t="s">
        <v>239</v>
      </c>
      <c r="D419" s="17" t="s">
        <v>30</v>
      </c>
      <c r="E419" s="17" t="s">
        <v>91</v>
      </c>
      <c r="F419" s="18">
        <v>8</v>
      </c>
      <c r="G419" s="19">
        <v>1232.8</v>
      </c>
      <c r="H419" s="19">
        <v>9862.4</v>
      </c>
      <c r="I419" s="20">
        <v>493.12</v>
      </c>
      <c r="J419" s="17" t="s">
        <v>225</v>
      </c>
      <c r="K419" s="17" t="s">
        <v>226</v>
      </c>
      <c r="L419" s="17" t="s">
        <v>25</v>
      </c>
      <c r="M419" s="19">
        <v>3944.96</v>
      </c>
      <c r="N419" s="19">
        <v>5917.44</v>
      </c>
      <c r="O419" s="17">
        <v>60</v>
      </c>
      <c r="P419" s="17" t="s">
        <v>26</v>
      </c>
      <c r="Q419" s="17">
        <v>12</v>
      </c>
      <c r="R419" s="17" t="s">
        <v>27</v>
      </c>
      <c r="S419" s="14" t="str">
        <f t="shared" si="6"/>
        <v>Week 2</v>
      </c>
    </row>
    <row r="420" spans="1:19" x14ac:dyDescent="0.3">
      <c r="A420" s="8" t="s">
        <v>712</v>
      </c>
      <c r="B420" s="9">
        <v>43080</v>
      </c>
      <c r="C420" s="10" t="s">
        <v>72</v>
      </c>
      <c r="D420" s="10" t="s">
        <v>30</v>
      </c>
      <c r="E420" s="10" t="s">
        <v>191</v>
      </c>
      <c r="F420" s="11">
        <v>10</v>
      </c>
      <c r="G420" s="12">
        <v>2278</v>
      </c>
      <c r="H420" s="12">
        <v>22780</v>
      </c>
      <c r="I420" s="13">
        <v>1526.26</v>
      </c>
      <c r="J420" s="10" t="s">
        <v>83</v>
      </c>
      <c r="K420" s="10" t="s">
        <v>84</v>
      </c>
      <c r="L420" s="10" t="s">
        <v>34</v>
      </c>
      <c r="M420" s="12">
        <v>15262.6</v>
      </c>
      <c r="N420" s="12">
        <v>7517.4</v>
      </c>
      <c r="O420" s="10">
        <v>32.999999999999901</v>
      </c>
      <c r="P420" s="10" t="s">
        <v>26</v>
      </c>
      <c r="Q420" s="10">
        <v>12</v>
      </c>
      <c r="R420" s="10" t="s">
        <v>27</v>
      </c>
      <c r="S420" s="14" t="str">
        <f t="shared" si="6"/>
        <v>Week 2</v>
      </c>
    </row>
    <row r="421" spans="1:19" x14ac:dyDescent="0.3">
      <c r="A421" s="15" t="s">
        <v>713</v>
      </c>
      <c r="B421" s="16">
        <v>43080</v>
      </c>
      <c r="C421" s="17" t="s">
        <v>714</v>
      </c>
      <c r="D421" s="17" t="s">
        <v>21</v>
      </c>
      <c r="E421" s="17" t="s">
        <v>191</v>
      </c>
      <c r="F421" s="18">
        <v>6</v>
      </c>
      <c r="G421" s="19">
        <v>3035.1</v>
      </c>
      <c r="H421" s="19">
        <v>18210.599999999999</v>
      </c>
      <c r="I421" s="20">
        <v>1699.6559999999999</v>
      </c>
      <c r="J421" s="17" t="s">
        <v>54</v>
      </c>
      <c r="K421" s="17" t="s">
        <v>55</v>
      </c>
      <c r="L421" s="17" t="s">
        <v>56</v>
      </c>
      <c r="M421" s="19">
        <v>10197.936</v>
      </c>
      <c r="N421" s="19">
        <v>8012.6639999999898</v>
      </c>
      <c r="O421" s="17">
        <v>43.999999999999901</v>
      </c>
      <c r="P421" s="17" t="s">
        <v>26</v>
      </c>
      <c r="Q421" s="17">
        <v>12</v>
      </c>
      <c r="R421" s="17" t="s">
        <v>27</v>
      </c>
      <c r="S421" s="14" t="str">
        <f t="shared" si="6"/>
        <v>Week 2</v>
      </c>
    </row>
    <row r="422" spans="1:19" x14ac:dyDescent="0.3">
      <c r="A422" s="8" t="s">
        <v>715</v>
      </c>
      <c r="B422" s="9">
        <v>43080</v>
      </c>
      <c r="C422" s="10" t="s">
        <v>578</v>
      </c>
      <c r="D422" s="10" t="s">
        <v>30</v>
      </c>
      <c r="E422" s="10" t="s">
        <v>37</v>
      </c>
      <c r="F422" s="11">
        <v>6</v>
      </c>
      <c r="G422" s="12">
        <v>3819</v>
      </c>
      <c r="H422" s="12">
        <v>22914</v>
      </c>
      <c r="I422" s="13">
        <v>2864.25</v>
      </c>
      <c r="J422" s="10" t="s">
        <v>23</v>
      </c>
      <c r="K422" s="10" t="s">
        <v>24</v>
      </c>
      <c r="L422" s="10" t="s">
        <v>25</v>
      </c>
      <c r="M422" s="12">
        <v>17185.5</v>
      </c>
      <c r="N422" s="12">
        <v>5728.5</v>
      </c>
      <c r="O422" s="10">
        <v>25</v>
      </c>
      <c r="P422" s="10" t="s">
        <v>26</v>
      </c>
      <c r="Q422" s="10">
        <v>12</v>
      </c>
      <c r="R422" s="10" t="s">
        <v>27</v>
      </c>
      <c r="S422" s="14" t="str">
        <f t="shared" si="6"/>
        <v>Week 2</v>
      </c>
    </row>
    <row r="423" spans="1:19" x14ac:dyDescent="0.3">
      <c r="A423" s="15" t="s">
        <v>716</v>
      </c>
      <c r="B423" s="16">
        <v>43081</v>
      </c>
      <c r="C423" s="17" t="s">
        <v>209</v>
      </c>
      <c r="D423" s="17" t="s">
        <v>43</v>
      </c>
      <c r="E423" s="17" t="s">
        <v>115</v>
      </c>
      <c r="F423" s="18">
        <v>7</v>
      </c>
      <c r="G423" s="19">
        <v>3825.7</v>
      </c>
      <c r="H423" s="19">
        <v>26779.899999999998</v>
      </c>
      <c r="I423" s="20">
        <v>2257.163</v>
      </c>
      <c r="J423" s="17" t="s">
        <v>54</v>
      </c>
      <c r="K423" s="17" t="s">
        <v>55</v>
      </c>
      <c r="L423" s="17" t="s">
        <v>56</v>
      </c>
      <c r="M423" s="19">
        <v>15800.141</v>
      </c>
      <c r="N423" s="19">
        <v>10979.759</v>
      </c>
      <c r="O423" s="17">
        <v>41</v>
      </c>
      <c r="P423" s="17" t="s">
        <v>26</v>
      </c>
      <c r="Q423" s="17">
        <v>12</v>
      </c>
      <c r="R423" s="17" t="s">
        <v>27</v>
      </c>
      <c r="S423" s="14" t="str">
        <f t="shared" si="6"/>
        <v>Week 2</v>
      </c>
    </row>
    <row r="424" spans="1:19" x14ac:dyDescent="0.3">
      <c r="A424" s="8" t="s">
        <v>717</v>
      </c>
      <c r="B424" s="9">
        <v>43081</v>
      </c>
      <c r="C424" s="10" t="s">
        <v>718</v>
      </c>
      <c r="D424" s="10" t="s">
        <v>21</v>
      </c>
      <c r="E424" s="10" t="s">
        <v>31</v>
      </c>
      <c r="F424" s="11">
        <v>6</v>
      </c>
      <c r="G424" s="12">
        <v>167.5</v>
      </c>
      <c r="H424" s="12">
        <v>1005</v>
      </c>
      <c r="I424" s="13">
        <v>108.875</v>
      </c>
      <c r="J424" s="10" t="s">
        <v>54</v>
      </c>
      <c r="K424" s="10" t="s">
        <v>55</v>
      </c>
      <c r="L424" s="10" t="s">
        <v>56</v>
      </c>
      <c r="M424" s="12">
        <v>653.25</v>
      </c>
      <c r="N424" s="12">
        <v>351.75</v>
      </c>
      <c r="O424" s="10">
        <v>35</v>
      </c>
      <c r="P424" s="10" t="s">
        <v>26</v>
      </c>
      <c r="Q424" s="10">
        <v>12</v>
      </c>
      <c r="R424" s="10" t="s">
        <v>27</v>
      </c>
      <c r="S424" s="14" t="str">
        <f t="shared" si="6"/>
        <v>Week 2</v>
      </c>
    </row>
    <row r="425" spans="1:19" x14ac:dyDescent="0.3">
      <c r="A425" s="15" t="s">
        <v>719</v>
      </c>
      <c r="B425" s="16">
        <v>43081</v>
      </c>
      <c r="C425" s="17" t="s">
        <v>720</v>
      </c>
      <c r="D425" s="17" t="s">
        <v>21</v>
      </c>
      <c r="E425" s="17" t="s">
        <v>31</v>
      </c>
      <c r="F425" s="18">
        <v>5</v>
      </c>
      <c r="G425" s="19">
        <v>1045.2</v>
      </c>
      <c r="H425" s="19">
        <v>5226</v>
      </c>
      <c r="I425" s="20">
        <v>637.572</v>
      </c>
      <c r="J425" s="17" t="s">
        <v>32</v>
      </c>
      <c r="K425" s="17" t="s">
        <v>33</v>
      </c>
      <c r="L425" s="17" t="s">
        <v>34</v>
      </c>
      <c r="M425" s="19">
        <v>3187.86</v>
      </c>
      <c r="N425" s="19">
        <v>2038.1399999999901</v>
      </c>
      <c r="O425" s="17">
        <v>38.999999999999901</v>
      </c>
      <c r="P425" s="17" t="s">
        <v>26</v>
      </c>
      <c r="Q425" s="17">
        <v>12</v>
      </c>
      <c r="R425" s="17" t="s">
        <v>27</v>
      </c>
      <c r="S425" s="14" t="str">
        <f t="shared" si="6"/>
        <v>Week 2</v>
      </c>
    </row>
    <row r="426" spans="1:19" x14ac:dyDescent="0.3">
      <c r="A426" s="8" t="s">
        <v>721</v>
      </c>
      <c r="B426" s="9">
        <v>43081</v>
      </c>
      <c r="C426" s="10" t="s">
        <v>448</v>
      </c>
      <c r="D426" s="10" t="s">
        <v>30</v>
      </c>
      <c r="E426" s="10" t="s">
        <v>31</v>
      </c>
      <c r="F426" s="11">
        <v>8</v>
      </c>
      <c r="G426" s="12">
        <v>904.5</v>
      </c>
      <c r="H426" s="12">
        <v>7236</v>
      </c>
      <c r="I426" s="13">
        <v>723.6</v>
      </c>
      <c r="J426" s="10" t="s">
        <v>159</v>
      </c>
      <c r="K426" s="10" t="s">
        <v>160</v>
      </c>
      <c r="L426" s="10" t="s">
        <v>25</v>
      </c>
      <c r="M426" s="12">
        <v>5788.8</v>
      </c>
      <c r="N426" s="12">
        <v>1447.19999999999</v>
      </c>
      <c r="O426" s="10">
        <v>20</v>
      </c>
      <c r="P426" s="10" t="s">
        <v>26</v>
      </c>
      <c r="Q426" s="10">
        <v>12</v>
      </c>
      <c r="R426" s="10" t="s">
        <v>27</v>
      </c>
      <c r="S426" s="14" t="str">
        <f t="shared" si="6"/>
        <v>Week 2</v>
      </c>
    </row>
    <row r="427" spans="1:19" x14ac:dyDescent="0.3">
      <c r="A427" s="15" t="s">
        <v>722</v>
      </c>
      <c r="B427" s="16">
        <v>43081</v>
      </c>
      <c r="C427" s="17" t="s">
        <v>142</v>
      </c>
      <c r="D427" s="17" t="s">
        <v>30</v>
      </c>
      <c r="E427" s="17" t="s">
        <v>326</v>
      </c>
      <c r="F427" s="18">
        <v>6</v>
      </c>
      <c r="G427" s="19">
        <v>5299.7</v>
      </c>
      <c r="H427" s="19">
        <v>31798.199999999997</v>
      </c>
      <c r="I427" s="20">
        <v>2172.877</v>
      </c>
      <c r="J427" s="17" t="s">
        <v>257</v>
      </c>
      <c r="K427" s="17" t="s">
        <v>258</v>
      </c>
      <c r="L427" s="17" t="s">
        <v>25</v>
      </c>
      <c r="M427" s="19">
        <v>13037.261999999901</v>
      </c>
      <c r="N427" s="19">
        <v>18760.937999999998</v>
      </c>
      <c r="O427" s="17">
        <v>59</v>
      </c>
      <c r="P427" s="17" t="s">
        <v>26</v>
      </c>
      <c r="Q427" s="17">
        <v>12</v>
      </c>
      <c r="R427" s="17" t="s">
        <v>27</v>
      </c>
      <c r="S427" s="14" t="str">
        <f t="shared" si="6"/>
        <v>Week 2</v>
      </c>
    </row>
    <row r="428" spans="1:19" x14ac:dyDescent="0.3">
      <c r="A428" s="8" t="s">
        <v>723</v>
      </c>
      <c r="B428" s="9">
        <v>43081</v>
      </c>
      <c r="C428" s="10" t="s">
        <v>154</v>
      </c>
      <c r="D428" s="10" t="s">
        <v>21</v>
      </c>
      <c r="E428" s="10" t="s">
        <v>49</v>
      </c>
      <c r="F428" s="11">
        <v>7</v>
      </c>
      <c r="G428" s="12">
        <v>1943</v>
      </c>
      <c r="H428" s="12">
        <v>13601</v>
      </c>
      <c r="I428" s="13">
        <v>835.49</v>
      </c>
      <c r="J428" s="10" t="s">
        <v>94</v>
      </c>
      <c r="K428" s="10" t="s">
        <v>95</v>
      </c>
      <c r="L428" s="10" t="s">
        <v>40</v>
      </c>
      <c r="M428" s="12">
        <v>5848.43</v>
      </c>
      <c r="N428" s="12">
        <v>7752.57</v>
      </c>
      <c r="O428" s="10">
        <v>56.999999999999901</v>
      </c>
      <c r="P428" s="10" t="s">
        <v>26</v>
      </c>
      <c r="Q428" s="10">
        <v>12</v>
      </c>
      <c r="R428" s="10" t="s">
        <v>27</v>
      </c>
      <c r="S428" s="14" t="str">
        <f t="shared" si="6"/>
        <v>Week 2</v>
      </c>
    </row>
    <row r="429" spans="1:19" x14ac:dyDescent="0.3">
      <c r="A429" s="15" t="s">
        <v>724</v>
      </c>
      <c r="B429" s="16">
        <v>43081</v>
      </c>
      <c r="C429" s="17" t="s">
        <v>256</v>
      </c>
      <c r="D429" s="17" t="s">
        <v>21</v>
      </c>
      <c r="E429" s="17" t="s">
        <v>103</v>
      </c>
      <c r="F429" s="18">
        <v>5</v>
      </c>
      <c r="G429" s="19">
        <v>1065.3</v>
      </c>
      <c r="H429" s="19">
        <v>5326.5</v>
      </c>
      <c r="I429" s="20">
        <v>671.13900000000001</v>
      </c>
      <c r="J429" s="17" t="s">
        <v>23</v>
      </c>
      <c r="K429" s="17" t="s">
        <v>24</v>
      </c>
      <c r="L429" s="17" t="s">
        <v>25</v>
      </c>
      <c r="M429" s="19">
        <v>3355.6950000000002</v>
      </c>
      <c r="N429" s="19">
        <v>1970.8049999999901</v>
      </c>
      <c r="O429" s="17">
        <v>37</v>
      </c>
      <c r="P429" s="17" t="s">
        <v>26</v>
      </c>
      <c r="Q429" s="17">
        <v>12</v>
      </c>
      <c r="R429" s="17" t="s">
        <v>27</v>
      </c>
      <c r="S429" s="14" t="str">
        <f t="shared" si="6"/>
        <v>Week 2</v>
      </c>
    </row>
    <row r="430" spans="1:19" x14ac:dyDescent="0.3">
      <c r="A430" s="8" t="s">
        <v>725</v>
      </c>
      <c r="B430" s="9">
        <v>43081</v>
      </c>
      <c r="C430" s="10" t="s">
        <v>384</v>
      </c>
      <c r="D430" s="10" t="s">
        <v>21</v>
      </c>
      <c r="E430" s="10" t="s">
        <v>31</v>
      </c>
      <c r="F430" s="11">
        <v>12</v>
      </c>
      <c r="G430" s="12">
        <v>2385.1999999999998</v>
      </c>
      <c r="H430" s="12">
        <v>28622.399999999998</v>
      </c>
      <c r="I430" s="13">
        <v>1454.972</v>
      </c>
      <c r="J430" s="10" t="s">
        <v>23</v>
      </c>
      <c r="K430" s="10" t="s">
        <v>24</v>
      </c>
      <c r="L430" s="10" t="s">
        <v>25</v>
      </c>
      <c r="M430" s="12">
        <v>17459.664000000001</v>
      </c>
      <c r="N430" s="12">
        <v>11162.735999999901</v>
      </c>
      <c r="O430" s="10">
        <v>38.999999999999901</v>
      </c>
      <c r="P430" s="10" t="s">
        <v>26</v>
      </c>
      <c r="Q430" s="10">
        <v>12</v>
      </c>
      <c r="R430" s="10" t="s">
        <v>27</v>
      </c>
      <c r="S430" s="14" t="str">
        <f t="shared" si="6"/>
        <v>Week 2</v>
      </c>
    </row>
    <row r="431" spans="1:19" x14ac:dyDescent="0.3">
      <c r="A431" s="15" t="s">
        <v>135</v>
      </c>
      <c r="B431" s="16">
        <v>43081</v>
      </c>
      <c r="C431" s="17" t="s">
        <v>136</v>
      </c>
      <c r="D431" s="17" t="s">
        <v>21</v>
      </c>
      <c r="E431" s="17" t="s">
        <v>115</v>
      </c>
      <c r="F431" s="18">
        <v>5</v>
      </c>
      <c r="G431" s="19">
        <v>1882.7</v>
      </c>
      <c r="H431" s="19">
        <v>9413.5</v>
      </c>
      <c r="I431" s="20">
        <v>903.69600000000003</v>
      </c>
      <c r="J431" s="17" t="s">
        <v>54</v>
      </c>
      <c r="K431" s="17" t="s">
        <v>55</v>
      </c>
      <c r="L431" s="17" t="s">
        <v>56</v>
      </c>
      <c r="M431" s="19">
        <v>4518.4799999999996</v>
      </c>
      <c r="N431" s="19">
        <v>4895.0199999999904</v>
      </c>
      <c r="O431" s="17">
        <v>51.999999999999901</v>
      </c>
      <c r="P431" s="17" t="s">
        <v>26</v>
      </c>
      <c r="Q431" s="17">
        <v>12</v>
      </c>
      <c r="R431" s="17" t="s">
        <v>27</v>
      </c>
      <c r="S431" s="14" t="str">
        <f t="shared" si="6"/>
        <v>Week 2</v>
      </c>
    </row>
    <row r="432" spans="1:19" x14ac:dyDescent="0.3">
      <c r="A432" s="8" t="s">
        <v>726</v>
      </c>
      <c r="B432" s="9">
        <v>43081</v>
      </c>
      <c r="C432" s="10" t="s">
        <v>170</v>
      </c>
      <c r="D432" s="10" t="s">
        <v>30</v>
      </c>
      <c r="E432" s="10" t="s">
        <v>103</v>
      </c>
      <c r="F432" s="11">
        <v>10</v>
      </c>
      <c r="G432" s="12">
        <v>1983.2</v>
      </c>
      <c r="H432" s="12">
        <v>19832</v>
      </c>
      <c r="I432" s="13">
        <v>1189.92</v>
      </c>
      <c r="J432" s="10" t="s">
        <v>23</v>
      </c>
      <c r="K432" s="10" t="s">
        <v>24</v>
      </c>
      <c r="L432" s="10" t="s">
        <v>25</v>
      </c>
      <c r="M432" s="12">
        <v>11899.2</v>
      </c>
      <c r="N432" s="12">
        <v>7932.7999999999902</v>
      </c>
      <c r="O432" s="10">
        <v>40</v>
      </c>
      <c r="P432" s="10" t="s">
        <v>26</v>
      </c>
      <c r="Q432" s="10">
        <v>12</v>
      </c>
      <c r="R432" s="10" t="s">
        <v>27</v>
      </c>
      <c r="S432" s="14" t="str">
        <f t="shared" si="6"/>
        <v>Week 2</v>
      </c>
    </row>
    <row r="433" spans="1:19" x14ac:dyDescent="0.3">
      <c r="A433" s="15" t="s">
        <v>727</v>
      </c>
      <c r="B433" s="16">
        <v>43081</v>
      </c>
      <c r="C433" s="17" t="s">
        <v>664</v>
      </c>
      <c r="D433" s="17" t="s">
        <v>21</v>
      </c>
      <c r="E433" s="17" t="s">
        <v>80</v>
      </c>
      <c r="F433" s="18">
        <v>7</v>
      </c>
      <c r="G433" s="19">
        <v>790.6</v>
      </c>
      <c r="H433" s="19">
        <v>5534.2</v>
      </c>
      <c r="I433" s="20">
        <v>490.17200000000003</v>
      </c>
      <c r="J433" s="17" t="s">
        <v>23</v>
      </c>
      <c r="K433" s="17" t="s">
        <v>24</v>
      </c>
      <c r="L433" s="17" t="s">
        <v>25</v>
      </c>
      <c r="M433" s="19">
        <v>3431.2040000000002</v>
      </c>
      <c r="N433" s="19">
        <v>2102.9959999999901</v>
      </c>
      <c r="O433" s="17">
        <v>37.999999999999901</v>
      </c>
      <c r="P433" s="17" t="s">
        <v>26</v>
      </c>
      <c r="Q433" s="17">
        <v>12</v>
      </c>
      <c r="R433" s="17" t="s">
        <v>27</v>
      </c>
      <c r="S433" s="14" t="str">
        <f t="shared" si="6"/>
        <v>Week 2</v>
      </c>
    </row>
    <row r="434" spans="1:19" x14ac:dyDescent="0.3">
      <c r="A434" s="8" t="s">
        <v>728</v>
      </c>
      <c r="B434" s="9">
        <v>43081</v>
      </c>
      <c r="C434" s="10" t="s">
        <v>435</v>
      </c>
      <c r="D434" s="10" t="s">
        <v>21</v>
      </c>
      <c r="E434" s="10" t="s">
        <v>103</v>
      </c>
      <c r="F434" s="11">
        <v>11</v>
      </c>
      <c r="G434" s="12">
        <v>1011.7</v>
      </c>
      <c r="H434" s="12">
        <v>11128.7</v>
      </c>
      <c r="I434" s="13">
        <v>849.82799999999997</v>
      </c>
      <c r="J434" s="10" t="s">
        <v>218</v>
      </c>
      <c r="K434" s="10" t="s">
        <v>219</v>
      </c>
      <c r="L434" s="10" t="s">
        <v>34</v>
      </c>
      <c r="M434" s="12">
        <v>9348.1080000000002</v>
      </c>
      <c r="N434" s="12">
        <v>1780.5920000000001</v>
      </c>
      <c r="O434" s="10">
        <v>16</v>
      </c>
      <c r="P434" s="10" t="s">
        <v>26</v>
      </c>
      <c r="Q434" s="10">
        <v>12</v>
      </c>
      <c r="R434" s="10" t="s">
        <v>27</v>
      </c>
      <c r="S434" s="14" t="str">
        <f t="shared" si="6"/>
        <v>Week 2</v>
      </c>
    </row>
    <row r="435" spans="1:19" x14ac:dyDescent="0.3">
      <c r="A435" s="15" t="s">
        <v>729</v>
      </c>
      <c r="B435" s="16">
        <v>43081</v>
      </c>
      <c r="C435" s="17" t="s">
        <v>414</v>
      </c>
      <c r="D435" s="17" t="s">
        <v>43</v>
      </c>
      <c r="E435" s="17" t="s">
        <v>73</v>
      </c>
      <c r="F435" s="18">
        <v>9</v>
      </c>
      <c r="G435" s="19">
        <v>5071.8999999999996</v>
      </c>
      <c r="H435" s="19">
        <v>45647.1</v>
      </c>
      <c r="I435" s="20">
        <v>3246.0160000000001</v>
      </c>
      <c r="J435" s="17" t="s">
        <v>94</v>
      </c>
      <c r="K435" s="17" t="s">
        <v>95</v>
      </c>
      <c r="L435" s="17" t="s">
        <v>40</v>
      </c>
      <c r="M435" s="19">
        <v>29214.144</v>
      </c>
      <c r="N435" s="19">
        <v>16432.955999999998</v>
      </c>
      <c r="O435" s="17">
        <v>36</v>
      </c>
      <c r="P435" s="17" t="s">
        <v>26</v>
      </c>
      <c r="Q435" s="17">
        <v>12</v>
      </c>
      <c r="R435" s="17" t="s">
        <v>27</v>
      </c>
      <c r="S435" s="14" t="str">
        <f t="shared" si="6"/>
        <v>Week 2</v>
      </c>
    </row>
    <row r="436" spans="1:19" x14ac:dyDescent="0.3">
      <c r="A436" s="8" t="s">
        <v>476</v>
      </c>
      <c r="B436" s="9">
        <v>43081</v>
      </c>
      <c r="C436" s="10" t="s">
        <v>414</v>
      </c>
      <c r="D436" s="10" t="s">
        <v>30</v>
      </c>
      <c r="E436" s="10" t="s">
        <v>62</v>
      </c>
      <c r="F436" s="11">
        <v>5</v>
      </c>
      <c r="G436" s="12">
        <v>207.7</v>
      </c>
      <c r="H436" s="12">
        <v>1038.5</v>
      </c>
      <c r="I436" s="13">
        <v>168.23699999999999</v>
      </c>
      <c r="J436" s="10" t="s">
        <v>54</v>
      </c>
      <c r="K436" s="10" t="s">
        <v>55</v>
      </c>
      <c r="L436" s="10" t="s">
        <v>56</v>
      </c>
      <c r="M436" s="12">
        <v>841.18499999999995</v>
      </c>
      <c r="N436" s="12">
        <v>197.314999999999</v>
      </c>
      <c r="O436" s="10">
        <v>18.999999999999901</v>
      </c>
      <c r="P436" s="10" t="s">
        <v>26</v>
      </c>
      <c r="Q436" s="10">
        <v>12</v>
      </c>
      <c r="R436" s="10" t="s">
        <v>27</v>
      </c>
      <c r="S436" s="14" t="str">
        <f t="shared" si="6"/>
        <v>Week 2</v>
      </c>
    </row>
    <row r="437" spans="1:19" x14ac:dyDescent="0.3">
      <c r="A437" s="15" t="s">
        <v>730</v>
      </c>
      <c r="B437" s="16">
        <v>43081</v>
      </c>
      <c r="C437" s="17" t="s">
        <v>236</v>
      </c>
      <c r="D437" s="17" t="s">
        <v>30</v>
      </c>
      <c r="E437" s="17" t="s">
        <v>91</v>
      </c>
      <c r="F437" s="18">
        <v>10</v>
      </c>
      <c r="G437" s="19">
        <v>1936.3</v>
      </c>
      <c r="H437" s="19">
        <v>19363</v>
      </c>
      <c r="I437" s="20">
        <v>929.42399999999998</v>
      </c>
      <c r="J437" s="17" t="s">
        <v>225</v>
      </c>
      <c r="K437" s="17" t="s">
        <v>226</v>
      </c>
      <c r="L437" s="17" t="s">
        <v>25</v>
      </c>
      <c r="M437" s="19">
        <v>9294.24</v>
      </c>
      <c r="N437" s="19">
        <v>10068.76</v>
      </c>
      <c r="O437" s="17">
        <v>52</v>
      </c>
      <c r="P437" s="17" t="s">
        <v>26</v>
      </c>
      <c r="Q437" s="17">
        <v>12</v>
      </c>
      <c r="R437" s="17" t="s">
        <v>27</v>
      </c>
      <c r="S437" s="14" t="str">
        <f t="shared" si="6"/>
        <v>Week 2</v>
      </c>
    </row>
    <row r="438" spans="1:19" x14ac:dyDescent="0.3">
      <c r="A438" s="8" t="s">
        <v>731</v>
      </c>
      <c r="B438" s="9">
        <v>43081</v>
      </c>
      <c r="C438" s="10" t="s">
        <v>112</v>
      </c>
      <c r="D438" s="10" t="s">
        <v>21</v>
      </c>
      <c r="E438" s="10" t="s">
        <v>31</v>
      </c>
      <c r="F438" s="11">
        <v>6</v>
      </c>
      <c r="G438" s="12">
        <v>227.8</v>
      </c>
      <c r="H438" s="12">
        <v>1366.8000000000002</v>
      </c>
      <c r="I438" s="13">
        <v>152.626</v>
      </c>
      <c r="J438" s="10" t="s">
        <v>32</v>
      </c>
      <c r="K438" s="10" t="s">
        <v>33</v>
      </c>
      <c r="L438" s="10" t="s">
        <v>34</v>
      </c>
      <c r="M438" s="12">
        <v>915.75599999999997</v>
      </c>
      <c r="N438" s="12">
        <v>451.04399999999998</v>
      </c>
      <c r="O438" s="10">
        <v>33</v>
      </c>
      <c r="P438" s="10" t="s">
        <v>26</v>
      </c>
      <c r="Q438" s="10">
        <v>12</v>
      </c>
      <c r="R438" s="10" t="s">
        <v>27</v>
      </c>
      <c r="S438" s="14" t="str">
        <f t="shared" si="6"/>
        <v>Week 2</v>
      </c>
    </row>
    <row r="439" spans="1:19" x14ac:dyDescent="0.3">
      <c r="A439" s="15" t="s">
        <v>732</v>
      </c>
      <c r="B439" s="16">
        <v>43081</v>
      </c>
      <c r="C439" s="17" t="s">
        <v>554</v>
      </c>
      <c r="D439" s="17" t="s">
        <v>30</v>
      </c>
      <c r="E439" s="17" t="s">
        <v>110</v>
      </c>
      <c r="F439" s="18">
        <v>11</v>
      </c>
      <c r="G439" s="19">
        <v>2887.7</v>
      </c>
      <c r="H439" s="19">
        <v>31764.699999999997</v>
      </c>
      <c r="I439" s="20">
        <v>1443.85</v>
      </c>
      <c r="J439" s="17" t="s">
        <v>225</v>
      </c>
      <c r="K439" s="17" t="s">
        <v>226</v>
      </c>
      <c r="L439" s="17" t="s">
        <v>25</v>
      </c>
      <c r="M439" s="19">
        <v>15882.35</v>
      </c>
      <c r="N439" s="19">
        <v>15882.35</v>
      </c>
      <c r="O439" s="17">
        <v>50</v>
      </c>
      <c r="P439" s="17" t="s">
        <v>26</v>
      </c>
      <c r="Q439" s="17">
        <v>12</v>
      </c>
      <c r="R439" s="17" t="s">
        <v>27</v>
      </c>
      <c r="S439" s="14" t="str">
        <f t="shared" si="6"/>
        <v>Week 2</v>
      </c>
    </row>
    <row r="440" spans="1:19" x14ac:dyDescent="0.3">
      <c r="A440" s="8" t="s">
        <v>733</v>
      </c>
      <c r="B440" s="9">
        <v>43081</v>
      </c>
      <c r="C440" s="10" t="s">
        <v>521</v>
      </c>
      <c r="D440" s="10" t="s">
        <v>43</v>
      </c>
      <c r="E440" s="10" t="s">
        <v>115</v>
      </c>
      <c r="F440" s="11">
        <v>5</v>
      </c>
      <c r="G440" s="12">
        <v>3993.2</v>
      </c>
      <c r="H440" s="12">
        <v>19966</v>
      </c>
      <c r="I440" s="13">
        <v>3234.4920000000002</v>
      </c>
      <c r="J440" s="10" t="s">
        <v>23</v>
      </c>
      <c r="K440" s="10" t="s">
        <v>24</v>
      </c>
      <c r="L440" s="10" t="s">
        <v>25</v>
      </c>
      <c r="M440" s="12">
        <v>16172.46</v>
      </c>
      <c r="N440" s="12">
        <v>3793.53999999999</v>
      </c>
      <c r="O440" s="10">
        <v>18.999999999999901</v>
      </c>
      <c r="P440" s="10" t="s">
        <v>26</v>
      </c>
      <c r="Q440" s="10">
        <v>12</v>
      </c>
      <c r="R440" s="10" t="s">
        <v>27</v>
      </c>
      <c r="S440" s="14" t="str">
        <f t="shared" si="6"/>
        <v>Week 2</v>
      </c>
    </row>
    <row r="441" spans="1:19" x14ac:dyDescent="0.3">
      <c r="A441" s="15" t="s">
        <v>734</v>
      </c>
      <c r="B441" s="16">
        <v>43081</v>
      </c>
      <c r="C441" s="17" t="s">
        <v>380</v>
      </c>
      <c r="D441" s="17" t="s">
        <v>30</v>
      </c>
      <c r="E441" s="17" t="s">
        <v>326</v>
      </c>
      <c r="F441" s="18">
        <v>9</v>
      </c>
      <c r="G441" s="19">
        <v>3832.4</v>
      </c>
      <c r="H441" s="19">
        <v>34491.599999999999</v>
      </c>
      <c r="I441" s="20">
        <v>2376.0880000000002</v>
      </c>
      <c r="J441" s="17" t="s">
        <v>94</v>
      </c>
      <c r="K441" s="17" t="s">
        <v>95</v>
      </c>
      <c r="L441" s="17" t="s">
        <v>40</v>
      </c>
      <c r="M441" s="19">
        <v>21384.792000000001</v>
      </c>
      <c r="N441" s="19">
        <v>13106.807999999901</v>
      </c>
      <c r="O441" s="17">
        <v>37.999999999999901</v>
      </c>
      <c r="P441" s="17" t="s">
        <v>26</v>
      </c>
      <c r="Q441" s="17">
        <v>12</v>
      </c>
      <c r="R441" s="17" t="s">
        <v>27</v>
      </c>
      <c r="S441" s="14" t="str">
        <f t="shared" si="6"/>
        <v>Week 2</v>
      </c>
    </row>
    <row r="442" spans="1:19" x14ac:dyDescent="0.3">
      <c r="A442" s="8" t="s">
        <v>173</v>
      </c>
      <c r="B442" s="9">
        <v>43081</v>
      </c>
      <c r="C442" s="10" t="s">
        <v>174</v>
      </c>
      <c r="D442" s="10" t="s">
        <v>21</v>
      </c>
      <c r="E442" s="10" t="s">
        <v>91</v>
      </c>
      <c r="F442" s="11">
        <v>9</v>
      </c>
      <c r="G442" s="12">
        <v>268</v>
      </c>
      <c r="H442" s="12">
        <v>2412</v>
      </c>
      <c r="I442" s="13">
        <v>123.28</v>
      </c>
      <c r="J442" s="10" t="s">
        <v>54</v>
      </c>
      <c r="K442" s="10" t="s">
        <v>55</v>
      </c>
      <c r="L442" s="10" t="s">
        <v>56</v>
      </c>
      <c r="M442" s="12">
        <v>1109.52</v>
      </c>
      <c r="N442" s="12">
        <v>1302.48</v>
      </c>
      <c r="O442" s="10">
        <v>54</v>
      </c>
      <c r="P442" s="10" t="s">
        <v>26</v>
      </c>
      <c r="Q442" s="10">
        <v>12</v>
      </c>
      <c r="R442" s="10" t="s">
        <v>27</v>
      </c>
      <c r="S442" s="14" t="str">
        <f t="shared" si="6"/>
        <v>Week 2</v>
      </c>
    </row>
    <row r="443" spans="1:19" x14ac:dyDescent="0.3">
      <c r="A443" s="15" t="s">
        <v>735</v>
      </c>
      <c r="B443" s="16">
        <v>43081</v>
      </c>
      <c r="C443" s="17" t="s">
        <v>404</v>
      </c>
      <c r="D443" s="17" t="s">
        <v>21</v>
      </c>
      <c r="E443" s="17" t="s">
        <v>191</v>
      </c>
      <c r="F443" s="18">
        <v>7</v>
      </c>
      <c r="G443" s="19">
        <v>3169.1</v>
      </c>
      <c r="H443" s="19">
        <v>22183.7</v>
      </c>
      <c r="I443" s="20">
        <v>2313.4429999999902</v>
      </c>
      <c r="J443" s="17" t="s">
        <v>222</v>
      </c>
      <c r="K443" s="17" t="s">
        <v>223</v>
      </c>
      <c r="L443" s="17" t="s">
        <v>25</v>
      </c>
      <c r="M443" s="19">
        <v>16194.100999999901</v>
      </c>
      <c r="N443" s="19">
        <v>5989.5990000000002</v>
      </c>
      <c r="O443" s="17">
        <v>27</v>
      </c>
      <c r="P443" s="17" t="s">
        <v>26</v>
      </c>
      <c r="Q443" s="17">
        <v>12</v>
      </c>
      <c r="R443" s="17" t="s">
        <v>27</v>
      </c>
      <c r="S443" s="14" t="str">
        <f t="shared" si="6"/>
        <v>Week 2</v>
      </c>
    </row>
    <row r="444" spans="1:19" x14ac:dyDescent="0.3">
      <c r="A444" s="8" t="s">
        <v>736</v>
      </c>
      <c r="B444" s="9">
        <v>43081</v>
      </c>
      <c r="C444" s="10" t="s">
        <v>626</v>
      </c>
      <c r="D444" s="10" t="s">
        <v>21</v>
      </c>
      <c r="E444" s="10" t="s">
        <v>191</v>
      </c>
      <c r="F444" s="11">
        <v>8</v>
      </c>
      <c r="G444" s="12">
        <v>1112.2</v>
      </c>
      <c r="H444" s="12">
        <v>8897.6</v>
      </c>
      <c r="I444" s="13">
        <v>556.1</v>
      </c>
      <c r="J444" s="10" t="s">
        <v>132</v>
      </c>
      <c r="K444" s="10" t="s">
        <v>133</v>
      </c>
      <c r="L444" s="10" t="s">
        <v>34</v>
      </c>
      <c r="M444" s="12">
        <v>4448.8</v>
      </c>
      <c r="N444" s="12">
        <v>4448.8</v>
      </c>
      <c r="O444" s="10">
        <v>50</v>
      </c>
      <c r="P444" s="10" t="s">
        <v>26</v>
      </c>
      <c r="Q444" s="10">
        <v>12</v>
      </c>
      <c r="R444" s="10" t="s">
        <v>27</v>
      </c>
      <c r="S444" s="14" t="str">
        <f t="shared" si="6"/>
        <v>Week 2</v>
      </c>
    </row>
    <row r="445" spans="1:19" x14ac:dyDescent="0.3">
      <c r="A445" s="15" t="s">
        <v>737</v>
      </c>
      <c r="B445" s="16">
        <v>43081</v>
      </c>
      <c r="C445" s="17" t="s">
        <v>374</v>
      </c>
      <c r="D445" s="17" t="s">
        <v>30</v>
      </c>
      <c r="E445" s="17" t="s">
        <v>127</v>
      </c>
      <c r="F445" s="18">
        <v>6</v>
      </c>
      <c r="G445" s="19">
        <v>1922.9</v>
      </c>
      <c r="H445" s="19">
        <v>11537.400000000001</v>
      </c>
      <c r="I445" s="20">
        <v>999.90800000000002</v>
      </c>
      <c r="J445" s="17" t="s">
        <v>116</v>
      </c>
      <c r="K445" s="17" t="s">
        <v>117</v>
      </c>
      <c r="L445" s="17" t="s">
        <v>40</v>
      </c>
      <c r="M445" s="19">
        <v>5999.4480000000003</v>
      </c>
      <c r="N445" s="19">
        <v>5537.9520000000002</v>
      </c>
      <c r="O445" s="17">
        <v>48</v>
      </c>
      <c r="P445" s="17" t="s">
        <v>26</v>
      </c>
      <c r="Q445" s="17">
        <v>12</v>
      </c>
      <c r="R445" s="17" t="s">
        <v>27</v>
      </c>
      <c r="S445" s="14" t="str">
        <f t="shared" si="6"/>
        <v>Week 2</v>
      </c>
    </row>
    <row r="446" spans="1:19" x14ac:dyDescent="0.3">
      <c r="A446" s="8" t="s">
        <v>738</v>
      </c>
      <c r="B446" s="9">
        <v>43081</v>
      </c>
      <c r="C446" s="10" t="s">
        <v>487</v>
      </c>
      <c r="D446" s="10" t="s">
        <v>21</v>
      </c>
      <c r="E446" s="10" t="s">
        <v>93</v>
      </c>
      <c r="F446" s="11">
        <v>5</v>
      </c>
      <c r="G446" s="12">
        <v>2371.8000000000002</v>
      </c>
      <c r="H446" s="12">
        <v>11859</v>
      </c>
      <c r="I446" s="13">
        <v>1043.5920000000001</v>
      </c>
      <c r="J446" s="10" t="s">
        <v>45</v>
      </c>
      <c r="K446" s="10" t="s">
        <v>46</v>
      </c>
      <c r="L446" s="10" t="s">
        <v>34</v>
      </c>
      <c r="M446" s="12">
        <v>5217.96</v>
      </c>
      <c r="N446" s="12">
        <v>6641.03999999999</v>
      </c>
      <c r="O446" s="10">
        <v>55.999999999999901</v>
      </c>
      <c r="P446" s="10" t="s">
        <v>26</v>
      </c>
      <c r="Q446" s="10">
        <v>12</v>
      </c>
      <c r="R446" s="10" t="s">
        <v>27</v>
      </c>
      <c r="S446" s="14" t="str">
        <f t="shared" si="6"/>
        <v>Week 2</v>
      </c>
    </row>
    <row r="447" spans="1:19" x14ac:dyDescent="0.3">
      <c r="A447" s="15" t="s">
        <v>739</v>
      </c>
      <c r="B447" s="16">
        <v>43081</v>
      </c>
      <c r="C447" s="17" t="s">
        <v>367</v>
      </c>
      <c r="D447" s="17" t="s">
        <v>43</v>
      </c>
      <c r="E447" s="17" t="s">
        <v>228</v>
      </c>
      <c r="F447" s="18">
        <v>7</v>
      </c>
      <c r="G447" s="19">
        <v>1943</v>
      </c>
      <c r="H447" s="19">
        <v>13601</v>
      </c>
      <c r="I447" s="20">
        <v>1398.96</v>
      </c>
      <c r="J447" s="17" t="s">
        <v>23</v>
      </c>
      <c r="K447" s="17" t="s">
        <v>24</v>
      </c>
      <c r="L447" s="17" t="s">
        <v>25</v>
      </c>
      <c r="M447" s="19">
        <v>9792.7199999999993</v>
      </c>
      <c r="N447" s="19">
        <v>3808.2799999999902</v>
      </c>
      <c r="O447" s="17">
        <v>27.999999999999901</v>
      </c>
      <c r="P447" s="17" t="s">
        <v>26</v>
      </c>
      <c r="Q447" s="17">
        <v>12</v>
      </c>
      <c r="R447" s="17" t="s">
        <v>27</v>
      </c>
      <c r="S447" s="14" t="str">
        <f t="shared" si="6"/>
        <v>Week 2</v>
      </c>
    </row>
    <row r="448" spans="1:19" x14ac:dyDescent="0.3">
      <c r="A448" s="8" t="s">
        <v>740</v>
      </c>
      <c r="B448" s="9">
        <v>43081</v>
      </c>
      <c r="C448" s="10" t="s">
        <v>217</v>
      </c>
      <c r="D448" s="10" t="s">
        <v>30</v>
      </c>
      <c r="E448" s="10" t="s">
        <v>146</v>
      </c>
      <c r="F448" s="11">
        <v>7</v>
      </c>
      <c r="G448" s="12">
        <v>1916.2</v>
      </c>
      <c r="H448" s="12">
        <v>13413.4</v>
      </c>
      <c r="I448" s="13">
        <v>804.80399999999997</v>
      </c>
      <c r="J448" s="10" t="s">
        <v>257</v>
      </c>
      <c r="K448" s="10" t="s">
        <v>258</v>
      </c>
      <c r="L448" s="10" t="s">
        <v>25</v>
      </c>
      <c r="M448" s="12">
        <v>5633.6279999999997</v>
      </c>
      <c r="N448" s="12">
        <v>7779.7719999999999</v>
      </c>
      <c r="O448" s="10">
        <v>57.999999999999901</v>
      </c>
      <c r="P448" s="10" t="s">
        <v>26</v>
      </c>
      <c r="Q448" s="10">
        <v>12</v>
      </c>
      <c r="R448" s="10" t="s">
        <v>27</v>
      </c>
      <c r="S448" s="14" t="str">
        <f t="shared" si="6"/>
        <v>Week 2</v>
      </c>
    </row>
    <row r="449" spans="1:19" x14ac:dyDescent="0.3">
      <c r="A449" s="15" t="s">
        <v>741</v>
      </c>
      <c r="B449" s="16">
        <v>43081</v>
      </c>
      <c r="C449" s="17" t="s">
        <v>487</v>
      </c>
      <c r="D449" s="17" t="s">
        <v>21</v>
      </c>
      <c r="E449" s="17" t="s">
        <v>37</v>
      </c>
      <c r="F449" s="18">
        <v>7</v>
      </c>
      <c r="G449" s="19">
        <v>1989.9</v>
      </c>
      <c r="H449" s="19">
        <v>13929.300000000001</v>
      </c>
      <c r="I449" s="20">
        <v>1114.3440000000001</v>
      </c>
      <c r="J449" s="17" t="s">
        <v>69</v>
      </c>
      <c r="K449" s="17" t="s">
        <v>70</v>
      </c>
      <c r="L449" s="17" t="s">
        <v>25</v>
      </c>
      <c r="M449" s="19">
        <v>7800.4080000000004</v>
      </c>
      <c r="N449" s="19">
        <v>6128.8919999999998</v>
      </c>
      <c r="O449" s="17">
        <v>44</v>
      </c>
      <c r="P449" s="17" t="s">
        <v>26</v>
      </c>
      <c r="Q449" s="17">
        <v>12</v>
      </c>
      <c r="R449" s="17" t="s">
        <v>27</v>
      </c>
      <c r="S449" s="14" t="str">
        <f t="shared" si="6"/>
        <v>Week 2</v>
      </c>
    </row>
    <row r="450" spans="1:19" x14ac:dyDescent="0.3">
      <c r="A450" s="8" t="s">
        <v>742</v>
      </c>
      <c r="B450" s="9">
        <v>43081</v>
      </c>
      <c r="C450" s="10" t="s">
        <v>126</v>
      </c>
      <c r="D450" s="10" t="s">
        <v>21</v>
      </c>
      <c r="E450" s="10" t="s">
        <v>31</v>
      </c>
      <c r="F450" s="11">
        <v>6</v>
      </c>
      <c r="G450" s="12">
        <v>3892.7</v>
      </c>
      <c r="H450" s="12">
        <v>23356.199999999997</v>
      </c>
      <c r="I450" s="13">
        <v>2880.598</v>
      </c>
      <c r="J450" s="10" t="s">
        <v>54</v>
      </c>
      <c r="K450" s="10" t="s">
        <v>55</v>
      </c>
      <c r="L450" s="10" t="s">
        <v>56</v>
      </c>
      <c r="M450" s="12">
        <v>17283.588</v>
      </c>
      <c r="N450" s="12">
        <v>6072.6120000000001</v>
      </c>
      <c r="O450" s="10">
        <v>26</v>
      </c>
      <c r="P450" s="10" t="s">
        <v>26</v>
      </c>
      <c r="Q450" s="10">
        <v>12</v>
      </c>
      <c r="R450" s="10" t="s">
        <v>27</v>
      </c>
      <c r="S450" s="14" t="str">
        <f t="shared" si="6"/>
        <v>Week 2</v>
      </c>
    </row>
    <row r="451" spans="1:19" x14ac:dyDescent="0.3">
      <c r="A451" s="15" t="s">
        <v>743</v>
      </c>
      <c r="B451" s="16">
        <v>43081</v>
      </c>
      <c r="C451" s="17" t="s">
        <v>474</v>
      </c>
      <c r="D451" s="17" t="s">
        <v>21</v>
      </c>
      <c r="E451" s="17" t="s">
        <v>80</v>
      </c>
      <c r="F451" s="18">
        <v>10</v>
      </c>
      <c r="G451" s="19">
        <v>703.5</v>
      </c>
      <c r="H451" s="19">
        <v>7035</v>
      </c>
      <c r="I451" s="20">
        <v>464.31</v>
      </c>
      <c r="J451" s="17" t="s">
        <v>54</v>
      </c>
      <c r="K451" s="17" t="s">
        <v>55</v>
      </c>
      <c r="L451" s="17" t="s">
        <v>56</v>
      </c>
      <c r="M451" s="19">
        <v>4643.1000000000004</v>
      </c>
      <c r="N451" s="19">
        <v>2391.8999999999901</v>
      </c>
      <c r="O451" s="17">
        <v>34</v>
      </c>
      <c r="P451" s="17" t="s">
        <v>26</v>
      </c>
      <c r="Q451" s="17">
        <v>12</v>
      </c>
      <c r="R451" s="17" t="s">
        <v>27</v>
      </c>
      <c r="S451" s="14" t="str">
        <f t="shared" ref="S451:S514" si="7">"Week "&amp;INT((DAY(B451)-1)/7)+1</f>
        <v>Week 2</v>
      </c>
    </row>
    <row r="452" spans="1:19" x14ac:dyDescent="0.3">
      <c r="A452" s="8" t="s">
        <v>744</v>
      </c>
      <c r="B452" s="9">
        <v>43081</v>
      </c>
      <c r="C452" s="10" t="s">
        <v>519</v>
      </c>
      <c r="D452" s="10" t="s">
        <v>21</v>
      </c>
      <c r="E452" s="10" t="s">
        <v>228</v>
      </c>
      <c r="F452" s="11">
        <v>11</v>
      </c>
      <c r="G452" s="12">
        <v>944.7</v>
      </c>
      <c r="H452" s="12">
        <v>10391.700000000001</v>
      </c>
      <c r="I452" s="13">
        <v>765.20699999999999</v>
      </c>
      <c r="J452" s="10" t="s">
        <v>54</v>
      </c>
      <c r="K452" s="10" t="s">
        <v>55</v>
      </c>
      <c r="L452" s="10" t="s">
        <v>56</v>
      </c>
      <c r="M452" s="12">
        <v>8417.277</v>
      </c>
      <c r="N452" s="12">
        <v>1974.42299999999</v>
      </c>
      <c r="O452" s="10">
        <v>18.999999999999901</v>
      </c>
      <c r="P452" s="10" t="s">
        <v>26</v>
      </c>
      <c r="Q452" s="10">
        <v>12</v>
      </c>
      <c r="R452" s="10" t="s">
        <v>27</v>
      </c>
      <c r="S452" s="14" t="str">
        <f t="shared" si="7"/>
        <v>Week 2</v>
      </c>
    </row>
    <row r="453" spans="1:19" x14ac:dyDescent="0.3">
      <c r="A453" s="15" t="s">
        <v>745</v>
      </c>
      <c r="B453" s="16">
        <v>43081</v>
      </c>
      <c r="C453" s="17" t="s">
        <v>746</v>
      </c>
      <c r="D453" s="17" t="s">
        <v>21</v>
      </c>
      <c r="E453" s="17" t="s">
        <v>31</v>
      </c>
      <c r="F453" s="18">
        <v>6</v>
      </c>
      <c r="G453" s="19">
        <v>2432.1</v>
      </c>
      <c r="H453" s="19">
        <v>14592.599999999999</v>
      </c>
      <c r="I453" s="20">
        <v>1361.9760000000001</v>
      </c>
      <c r="J453" s="17" t="s">
        <v>54</v>
      </c>
      <c r="K453" s="17" t="s">
        <v>55</v>
      </c>
      <c r="L453" s="17" t="s">
        <v>56</v>
      </c>
      <c r="M453" s="19">
        <v>8171.8559999999998</v>
      </c>
      <c r="N453" s="19">
        <v>6420.7439999999897</v>
      </c>
      <c r="O453" s="17">
        <v>43.999999999999901</v>
      </c>
      <c r="P453" s="17" t="s">
        <v>26</v>
      </c>
      <c r="Q453" s="17">
        <v>12</v>
      </c>
      <c r="R453" s="17" t="s">
        <v>27</v>
      </c>
      <c r="S453" s="14" t="str">
        <f t="shared" si="7"/>
        <v>Week 2</v>
      </c>
    </row>
    <row r="454" spans="1:19" x14ac:dyDescent="0.3">
      <c r="A454" s="8" t="s">
        <v>747</v>
      </c>
      <c r="B454" s="9">
        <v>43081</v>
      </c>
      <c r="C454" s="10" t="s">
        <v>646</v>
      </c>
      <c r="D454" s="10" t="s">
        <v>30</v>
      </c>
      <c r="E454" s="10" t="s">
        <v>127</v>
      </c>
      <c r="F454" s="11">
        <v>9</v>
      </c>
      <c r="G454" s="12">
        <v>1159.0999999999999</v>
      </c>
      <c r="H454" s="12">
        <v>10431.9</v>
      </c>
      <c r="I454" s="13">
        <v>811.37</v>
      </c>
      <c r="J454" s="10" t="s">
        <v>38</v>
      </c>
      <c r="K454" s="10" t="s">
        <v>39</v>
      </c>
      <c r="L454" s="10" t="s">
        <v>40</v>
      </c>
      <c r="M454" s="12">
        <v>7302.33</v>
      </c>
      <c r="N454" s="12">
        <v>3129.57</v>
      </c>
      <c r="O454" s="10">
        <v>30</v>
      </c>
      <c r="P454" s="10" t="s">
        <v>26</v>
      </c>
      <c r="Q454" s="10">
        <v>12</v>
      </c>
      <c r="R454" s="10" t="s">
        <v>27</v>
      </c>
      <c r="S454" s="14" t="str">
        <f t="shared" si="7"/>
        <v>Week 2</v>
      </c>
    </row>
    <row r="455" spans="1:19" x14ac:dyDescent="0.3">
      <c r="A455" s="15" t="s">
        <v>748</v>
      </c>
      <c r="B455" s="16">
        <v>43081</v>
      </c>
      <c r="C455" s="17" t="s">
        <v>124</v>
      </c>
      <c r="D455" s="17" t="s">
        <v>21</v>
      </c>
      <c r="E455" s="17" t="s">
        <v>120</v>
      </c>
      <c r="F455" s="18">
        <v>6</v>
      </c>
      <c r="G455" s="19">
        <v>1078.7</v>
      </c>
      <c r="H455" s="19">
        <v>6472.2000000000007</v>
      </c>
      <c r="I455" s="20">
        <v>506.98899999999998</v>
      </c>
      <c r="J455" s="17" t="s">
        <v>94</v>
      </c>
      <c r="K455" s="17" t="s">
        <v>95</v>
      </c>
      <c r="L455" s="17" t="s">
        <v>40</v>
      </c>
      <c r="M455" s="19">
        <v>3041.9339999999902</v>
      </c>
      <c r="N455" s="19">
        <v>3430.2660000000001</v>
      </c>
      <c r="O455" s="17">
        <v>53</v>
      </c>
      <c r="P455" s="17" t="s">
        <v>26</v>
      </c>
      <c r="Q455" s="17">
        <v>12</v>
      </c>
      <c r="R455" s="17" t="s">
        <v>27</v>
      </c>
      <c r="S455" s="14" t="str">
        <f t="shared" si="7"/>
        <v>Week 2</v>
      </c>
    </row>
    <row r="456" spans="1:19" x14ac:dyDescent="0.3">
      <c r="A456" s="8" t="s">
        <v>749</v>
      </c>
      <c r="B456" s="9">
        <v>43081</v>
      </c>
      <c r="C456" s="10" t="s">
        <v>66</v>
      </c>
      <c r="D456" s="10" t="s">
        <v>43</v>
      </c>
      <c r="E456" s="10" t="s">
        <v>265</v>
      </c>
      <c r="F456" s="11">
        <v>10</v>
      </c>
      <c r="G456" s="12">
        <v>1031.8</v>
      </c>
      <c r="H456" s="12">
        <v>10318</v>
      </c>
      <c r="I456" s="13">
        <v>546.85400000000004</v>
      </c>
      <c r="J456" s="10" t="s">
        <v>54</v>
      </c>
      <c r="K456" s="10" t="s">
        <v>55</v>
      </c>
      <c r="L456" s="10" t="s">
        <v>56</v>
      </c>
      <c r="M456" s="12">
        <v>5468.54</v>
      </c>
      <c r="N456" s="12">
        <v>4849.45999999999</v>
      </c>
      <c r="O456" s="10">
        <v>46.999999999999901</v>
      </c>
      <c r="P456" s="10" t="s">
        <v>26</v>
      </c>
      <c r="Q456" s="10">
        <v>12</v>
      </c>
      <c r="R456" s="10" t="s">
        <v>27</v>
      </c>
      <c r="S456" s="14" t="str">
        <f t="shared" si="7"/>
        <v>Week 2</v>
      </c>
    </row>
    <row r="457" spans="1:19" x14ac:dyDescent="0.3">
      <c r="A457" s="15" t="s">
        <v>750</v>
      </c>
      <c r="B457" s="16">
        <v>43081</v>
      </c>
      <c r="C457" s="17" t="s">
        <v>468</v>
      </c>
      <c r="D457" s="17" t="s">
        <v>21</v>
      </c>
      <c r="E457" s="17" t="s">
        <v>149</v>
      </c>
      <c r="F457" s="18">
        <v>11</v>
      </c>
      <c r="G457" s="19">
        <v>3390.2</v>
      </c>
      <c r="H457" s="19">
        <v>37292.199999999997</v>
      </c>
      <c r="I457" s="20">
        <v>1729.002</v>
      </c>
      <c r="J457" s="17" t="s">
        <v>54</v>
      </c>
      <c r="K457" s="17" t="s">
        <v>55</v>
      </c>
      <c r="L457" s="17" t="s">
        <v>56</v>
      </c>
      <c r="M457" s="19">
        <v>19019.022000000001</v>
      </c>
      <c r="N457" s="19">
        <v>18273.178</v>
      </c>
      <c r="O457" s="17">
        <v>49</v>
      </c>
      <c r="P457" s="17" t="s">
        <v>26</v>
      </c>
      <c r="Q457" s="17">
        <v>12</v>
      </c>
      <c r="R457" s="17" t="s">
        <v>27</v>
      </c>
      <c r="S457" s="14" t="str">
        <f t="shared" si="7"/>
        <v>Week 2</v>
      </c>
    </row>
    <row r="458" spans="1:19" x14ac:dyDescent="0.3">
      <c r="A458" s="8" t="s">
        <v>628</v>
      </c>
      <c r="B458" s="9">
        <v>43081</v>
      </c>
      <c r="C458" s="10" t="s">
        <v>474</v>
      </c>
      <c r="D458" s="10" t="s">
        <v>21</v>
      </c>
      <c r="E458" s="10" t="s">
        <v>31</v>
      </c>
      <c r="F458" s="11">
        <v>6</v>
      </c>
      <c r="G458" s="12">
        <v>2445.5</v>
      </c>
      <c r="H458" s="12">
        <v>14673</v>
      </c>
      <c r="I458" s="13">
        <v>1980.855</v>
      </c>
      <c r="J458" s="10" t="s">
        <v>177</v>
      </c>
      <c r="K458" s="10" t="s">
        <v>178</v>
      </c>
      <c r="L458" s="10" t="s">
        <v>40</v>
      </c>
      <c r="M458" s="12">
        <v>11885.13</v>
      </c>
      <c r="N458" s="12">
        <v>2787.8699999999899</v>
      </c>
      <c r="O458" s="10">
        <v>18.999999999999901</v>
      </c>
      <c r="P458" s="10" t="s">
        <v>26</v>
      </c>
      <c r="Q458" s="10">
        <v>12</v>
      </c>
      <c r="R458" s="10" t="s">
        <v>27</v>
      </c>
      <c r="S458" s="14" t="str">
        <f t="shared" si="7"/>
        <v>Week 2</v>
      </c>
    </row>
    <row r="459" spans="1:19" x14ac:dyDescent="0.3">
      <c r="A459" s="15" t="s">
        <v>751</v>
      </c>
      <c r="B459" s="16">
        <v>43081</v>
      </c>
      <c r="C459" s="17" t="s">
        <v>594</v>
      </c>
      <c r="D459" s="17" t="s">
        <v>30</v>
      </c>
      <c r="E459" s="17" t="s">
        <v>230</v>
      </c>
      <c r="F459" s="18">
        <v>6</v>
      </c>
      <c r="G459" s="19">
        <v>3993.2</v>
      </c>
      <c r="H459" s="19">
        <v>23959.199999999997</v>
      </c>
      <c r="I459" s="20">
        <v>1677.144</v>
      </c>
      <c r="J459" s="17" t="s">
        <v>204</v>
      </c>
      <c r="K459" s="17" t="s">
        <v>205</v>
      </c>
      <c r="L459" s="17" t="s">
        <v>34</v>
      </c>
      <c r="M459" s="19">
        <v>10062.864</v>
      </c>
      <c r="N459" s="19">
        <v>13896.335999999999</v>
      </c>
      <c r="O459" s="17">
        <v>58</v>
      </c>
      <c r="P459" s="17" t="s">
        <v>26</v>
      </c>
      <c r="Q459" s="17">
        <v>12</v>
      </c>
      <c r="R459" s="17" t="s">
        <v>27</v>
      </c>
      <c r="S459" s="14" t="str">
        <f t="shared" si="7"/>
        <v>Week 2</v>
      </c>
    </row>
    <row r="460" spans="1:19" x14ac:dyDescent="0.3">
      <c r="A460" s="8" t="s">
        <v>752</v>
      </c>
      <c r="B460" s="9">
        <v>43081</v>
      </c>
      <c r="C460" s="10" t="s">
        <v>297</v>
      </c>
      <c r="D460" s="10" t="s">
        <v>30</v>
      </c>
      <c r="E460" s="10" t="s">
        <v>49</v>
      </c>
      <c r="F460" s="11">
        <v>5</v>
      </c>
      <c r="G460" s="12">
        <v>1065.3</v>
      </c>
      <c r="H460" s="12">
        <v>5326.5</v>
      </c>
      <c r="I460" s="13">
        <v>703.09799999999996</v>
      </c>
      <c r="J460" s="10" t="s">
        <v>225</v>
      </c>
      <c r="K460" s="10" t="s">
        <v>226</v>
      </c>
      <c r="L460" s="10" t="s">
        <v>25</v>
      </c>
      <c r="M460" s="12">
        <v>3515.49</v>
      </c>
      <c r="N460" s="12">
        <v>1811.01</v>
      </c>
      <c r="O460" s="10">
        <v>34</v>
      </c>
      <c r="P460" s="10" t="s">
        <v>26</v>
      </c>
      <c r="Q460" s="10">
        <v>12</v>
      </c>
      <c r="R460" s="10" t="s">
        <v>27</v>
      </c>
      <c r="S460" s="14" t="str">
        <f t="shared" si="7"/>
        <v>Week 2</v>
      </c>
    </row>
    <row r="461" spans="1:19" x14ac:dyDescent="0.3">
      <c r="A461" s="15" t="s">
        <v>753</v>
      </c>
      <c r="B461" s="16">
        <v>43081</v>
      </c>
      <c r="C461" s="17" t="s">
        <v>754</v>
      </c>
      <c r="D461" s="17" t="s">
        <v>43</v>
      </c>
      <c r="E461" s="17" t="s">
        <v>103</v>
      </c>
      <c r="F461" s="18">
        <v>11</v>
      </c>
      <c r="G461" s="19">
        <v>5165.7</v>
      </c>
      <c r="H461" s="19">
        <v>56822.7</v>
      </c>
      <c r="I461" s="20">
        <v>2996.1059999999902</v>
      </c>
      <c r="J461" s="17" t="s">
        <v>121</v>
      </c>
      <c r="K461" s="17" t="s">
        <v>122</v>
      </c>
      <c r="L461" s="17" t="s">
        <v>34</v>
      </c>
      <c r="M461" s="19">
        <v>32957.165999999997</v>
      </c>
      <c r="N461" s="19">
        <v>23865.534</v>
      </c>
      <c r="O461" s="17">
        <v>42</v>
      </c>
      <c r="P461" s="17" t="s">
        <v>26</v>
      </c>
      <c r="Q461" s="17">
        <v>12</v>
      </c>
      <c r="R461" s="17" t="s">
        <v>27</v>
      </c>
      <c r="S461" s="14" t="str">
        <f t="shared" si="7"/>
        <v>Week 2</v>
      </c>
    </row>
    <row r="462" spans="1:19" x14ac:dyDescent="0.3">
      <c r="A462" s="8" t="s">
        <v>755</v>
      </c>
      <c r="B462" s="9">
        <v>43081</v>
      </c>
      <c r="C462" s="10" t="s">
        <v>519</v>
      </c>
      <c r="D462" s="10" t="s">
        <v>43</v>
      </c>
      <c r="E462" s="10" t="s">
        <v>197</v>
      </c>
      <c r="F462" s="11">
        <v>7</v>
      </c>
      <c r="G462" s="12">
        <v>2345</v>
      </c>
      <c r="H462" s="12">
        <v>16415</v>
      </c>
      <c r="I462" s="13">
        <v>1664.94999999999</v>
      </c>
      <c r="J462" s="10" t="s">
        <v>76</v>
      </c>
      <c r="K462" s="10" t="s">
        <v>77</v>
      </c>
      <c r="L462" s="10" t="s">
        <v>56</v>
      </c>
      <c r="M462" s="12">
        <v>11654.6499999999</v>
      </c>
      <c r="N462" s="12">
        <v>4760.3500000000004</v>
      </c>
      <c r="O462" s="10">
        <v>29</v>
      </c>
      <c r="P462" s="10" t="s">
        <v>26</v>
      </c>
      <c r="Q462" s="10">
        <v>12</v>
      </c>
      <c r="R462" s="10" t="s">
        <v>27</v>
      </c>
      <c r="S462" s="14" t="str">
        <f t="shared" si="7"/>
        <v>Week 2</v>
      </c>
    </row>
    <row r="463" spans="1:19" x14ac:dyDescent="0.3">
      <c r="A463" s="15" t="s">
        <v>756</v>
      </c>
      <c r="B463" s="16">
        <v>43081</v>
      </c>
      <c r="C463" s="17" t="s">
        <v>172</v>
      </c>
      <c r="D463" s="17" t="s">
        <v>21</v>
      </c>
      <c r="E463" s="17" t="s">
        <v>103</v>
      </c>
      <c r="F463" s="18">
        <v>11</v>
      </c>
      <c r="G463" s="19">
        <v>1051.9000000000001</v>
      </c>
      <c r="H463" s="19">
        <v>11570.900000000001</v>
      </c>
      <c r="I463" s="20">
        <v>683.73500000000001</v>
      </c>
      <c r="J463" s="17" t="s">
        <v>536</v>
      </c>
      <c r="K463" s="17" t="s">
        <v>537</v>
      </c>
      <c r="L463" s="17" t="s">
        <v>25</v>
      </c>
      <c r="M463" s="19">
        <v>7521.085</v>
      </c>
      <c r="N463" s="19">
        <v>4049.8150000000001</v>
      </c>
      <c r="O463" s="17">
        <v>35</v>
      </c>
      <c r="P463" s="17" t="s">
        <v>26</v>
      </c>
      <c r="Q463" s="17">
        <v>12</v>
      </c>
      <c r="R463" s="17" t="s">
        <v>27</v>
      </c>
      <c r="S463" s="14" t="str">
        <f t="shared" si="7"/>
        <v>Week 2</v>
      </c>
    </row>
    <row r="464" spans="1:19" x14ac:dyDescent="0.3">
      <c r="A464" s="8" t="s">
        <v>757</v>
      </c>
      <c r="B464" s="9">
        <v>43081</v>
      </c>
      <c r="C464" s="10" t="s">
        <v>414</v>
      </c>
      <c r="D464" s="10" t="s">
        <v>21</v>
      </c>
      <c r="E464" s="10" t="s">
        <v>73</v>
      </c>
      <c r="F464" s="11">
        <v>9</v>
      </c>
      <c r="G464" s="12">
        <v>2505.8000000000002</v>
      </c>
      <c r="H464" s="12">
        <v>22552.2</v>
      </c>
      <c r="I464" s="13">
        <v>1077.4939999999999</v>
      </c>
      <c r="J464" s="10" t="s">
        <v>54</v>
      </c>
      <c r="K464" s="10" t="s">
        <v>55</v>
      </c>
      <c r="L464" s="10" t="s">
        <v>56</v>
      </c>
      <c r="M464" s="12">
        <v>9697.4459999999999</v>
      </c>
      <c r="N464" s="12">
        <v>12854.753999999901</v>
      </c>
      <c r="O464" s="10">
        <v>56.999999999999901</v>
      </c>
      <c r="P464" s="10" t="s">
        <v>26</v>
      </c>
      <c r="Q464" s="10">
        <v>12</v>
      </c>
      <c r="R464" s="10" t="s">
        <v>27</v>
      </c>
      <c r="S464" s="14" t="str">
        <f t="shared" si="7"/>
        <v>Week 2</v>
      </c>
    </row>
    <row r="465" spans="1:19" x14ac:dyDescent="0.3">
      <c r="A465" s="15" t="s">
        <v>758</v>
      </c>
      <c r="B465" s="16">
        <v>43081</v>
      </c>
      <c r="C465" s="17" t="s">
        <v>626</v>
      </c>
      <c r="D465" s="17" t="s">
        <v>30</v>
      </c>
      <c r="E465" s="17" t="s">
        <v>418</v>
      </c>
      <c r="F465" s="18">
        <v>5</v>
      </c>
      <c r="G465" s="19">
        <v>167.5</v>
      </c>
      <c r="H465" s="19">
        <v>837.5</v>
      </c>
      <c r="I465" s="20">
        <v>73.7</v>
      </c>
      <c r="J465" s="17" t="s">
        <v>436</v>
      </c>
      <c r="K465" s="17" t="s">
        <v>437</v>
      </c>
      <c r="L465" s="17" t="s">
        <v>25</v>
      </c>
      <c r="M465" s="19">
        <v>368.5</v>
      </c>
      <c r="N465" s="19">
        <v>469</v>
      </c>
      <c r="O465" s="17">
        <v>56</v>
      </c>
      <c r="P465" s="17" t="s">
        <v>26</v>
      </c>
      <c r="Q465" s="17">
        <v>12</v>
      </c>
      <c r="R465" s="17" t="s">
        <v>27</v>
      </c>
      <c r="S465" s="14" t="str">
        <f t="shared" si="7"/>
        <v>Week 2</v>
      </c>
    </row>
    <row r="466" spans="1:19" x14ac:dyDescent="0.3">
      <c r="A466" s="8" t="s">
        <v>759</v>
      </c>
      <c r="B466" s="9">
        <v>43081</v>
      </c>
      <c r="C466" s="10" t="s">
        <v>211</v>
      </c>
      <c r="D466" s="10" t="s">
        <v>30</v>
      </c>
      <c r="E466" s="10" t="s">
        <v>37</v>
      </c>
      <c r="F466" s="11">
        <v>6</v>
      </c>
      <c r="G466" s="12">
        <v>3832.4</v>
      </c>
      <c r="H466" s="12">
        <v>22994.400000000001</v>
      </c>
      <c r="I466" s="13">
        <v>3104.2440000000001</v>
      </c>
      <c r="J466" s="10" t="s">
        <v>32</v>
      </c>
      <c r="K466" s="10" t="s">
        <v>33</v>
      </c>
      <c r="L466" s="10" t="s">
        <v>34</v>
      </c>
      <c r="M466" s="12">
        <v>18625.464</v>
      </c>
      <c r="N466" s="12">
        <v>4368.9359999999997</v>
      </c>
      <c r="O466" s="10">
        <v>19</v>
      </c>
      <c r="P466" s="10" t="s">
        <v>26</v>
      </c>
      <c r="Q466" s="10">
        <v>12</v>
      </c>
      <c r="R466" s="10" t="s">
        <v>27</v>
      </c>
      <c r="S466" s="14" t="str">
        <f t="shared" si="7"/>
        <v>Week 2</v>
      </c>
    </row>
    <row r="467" spans="1:19" x14ac:dyDescent="0.3">
      <c r="A467" s="15" t="s">
        <v>760</v>
      </c>
      <c r="B467" s="16">
        <v>43082</v>
      </c>
      <c r="C467" s="17" t="s">
        <v>211</v>
      </c>
      <c r="D467" s="17" t="s">
        <v>30</v>
      </c>
      <c r="E467" s="17" t="s">
        <v>228</v>
      </c>
      <c r="F467" s="18">
        <v>10</v>
      </c>
      <c r="G467" s="19">
        <v>2706.8</v>
      </c>
      <c r="H467" s="19">
        <v>27068</v>
      </c>
      <c r="I467" s="20">
        <v>1651.1479999999999</v>
      </c>
      <c r="J467" s="17" t="s">
        <v>761</v>
      </c>
      <c r="K467" s="17" t="s">
        <v>762</v>
      </c>
      <c r="L467" s="17" t="s">
        <v>34</v>
      </c>
      <c r="M467" s="19">
        <v>16511.48</v>
      </c>
      <c r="N467" s="19">
        <v>10556.5199999999</v>
      </c>
      <c r="O467" s="17">
        <v>38.999999999999901</v>
      </c>
      <c r="P467" s="17" t="s">
        <v>26</v>
      </c>
      <c r="Q467" s="17">
        <v>12</v>
      </c>
      <c r="R467" s="17" t="s">
        <v>27</v>
      </c>
      <c r="S467" s="14" t="str">
        <f t="shared" si="7"/>
        <v>Week 2</v>
      </c>
    </row>
    <row r="468" spans="1:19" x14ac:dyDescent="0.3">
      <c r="A468" s="8" t="s">
        <v>763</v>
      </c>
      <c r="B468" s="9">
        <v>43082</v>
      </c>
      <c r="C468" s="10" t="s">
        <v>354</v>
      </c>
      <c r="D468" s="10" t="s">
        <v>30</v>
      </c>
      <c r="E468" s="10" t="s">
        <v>91</v>
      </c>
      <c r="F468" s="11">
        <v>6</v>
      </c>
      <c r="G468" s="12">
        <v>2378.5</v>
      </c>
      <c r="H468" s="12">
        <v>14271</v>
      </c>
      <c r="I468" s="13">
        <v>1236.82</v>
      </c>
      <c r="J468" s="10" t="s">
        <v>177</v>
      </c>
      <c r="K468" s="10" t="s">
        <v>178</v>
      </c>
      <c r="L468" s="10" t="s">
        <v>40</v>
      </c>
      <c r="M468" s="12">
        <v>7420.92</v>
      </c>
      <c r="N468" s="12">
        <v>6850.08</v>
      </c>
      <c r="O468" s="10">
        <v>48</v>
      </c>
      <c r="P468" s="10" t="s">
        <v>26</v>
      </c>
      <c r="Q468" s="10">
        <v>12</v>
      </c>
      <c r="R468" s="10" t="s">
        <v>27</v>
      </c>
      <c r="S468" s="14" t="str">
        <f t="shared" si="7"/>
        <v>Week 2</v>
      </c>
    </row>
    <row r="469" spans="1:19" x14ac:dyDescent="0.3">
      <c r="A469" s="15" t="s">
        <v>764</v>
      </c>
      <c r="B469" s="16">
        <v>43082</v>
      </c>
      <c r="C469" s="17" t="s">
        <v>384</v>
      </c>
      <c r="D469" s="17" t="s">
        <v>30</v>
      </c>
      <c r="E469" s="17" t="s">
        <v>110</v>
      </c>
      <c r="F469" s="18">
        <v>10</v>
      </c>
      <c r="G469" s="19">
        <v>268</v>
      </c>
      <c r="H469" s="19">
        <v>2680</v>
      </c>
      <c r="I469" s="20">
        <v>198.32</v>
      </c>
      <c r="J469" s="17" t="s">
        <v>23</v>
      </c>
      <c r="K469" s="17" t="s">
        <v>24</v>
      </c>
      <c r="L469" s="17" t="s">
        <v>25</v>
      </c>
      <c r="M469" s="19">
        <v>1983.19999999999</v>
      </c>
      <c r="N469" s="19">
        <v>696.8</v>
      </c>
      <c r="O469" s="17">
        <v>26</v>
      </c>
      <c r="P469" s="17" t="s">
        <v>26</v>
      </c>
      <c r="Q469" s="17">
        <v>12</v>
      </c>
      <c r="R469" s="17" t="s">
        <v>27</v>
      </c>
      <c r="S469" s="14" t="str">
        <f t="shared" si="7"/>
        <v>Week 2</v>
      </c>
    </row>
    <row r="470" spans="1:19" x14ac:dyDescent="0.3">
      <c r="A470" s="8" t="s">
        <v>765</v>
      </c>
      <c r="B470" s="9">
        <v>43082</v>
      </c>
      <c r="C470" s="10" t="s">
        <v>389</v>
      </c>
      <c r="D470" s="10" t="s">
        <v>21</v>
      </c>
      <c r="E470" s="10" t="s">
        <v>103</v>
      </c>
      <c r="F470" s="11">
        <v>7</v>
      </c>
      <c r="G470" s="12">
        <v>1005</v>
      </c>
      <c r="H470" s="12">
        <v>7035</v>
      </c>
      <c r="I470" s="13">
        <v>432.15</v>
      </c>
      <c r="J470" s="10" t="s">
        <v>766</v>
      </c>
      <c r="K470" s="10" t="s">
        <v>767</v>
      </c>
      <c r="L470" s="10" t="s">
        <v>56</v>
      </c>
      <c r="M470" s="12">
        <v>3025.0499999999902</v>
      </c>
      <c r="N470" s="12">
        <v>4009.95</v>
      </c>
      <c r="O470" s="10">
        <v>57</v>
      </c>
      <c r="P470" s="10" t="s">
        <v>26</v>
      </c>
      <c r="Q470" s="10">
        <v>12</v>
      </c>
      <c r="R470" s="10" t="s">
        <v>27</v>
      </c>
      <c r="S470" s="14" t="str">
        <f t="shared" si="7"/>
        <v>Week 2</v>
      </c>
    </row>
    <row r="471" spans="1:19" x14ac:dyDescent="0.3">
      <c r="A471" s="15" t="s">
        <v>768</v>
      </c>
      <c r="B471" s="16">
        <v>43082</v>
      </c>
      <c r="C471" s="17" t="s">
        <v>282</v>
      </c>
      <c r="D471" s="17" t="s">
        <v>21</v>
      </c>
      <c r="E471" s="17" t="s">
        <v>252</v>
      </c>
      <c r="F471" s="18">
        <v>10</v>
      </c>
      <c r="G471" s="19">
        <v>1896.1</v>
      </c>
      <c r="H471" s="19">
        <v>18961</v>
      </c>
      <c r="I471" s="20">
        <v>1611.6849999999999</v>
      </c>
      <c r="J471" s="17" t="s">
        <v>54</v>
      </c>
      <c r="K471" s="17" t="s">
        <v>55</v>
      </c>
      <c r="L471" s="17" t="s">
        <v>56</v>
      </c>
      <c r="M471" s="19">
        <v>16116.85</v>
      </c>
      <c r="N471" s="19">
        <v>2844.1499999999901</v>
      </c>
      <c r="O471" s="17">
        <v>14.999999999999901</v>
      </c>
      <c r="P471" s="17" t="s">
        <v>26</v>
      </c>
      <c r="Q471" s="17">
        <v>12</v>
      </c>
      <c r="R471" s="17" t="s">
        <v>27</v>
      </c>
      <c r="S471" s="14" t="str">
        <f t="shared" si="7"/>
        <v>Week 2</v>
      </c>
    </row>
    <row r="472" spans="1:19" x14ac:dyDescent="0.3">
      <c r="A472" s="8" t="s">
        <v>769</v>
      </c>
      <c r="B472" s="9">
        <v>43082</v>
      </c>
      <c r="C472" s="10" t="s">
        <v>308</v>
      </c>
      <c r="D472" s="10" t="s">
        <v>21</v>
      </c>
      <c r="E472" s="10" t="s">
        <v>44</v>
      </c>
      <c r="F472" s="11">
        <v>11</v>
      </c>
      <c r="G472" s="12">
        <v>2378.5</v>
      </c>
      <c r="H472" s="12">
        <v>26163.5</v>
      </c>
      <c r="I472" s="13">
        <v>1403.3149999999901</v>
      </c>
      <c r="J472" s="10" t="s">
        <v>45</v>
      </c>
      <c r="K472" s="10" t="s">
        <v>46</v>
      </c>
      <c r="L472" s="10" t="s">
        <v>34</v>
      </c>
      <c r="M472" s="12">
        <v>15436.4649999999</v>
      </c>
      <c r="N472" s="12">
        <v>10727.035</v>
      </c>
      <c r="O472" s="10">
        <v>41</v>
      </c>
      <c r="P472" s="10" t="s">
        <v>26</v>
      </c>
      <c r="Q472" s="10">
        <v>12</v>
      </c>
      <c r="R472" s="10" t="s">
        <v>27</v>
      </c>
      <c r="S472" s="14" t="str">
        <f t="shared" si="7"/>
        <v>Week 2</v>
      </c>
    </row>
    <row r="473" spans="1:19" x14ac:dyDescent="0.3">
      <c r="A473" s="15" t="s">
        <v>770</v>
      </c>
      <c r="B473" s="16">
        <v>43082</v>
      </c>
      <c r="C473" s="17" t="s">
        <v>308</v>
      </c>
      <c r="D473" s="17" t="s">
        <v>30</v>
      </c>
      <c r="E473" s="17" t="s">
        <v>93</v>
      </c>
      <c r="F473" s="18">
        <v>6</v>
      </c>
      <c r="G473" s="19">
        <v>268</v>
      </c>
      <c r="H473" s="19">
        <v>1608</v>
      </c>
      <c r="I473" s="20">
        <v>171.52</v>
      </c>
      <c r="J473" s="17" t="s">
        <v>54</v>
      </c>
      <c r="K473" s="17" t="s">
        <v>55</v>
      </c>
      <c r="L473" s="17" t="s">
        <v>56</v>
      </c>
      <c r="M473" s="19">
        <v>1029.1199999999999</v>
      </c>
      <c r="N473" s="19">
        <v>578.87999999999897</v>
      </c>
      <c r="O473" s="17">
        <v>35.999999999999901</v>
      </c>
      <c r="P473" s="17" t="s">
        <v>26</v>
      </c>
      <c r="Q473" s="17">
        <v>12</v>
      </c>
      <c r="R473" s="17" t="s">
        <v>27</v>
      </c>
      <c r="S473" s="14" t="str">
        <f t="shared" si="7"/>
        <v>Week 2</v>
      </c>
    </row>
    <row r="474" spans="1:19" x14ac:dyDescent="0.3">
      <c r="A474" s="8" t="s">
        <v>771</v>
      </c>
      <c r="B474" s="9">
        <v>43082</v>
      </c>
      <c r="C474" s="10" t="s">
        <v>380</v>
      </c>
      <c r="D474" s="10" t="s">
        <v>30</v>
      </c>
      <c r="E474" s="10" t="s">
        <v>31</v>
      </c>
      <c r="F474" s="11">
        <v>12</v>
      </c>
      <c r="G474" s="12">
        <v>6344.9</v>
      </c>
      <c r="H474" s="12">
        <v>76138.799999999988</v>
      </c>
      <c r="I474" s="13">
        <v>3806.94</v>
      </c>
      <c r="J474" s="10" t="s">
        <v>23</v>
      </c>
      <c r="K474" s="10" t="s">
        <v>24</v>
      </c>
      <c r="L474" s="10" t="s">
        <v>25</v>
      </c>
      <c r="M474" s="12">
        <v>45683.28</v>
      </c>
      <c r="N474" s="12">
        <v>30455.52</v>
      </c>
      <c r="O474" s="10">
        <v>40</v>
      </c>
      <c r="P474" s="10" t="s">
        <v>26</v>
      </c>
      <c r="Q474" s="10">
        <v>12</v>
      </c>
      <c r="R474" s="10" t="s">
        <v>27</v>
      </c>
      <c r="S474" s="14" t="str">
        <f t="shared" si="7"/>
        <v>Week 2</v>
      </c>
    </row>
    <row r="475" spans="1:19" x14ac:dyDescent="0.3">
      <c r="A475" s="15" t="s">
        <v>772</v>
      </c>
      <c r="B475" s="16">
        <v>43082</v>
      </c>
      <c r="C475" s="17" t="s">
        <v>75</v>
      </c>
      <c r="D475" s="17" t="s">
        <v>21</v>
      </c>
      <c r="E475" s="17" t="s">
        <v>191</v>
      </c>
      <c r="F475" s="18">
        <v>8</v>
      </c>
      <c r="G475" s="19">
        <v>2472.3000000000002</v>
      </c>
      <c r="H475" s="19">
        <v>19778.400000000001</v>
      </c>
      <c r="I475" s="20">
        <v>988.92</v>
      </c>
      <c r="J475" s="17" t="s">
        <v>257</v>
      </c>
      <c r="K475" s="17" t="s">
        <v>258</v>
      </c>
      <c r="L475" s="17" t="s">
        <v>25</v>
      </c>
      <c r="M475" s="19">
        <v>7911.36</v>
      </c>
      <c r="N475" s="19">
        <v>11867.04</v>
      </c>
      <c r="O475" s="17">
        <v>60</v>
      </c>
      <c r="P475" s="17" t="s">
        <v>26</v>
      </c>
      <c r="Q475" s="17">
        <v>12</v>
      </c>
      <c r="R475" s="17" t="s">
        <v>27</v>
      </c>
      <c r="S475" s="14" t="str">
        <f t="shared" si="7"/>
        <v>Week 2</v>
      </c>
    </row>
    <row r="476" spans="1:19" x14ac:dyDescent="0.3">
      <c r="A476" s="8" t="s">
        <v>773</v>
      </c>
      <c r="B476" s="9">
        <v>43082</v>
      </c>
      <c r="C476" s="10" t="s">
        <v>352</v>
      </c>
      <c r="D476" s="10" t="s">
        <v>21</v>
      </c>
      <c r="E476" s="10" t="s">
        <v>37</v>
      </c>
      <c r="F476" s="11">
        <v>5</v>
      </c>
      <c r="G476" s="12">
        <v>1701.8</v>
      </c>
      <c r="H476" s="12">
        <v>8509</v>
      </c>
      <c r="I476" s="13">
        <v>1412.4939999999999</v>
      </c>
      <c r="J476" s="10" t="s">
        <v>116</v>
      </c>
      <c r="K476" s="10" t="s">
        <v>117</v>
      </c>
      <c r="L476" s="10" t="s">
        <v>40</v>
      </c>
      <c r="M476" s="12">
        <v>7062.4699999999903</v>
      </c>
      <c r="N476" s="12">
        <v>1446.53</v>
      </c>
      <c r="O476" s="10">
        <v>17</v>
      </c>
      <c r="P476" s="10" t="s">
        <v>26</v>
      </c>
      <c r="Q476" s="10">
        <v>12</v>
      </c>
      <c r="R476" s="10" t="s">
        <v>27</v>
      </c>
      <c r="S476" s="14" t="str">
        <f t="shared" si="7"/>
        <v>Week 2</v>
      </c>
    </row>
    <row r="477" spans="1:19" x14ac:dyDescent="0.3">
      <c r="A477" s="15" t="s">
        <v>774</v>
      </c>
      <c r="B477" s="16">
        <v>43082</v>
      </c>
      <c r="C477" s="17" t="s">
        <v>100</v>
      </c>
      <c r="D477" s="17" t="s">
        <v>43</v>
      </c>
      <c r="E477" s="17" t="s">
        <v>93</v>
      </c>
      <c r="F477" s="18">
        <v>12</v>
      </c>
      <c r="G477" s="19">
        <v>194.3</v>
      </c>
      <c r="H477" s="19">
        <v>2331.6000000000004</v>
      </c>
      <c r="I477" s="20">
        <v>130.18100000000001</v>
      </c>
      <c r="J477" s="17" t="s">
        <v>87</v>
      </c>
      <c r="K477" s="17" t="s">
        <v>88</v>
      </c>
      <c r="L477" s="17" t="s">
        <v>56</v>
      </c>
      <c r="M477" s="19">
        <v>1562.172</v>
      </c>
      <c r="N477" s="19">
        <v>769.428</v>
      </c>
      <c r="O477" s="17">
        <v>33</v>
      </c>
      <c r="P477" s="17" t="s">
        <v>26</v>
      </c>
      <c r="Q477" s="17">
        <v>12</v>
      </c>
      <c r="R477" s="17" t="s">
        <v>27</v>
      </c>
      <c r="S477" s="14" t="str">
        <f t="shared" si="7"/>
        <v>Week 2</v>
      </c>
    </row>
    <row r="478" spans="1:19" x14ac:dyDescent="0.3">
      <c r="A478" s="8" t="s">
        <v>775</v>
      </c>
      <c r="B478" s="9">
        <v>43082</v>
      </c>
      <c r="C478" s="10" t="s">
        <v>199</v>
      </c>
      <c r="D478" s="10" t="s">
        <v>21</v>
      </c>
      <c r="E478" s="10" t="s">
        <v>191</v>
      </c>
      <c r="F478" s="11">
        <v>12</v>
      </c>
      <c r="G478" s="12">
        <v>3624.7</v>
      </c>
      <c r="H478" s="12">
        <v>43496.399999999994</v>
      </c>
      <c r="I478" s="13">
        <v>2646.0309999999999</v>
      </c>
      <c r="J478" s="10" t="s">
        <v>54</v>
      </c>
      <c r="K478" s="10" t="s">
        <v>55</v>
      </c>
      <c r="L478" s="10" t="s">
        <v>56</v>
      </c>
      <c r="M478" s="12">
        <v>31752.371999999999</v>
      </c>
      <c r="N478" s="12">
        <v>11744.028</v>
      </c>
      <c r="O478" s="10">
        <v>27</v>
      </c>
      <c r="P478" s="10" t="s">
        <v>26</v>
      </c>
      <c r="Q478" s="10">
        <v>12</v>
      </c>
      <c r="R478" s="10" t="s">
        <v>27</v>
      </c>
      <c r="S478" s="14" t="str">
        <f t="shared" si="7"/>
        <v>Week 2</v>
      </c>
    </row>
    <row r="479" spans="1:19" x14ac:dyDescent="0.3">
      <c r="A479" s="15" t="s">
        <v>776</v>
      </c>
      <c r="B479" s="16">
        <v>43082</v>
      </c>
      <c r="C479" s="17" t="s">
        <v>472</v>
      </c>
      <c r="D479" s="17" t="s">
        <v>21</v>
      </c>
      <c r="E479" s="17" t="s">
        <v>103</v>
      </c>
      <c r="F479" s="18">
        <v>7</v>
      </c>
      <c r="G479" s="19">
        <v>1152.4000000000001</v>
      </c>
      <c r="H479" s="19">
        <v>8066.8000000000011</v>
      </c>
      <c r="I479" s="20">
        <v>507.05599999999998</v>
      </c>
      <c r="J479" s="17" t="s">
        <v>32</v>
      </c>
      <c r="K479" s="17" t="s">
        <v>33</v>
      </c>
      <c r="L479" s="17" t="s">
        <v>34</v>
      </c>
      <c r="M479" s="19">
        <v>3549.3919999999998</v>
      </c>
      <c r="N479" s="19">
        <v>4517.4080000000004</v>
      </c>
      <c r="O479" s="17">
        <v>56</v>
      </c>
      <c r="P479" s="17" t="s">
        <v>26</v>
      </c>
      <c r="Q479" s="17">
        <v>12</v>
      </c>
      <c r="R479" s="17" t="s">
        <v>27</v>
      </c>
      <c r="S479" s="14" t="str">
        <f t="shared" si="7"/>
        <v>Week 2</v>
      </c>
    </row>
    <row r="480" spans="1:19" x14ac:dyDescent="0.3">
      <c r="A480" s="8" t="s">
        <v>777</v>
      </c>
      <c r="B480" s="9">
        <v>43082</v>
      </c>
      <c r="C480" s="10" t="s">
        <v>347</v>
      </c>
      <c r="D480" s="10" t="s">
        <v>30</v>
      </c>
      <c r="E480" s="10" t="s">
        <v>91</v>
      </c>
      <c r="F480" s="11">
        <v>10</v>
      </c>
      <c r="G480" s="12">
        <v>247.9</v>
      </c>
      <c r="H480" s="12">
        <v>2479</v>
      </c>
      <c r="I480" s="13">
        <v>156.17699999999999</v>
      </c>
      <c r="J480" s="10" t="s">
        <v>614</v>
      </c>
      <c r="K480" s="10" t="s">
        <v>615</v>
      </c>
      <c r="L480" s="10" t="s">
        <v>34</v>
      </c>
      <c r="M480" s="12">
        <v>1561.77</v>
      </c>
      <c r="N480" s="12">
        <v>917.23</v>
      </c>
      <c r="O480" s="10">
        <v>37</v>
      </c>
      <c r="P480" s="10" t="s">
        <v>26</v>
      </c>
      <c r="Q480" s="10">
        <v>12</v>
      </c>
      <c r="R480" s="10" t="s">
        <v>27</v>
      </c>
      <c r="S480" s="14" t="str">
        <f t="shared" si="7"/>
        <v>Week 2</v>
      </c>
    </row>
    <row r="481" spans="1:19" x14ac:dyDescent="0.3">
      <c r="A481" s="15" t="s">
        <v>778</v>
      </c>
      <c r="B481" s="16">
        <v>43082</v>
      </c>
      <c r="C481" s="17" t="s">
        <v>20</v>
      </c>
      <c r="D481" s="17" t="s">
        <v>30</v>
      </c>
      <c r="E481" s="17" t="s">
        <v>37</v>
      </c>
      <c r="F481" s="18">
        <v>8</v>
      </c>
      <c r="G481" s="19">
        <v>1695.1</v>
      </c>
      <c r="H481" s="19">
        <v>13560.8</v>
      </c>
      <c r="I481" s="20">
        <v>915.35400000000004</v>
      </c>
      <c r="J481" s="17" t="s">
        <v>104</v>
      </c>
      <c r="K481" s="17" t="s">
        <v>105</v>
      </c>
      <c r="L481" s="17" t="s">
        <v>25</v>
      </c>
      <c r="M481" s="19">
        <v>7322.8320000000003</v>
      </c>
      <c r="N481" s="19">
        <v>6237.9679999999998</v>
      </c>
      <c r="O481" s="17">
        <v>46</v>
      </c>
      <c r="P481" s="17" t="s">
        <v>26</v>
      </c>
      <c r="Q481" s="17">
        <v>12</v>
      </c>
      <c r="R481" s="17" t="s">
        <v>27</v>
      </c>
      <c r="S481" s="14" t="str">
        <f t="shared" si="7"/>
        <v>Week 2</v>
      </c>
    </row>
    <row r="482" spans="1:19" x14ac:dyDescent="0.3">
      <c r="A482" s="8" t="s">
        <v>779</v>
      </c>
      <c r="B482" s="9">
        <v>43082</v>
      </c>
      <c r="C482" s="10" t="s">
        <v>249</v>
      </c>
      <c r="D482" s="10" t="s">
        <v>21</v>
      </c>
      <c r="E482" s="10" t="s">
        <v>37</v>
      </c>
      <c r="F482" s="11">
        <v>8</v>
      </c>
      <c r="G482" s="12">
        <v>683.4</v>
      </c>
      <c r="H482" s="12">
        <v>5467.2</v>
      </c>
      <c r="I482" s="13">
        <v>369.036</v>
      </c>
      <c r="J482" s="10" t="s">
        <v>45</v>
      </c>
      <c r="K482" s="10" t="s">
        <v>46</v>
      </c>
      <c r="L482" s="10" t="s">
        <v>34</v>
      </c>
      <c r="M482" s="12">
        <v>2952.288</v>
      </c>
      <c r="N482" s="12">
        <v>2514.9119999999998</v>
      </c>
      <c r="O482" s="10">
        <v>46</v>
      </c>
      <c r="P482" s="10" t="s">
        <v>26</v>
      </c>
      <c r="Q482" s="10">
        <v>12</v>
      </c>
      <c r="R482" s="10" t="s">
        <v>27</v>
      </c>
      <c r="S482" s="14" t="str">
        <f t="shared" si="7"/>
        <v>Week 2</v>
      </c>
    </row>
    <row r="483" spans="1:19" x14ac:dyDescent="0.3">
      <c r="A483" s="15" t="s">
        <v>679</v>
      </c>
      <c r="B483" s="16">
        <v>43082</v>
      </c>
      <c r="C483" s="17" t="s">
        <v>551</v>
      </c>
      <c r="D483" s="17" t="s">
        <v>30</v>
      </c>
      <c r="E483" s="17" t="s">
        <v>44</v>
      </c>
      <c r="F483" s="18">
        <v>11</v>
      </c>
      <c r="G483" s="19">
        <v>2572.8000000000002</v>
      </c>
      <c r="H483" s="19">
        <v>28300.800000000003</v>
      </c>
      <c r="I483" s="20">
        <v>1517.952</v>
      </c>
      <c r="J483" s="17" t="s">
        <v>32</v>
      </c>
      <c r="K483" s="17" t="s">
        <v>33</v>
      </c>
      <c r="L483" s="17" t="s">
        <v>34</v>
      </c>
      <c r="M483" s="19">
        <v>16697.472000000002</v>
      </c>
      <c r="N483" s="19">
        <v>11603.328</v>
      </c>
      <c r="O483" s="17">
        <v>41</v>
      </c>
      <c r="P483" s="17" t="s">
        <v>26</v>
      </c>
      <c r="Q483" s="17">
        <v>12</v>
      </c>
      <c r="R483" s="17" t="s">
        <v>27</v>
      </c>
      <c r="S483" s="14" t="str">
        <f t="shared" si="7"/>
        <v>Week 2</v>
      </c>
    </row>
    <row r="484" spans="1:19" x14ac:dyDescent="0.3">
      <c r="A484" s="8" t="s">
        <v>780</v>
      </c>
      <c r="B484" s="9">
        <v>43082</v>
      </c>
      <c r="C484" s="10" t="s">
        <v>720</v>
      </c>
      <c r="D484" s="10" t="s">
        <v>21</v>
      </c>
      <c r="E484" s="10" t="s">
        <v>326</v>
      </c>
      <c r="F484" s="11">
        <v>5</v>
      </c>
      <c r="G484" s="12">
        <v>1098.8</v>
      </c>
      <c r="H484" s="12">
        <v>5494</v>
      </c>
      <c r="I484" s="13">
        <v>769.16</v>
      </c>
      <c r="J484" s="10" t="s">
        <v>411</v>
      </c>
      <c r="K484" s="10" t="s">
        <v>412</v>
      </c>
      <c r="L484" s="10" t="s">
        <v>56</v>
      </c>
      <c r="M484" s="12">
        <v>3845.7999999999902</v>
      </c>
      <c r="N484" s="12">
        <v>1648.2</v>
      </c>
      <c r="O484" s="10">
        <v>30</v>
      </c>
      <c r="P484" s="10" t="s">
        <v>26</v>
      </c>
      <c r="Q484" s="10">
        <v>12</v>
      </c>
      <c r="R484" s="10" t="s">
        <v>27</v>
      </c>
      <c r="S484" s="14" t="str">
        <f t="shared" si="7"/>
        <v>Week 2</v>
      </c>
    </row>
    <row r="485" spans="1:19" x14ac:dyDescent="0.3">
      <c r="A485" s="15" t="s">
        <v>781</v>
      </c>
      <c r="B485" s="16">
        <v>43082</v>
      </c>
      <c r="C485" s="17" t="s">
        <v>109</v>
      </c>
      <c r="D485" s="17" t="s">
        <v>21</v>
      </c>
      <c r="E485" s="17" t="s">
        <v>91</v>
      </c>
      <c r="F485" s="18">
        <v>11</v>
      </c>
      <c r="G485" s="19">
        <v>783.9</v>
      </c>
      <c r="H485" s="19">
        <v>8622.9</v>
      </c>
      <c r="I485" s="20">
        <v>399.78899999999999</v>
      </c>
      <c r="J485" s="17" t="s">
        <v>218</v>
      </c>
      <c r="K485" s="17" t="s">
        <v>219</v>
      </c>
      <c r="L485" s="17" t="s">
        <v>34</v>
      </c>
      <c r="M485" s="19">
        <v>4397.6790000000001</v>
      </c>
      <c r="N485" s="19">
        <v>4225.2209999999995</v>
      </c>
      <c r="O485" s="17">
        <v>49</v>
      </c>
      <c r="P485" s="17" t="s">
        <v>26</v>
      </c>
      <c r="Q485" s="17">
        <v>12</v>
      </c>
      <c r="R485" s="17" t="s">
        <v>27</v>
      </c>
      <c r="S485" s="14" t="str">
        <f t="shared" si="7"/>
        <v>Week 2</v>
      </c>
    </row>
    <row r="486" spans="1:19" x14ac:dyDescent="0.3">
      <c r="A486" s="8" t="s">
        <v>782</v>
      </c>
      <c r="B486" s="9">
        <v>43082</v>
      </c>
      <c r="C486" s="10" t="s">
        <v>783</v>
      </c>
      <c r="D486" s="10" t="s">
        <v>21</v>
      </c>
      <c r="E486" s="10" t="s">
        <v>31</v>
      </c>
      <c r="F486" s="11">
        <v>12</v>
      </c>
      <c r="G486" s="12">
        <v>1112.2</v>
      </c>
      <c r="H486" s="12">
        <v>13346.400000000001</v>
      </c>
      <c r="I486" s="13">
        <v>645.07600000000002</v>
      </c>
      <c r="J486" s="10" t="s">
        <v>54</v>
      </c>
      <c r="K486" s="10" t="s">
        <v>55</v>
      </c>
      <c r="L486" s="10" t="s">
        <v>56</v>
      </c>
      <c r="M486" s="12">
        <v>7740.9120000000003</v>
      </c>
      <c r="N486" s="12">
        <v>5605.4880000000003</v>
      </c>
      <c r="O486" s="10">
        <v>42</v>
      </c>
      <c r="P486" s="10" t="s">
        <v>26</v>
      </c>
      <c r="Q486" s="10">
        <v>12</v>
      </c>
      <c r="R486" s="10" t="s">
        <v>27</v>
      </c>
      <c r="S486" s="14" t="str">
        <f t="shared" si="7"/>
        <v>Week 2</v>
      </c>
    </row>
    <row r="487" spans="1:19" x14ac:dyDescent="0.3">
      <c r="A487" s="15" t="s">
        <v>784</v>
      </c>
      <c r="B487" s="16">
        <v>43082</v>
      </c>
      <c r="C487" s="17" t="s">
        <v>335</v>
      </c>
      <c r="D487" s="17" t="s">
        <v>21</v>
      </c>
      <c r="E487" s="17" t="s">
        <v>80</v>
      </c>
      <c r="F487" s="18">
        <v>9</v>
      </c>
      <c r="G487" s="19">
        <v>2599.6</v>
      </c>
      <c r="H487" s="19">
        <v>23396.399999999998</v>
      </c>
      <c r="I487" s="20">
        <v>2209.66</v>
      </c>
      <c r="J487" s="17" t="s">
        <v>23</v>
      </c>
      <c r="K487" s="17" t="s">
        <v>24</v>
      </c>
      <c r="L487" s="17" t="s">
        <v>25</v>
      </c>
      <c r="M487" s="19">
        <v>19886.939999999999</v>
      </c>
      <c r="N487" s="19">
        <v>3509.45999999999</v>
      </c>
      <c r="O487" s="17">
        <v>14.999999999999901</v>
      </c>
      <c r="P487" s="17" t="s">
        <v>26</v>
      </c>
      <c r="Q487" s="17">
        <v>12</v>
      </c>
      <c r="R487" s="17" t="s">
        <v>27</v>
      </c>
      <c r="S487" s="14" t="str">
        <f t="shared" si="7"/>
        <v>Week 2</v>
      </c>
    </row>
    <row r="488" spans="1:19" x14ac:dyDescent="0.3">
      <c r="A488" s="8" t="s">
        <v>785</v>
      </c>
      <c r="B488" s="9">
        <v>43082</v>
      </c>
      <c r="C488" s="10" t="s">
        <v>549</v>
      </c>
      <c r="D488" s="10" t="s">
        <v>43</v>
      </c>
      <c r="E488" s="10" t="s">
        <v>127</v>
      </c>
      <c r="F488" s="11">
        <v>8</v>
      </c>
      <c r="G488" s="12">
        <v>837.5</v>
      </c>
      <c r="H488" s="12">
        <v>6700</v>
      </c>
      <c r="I488" s="13">
        <v>452.25</v>
      </c>
      <c r="J488" s="10" t="s">
        <v>132</v>
      </c>
      <c r="K488" s="10" t="s">
        <v>133</v>
      </c>
      <c r="L488" s="10" t="s">
        <v>34</v>
      </c>
      <c r="M488" s="12">
        <v>3618</v>
      </c>
      <c r="N488" s="12">
        <v>3081.99999999999</v>
      </c>
      <c r="O488" s="10">
        <v>45.999999999999901</v>
      </c>
      <c r="P488" s="10" t="s">
        <v>26</v>
      </c>
      <c r="Q488" s="10">
        <v>12</v>
      </c>
      <c r="R488" s="10" t="s">
        <v>27</v>
      </c>
      <c r="S488" s="14" t="str">
        <f t="shared" si="7"/>
        <v>Week 2</v>
      </c>
    </row>
    <row r="489" spans="1:19" x14ac:dyDescent="0.3">
      <c r="A489" s="15" t="s">
        <v>786</v>
      </c>
      <c r="B489" s="16">
        <v>43082</v>
      </c>
      <c r="C489" s="17" t="s">
        <v>554</v>
      </c>
      <c r="D489" s="17" t="s">
        <v>30</v>
      </c>
      <c r="E489" s="17" t="s">
        <v>252</v>
      </c>
      <c r="F489" s="18">
        <v>12</v>
      </c>
      <c r="G489" s="19">
        <v>1996.6</v>
      </c>
      <c r="H489" s="19">
        <v>23959.199999999997</v>
      </c>
      <c r="I489" s="20">
        <v>1677.144</v>
      </c>
      <c r="J489" s="17" t="s">
        <v>32</v>
      </c>
      <c r="K489" s="17" t="s">
        <v>33</v>
      </c>
      <c r="L489" s="17" t="s">
        <v>34</v>
      </c>
      <c r="M489" s="19">
        <v>20125.727999999999</v>
      </c>
      <c r="N489" s="19">
        <v>3833.4720000000002</v>
      </c>
      <c r="O489" s="17">
        <v>16</v>
      </c>
      <c r="P489" s="17" t="s">
        <v>26</v>
      </c>
      <c r="Q489" s="17">
        <v>12</v>
      </c>
      <c r="R489" s="17" t="s">
        <v>27</v>
      </c>
      <c r="S489" s="14" t="str">
        <f t="shared" si="7"/>
        <v>Week 2</v>
      </c>
    </row>
    <row r="490" spans="1:19" x14ac:dyDescent="0.3">
      <c r="A490" s="8" t="s">
        <v>787</v>
      </c>
      <c r="B490" s="9">
        <v>43082</v>
      </c>
      <c r="C490" s="10" t="s">
        <v>176</v>
      </c>
      <c r="D490" s="10" t="s">
        <v>43</v>
      </c>
      <c r="E490" s="10" t="s">
        <v>93</v>
      </c>
      <c r="F490" s="11">
        <v>9</v>
      </c>
      <c r="G490" s="12">
        <v>1132.3</v>
      </c>
      <c r="H490" s="12">
        <v>10190.699999999999</v>
      </c>
      <c r="I490" s="13">
        <v>837.90199999999902</v>
      </c>
      <c r="J490" s="10" t="s">
        <v>76</v>
      </c>
      <c r="K490" s="10" t="s">
        <v>77</v>
      </c>
      <c r="L490" s="10" t="s">
        <v>56</v>
      </c>
      <c r="M490" s="12">
        <v>7541.1179999999904</v>
      </c>
      <c r="N490" s="12">
        <v>2649.5819999999899</v>
      </c>
      <c r="O490" s="10">
        <v>25.999999999999901</v>
      </c>
      <c r="P490" s="10" t="s">
        <v>26</v>
      </c>
      <c r="Q490" s="10">
        <v>12</v>
      </c>
      <c r="R490" s="10" t="s">
        <v>27</v>
      </c>
      <c r="S490" s="14" t="str">
        <f t="shared" si="7"/>
        <v>Week 2</v>
      </c>
    </row>
    <row r="491" spans="1:19" x14ac:dyDescent="0.3">
      <c r="A491" s="15" t="s">
        <v>788</v>
      </c>
      <c r="B491" s="16">
        <v>43082</v>
      </c>
      <c r="C491" s="17" t="s">
        <v>154</v>
      </c>
      <c r="D491" s="17" t="s">
        <v>21</v>
      </c>
      <c r="E491" s="17" t="s">
        <v>49</v>
      </c>
      <c r="F491" s="18">
        <v>9</v>
      </c>
      <c r="G491" s="19">
        <v>6016.6</v>
      </c>
      <c r="H491" s="19">
        <v>54149.4</v>
      </c>
      <c r="I491" s="20">
        <v>3429.462</v>
      </c>
      <c r="J491" s="17" t="s">
        <v>83</v>
      </c>
      <c r="K491" s="17" t="s">
        <v>84</v>
      </c>
      <c r="L491" s="17" t="s">
        <v>34</v>
      </c>
      <c r="M491" s="19">
        <v>30865.157999999999</v>
      </c>
      <c r="N491" s="19">
        <v>23284.241999999998</v>
      </c>
      <c r="O491" s="17">
        <v>43</v>
      </c>
      <c r="P491" s="17" t="s">
        <v>26</v>
      </c>
      <c r="Q491" s="17">
        <v>12</v>
      </c>
      <c r="R491" s="17" t="s">
        <v>27</v>
      </c>
      <c r="S491" s="14" t="str">
        <f t="shared" si="7"/>
        <v>Week 2</v>
      </c>
    </row>
    <row r="492" spans="1:19" x14ac:dyDescent="0.3">
      <c r="A492" s="8" t="s">
        <v>789</v>
      </c>
      <c r="B492" s="9">
        <v>43082</v>
      </c>
      <c r="C492" s="10" t="s">
        <v>671</v>
      </c>
      <c r="D492" s="10" t="s">
        <v>30</v>
      </c>
      <c r="E492" s="10" t="s">
        <v>31</v>
      </c>
      <c r="F492" s="11">
        <v>12</v>
      </c>
      <c r="G492" s="12">
        <v>5266.2</v>
      </c>
      <c r="H492" s="12">
        <v>63194.399999999994</v>
      </c>
      <c r="I492" s="13">
        <v>2211.8039999999901</v>
      </c>
      <c r="J492" s="10" t="s">
        <v>536</v>
      </c>
      <c r="K492" s="10" t="s">
        <v>537</v>
      </c>
      <c r="L492" s="10" t="s">
        <v>25</v>
      </c>
      <c r="M492" s="12">
        <v>26541.647999999899</v>
      </c>
      <c r="N492" s="12">
        <v>36652.752</v>
      </c>
      <c r="O492" s="10">
        <v>58</v>
      </c>
      <c r="P492" s="10" t="s">
        <v>26</v>
      </c>
      <c r="Q492" s="10">
        <v>12</v>
      </c>
      <c r="R492" s="10" t="s">
        <v>27</v>
      </c>
      <c r="S492" s="14" t="str">
        <f t="shared" si="7"/>
        <v>Week 2</v>
      </c>
    </row>
    <row r="493" spans="1:19" x14ac:dyDescent="0.3">
      <c r="A493" s="15" t="s">
        <v>790</v>
      </c>
      <c r="B493" s="16">
        <v>43082</v>
      </c>
      <c r="C493" s="17" t="s">
        <v>791</v>
      </c>
      <c r="D493" s="17" t="s">
        <v>43</v>
      </c>
      <c r="E493" s="17" t="s">
        <v>197</v>
      </c>
      <c r="F493" s="18">
        <v>12</v>
      </c>
      <c r="G493" s="19">
        <v>2532.6</v>
      </c>
      <c r="H493" s="19">
        <v>30391.199999999997</v>
      </c>
      <c r="I493" s="20">
        <v>2000.7539999999999</v>
      </c>
      <c r="J493" s="17" t="s">
        <v>54</v>
      </c>
      <c r="K493" s="17" t="s">
        <v>55</v>
      </c>
      <c r="L493" s="17" t="s">
        <v>56</v>
      </c>
      <c r="M493" s="19">
        <v>24009.047999999999</v>
      </c>
      <c r="N493" s="19">
        <v>6382.15199999999</v>
      </c>
      <c r="O493" s="17">
        <v>20.999999999999901</v>
      </c>
      <c r="P493" s="17" t="s">
        <v>26</v>
      </c>
      <c r="Q493" s="17">
        <v>12</v>
      </c>
      <c r="R493" s="17" t="s">
        <v>27</v>
      </c>
      <c r="S493" s="14" t="str">
        <f t="shared" si="7"/>
        <v>Week 2</v>
      </c>
    </row>
    <row r="494" spans="1:19" x14ac:dyDescent="0.3">
      <c r="A494" s="8" t="s">
        <v>792</v>
      </c>
      <c r="B494" s="9">
        <v>43082</v>
      </c>
      <c r="C494" s="10" t="s">
        <v>720</v>
      </c>
      <c r="D494" s="10" t="s">
        <v>21</v>
      </c>
      <c r="E494" s="10" t="s">
        <v>73</v>
      </c>
      <c r="F494" s="11">
        <v>8</v>
      </c>
      <c r="G494" s="12">
        <v>1118.9000000000001</v>
      </c>
      <c r="H494" s="12">
        <v>8951.2000000000007</v>
      </c>
      <c r="I494" s="13">
        <v>682.529</v>
      </c>
      <c r="J494" s="10" t="s">
        <v>45</v>
      </c>
      <c r="K494" s="10" t="s">
        <v>46</v>
      </c>
      <c r="L494" s="10" t="s">
        <v>34</v>
      </c>
      <c r="M494" s="12">
        <v>5460.232</v>
      </c>
      <c r="N494" s="12">
        <v>3490.9679999999998</v>
      </c>
      <c r="O494" s="10">
        <v>39</v>
      </c>
      <c r="P494" s="10" t="s">
        <v>26</v>
      </c>
      <c r="Q494" s="10">
        <v>12</v>
      </c>
      <c r="R494" s="10" t="s">
        <v>27</v>
      </c>
      <c r="S494" s="14" t="str">
        <f t="shared" si="7"/>
        <v>Week 2</v>
      </c>
    </row>
    <row r="495" spans="1:19" x14ac:dyDescent="0.3">
      <c r="A495" s="15" t="s">
        <v>793</v>
      </c>
      <c r="B495" s="16">
        <v>43082</v>
      </c>
      <c r="C495" s="17" t="s">
        <v>497</v>
      </c>
      <c r="D495" s="17" t="s">
        <v>21</v>
      </c>
      <c r="E495" s="17" t="s">
        <v>103</v>
      </c>
      <c r="F495" s="18">
        <v>12</v>
      </c>
      <c r="G495" s="19">
        <v>5406.9</v>
      </c>
      <c r="H495" s="19">
        <v>64882.799999999996</v>
      </c>
      <c r="I495" s="20">
        <v>2216.8290000000002</v>
      </c>
      <c r="J495" s="17" t="s">
        <v>97</v>
      </c>
      <c r="K495" s="17" t="s">
        <v>98</v>
      </c>
      <c r="L495" s="17" t="s">
        <v>56</v>
      </c>
      <c r="M495" s="19">
        <v>26601.948</v>
      </c>
      <c r="N495" s="19">
        <v>38280.851999999999</v>
      </c>
      <c r="O495" s="17">
        <v>59</v>
      </c>
      <c r="P495" s="17" t="s">
        <v>26</v>
      </c>
      <c r="Q495" s="17">
        <v>12</v>
      </c>
      <c r="R495" s="17" t="s">
        <v>27</v>
      </c>
      <c r="S495" s="14" t="str">
        <f t="shared" si="7"/>
        <v>Week 2</v>
      </c>
    </row>
    <row r="496" spans="1:19" x14ac:dyDescent="0.3">
      <c r="A496" s="8" t="s">
        <v>794</v>
      </c>
      <c r="B496" s="9">
        <v>43082</v>
      </c>
      <c r="C496" s="10" t="s">
        <v>114</v>
      </c>
      <c r="D496" s="10" t="s">
        <v>21</v>
      </c>
      <c r="E496" s="10" t="s">
        <v>31</v>
      </c>
      <c r="F496" s="11">
        <v>5</v>
      </c>
      <c r="G496" s="12">
        <v>2599.6</v>
      </c>
      <c r="H496" s="12">
        <v>12998</v>
      </c>
      <c r="I496" s="13">
        <v>1429.78</v>
      </c>
      <c r="J496" s="10" t="s">
        <v>104</v>
      </c>
      <c r="K496" s="10" t="s">
        <v>105</v>
      </c>
      <c r="L496" s="10" t="s">
        <v>25</v>
      </c>
      <c r="M496" s="12">
        <v>7148.9</v>
      </c>
      <c r="N496" s="12">
        <v>5849.1</v>
      </c>
      <c r="O496" s="10">
        <v>45</v>
      </c>
      <c r="P496" s="10" t="s">
        <v>26</v>
      </c>
      <c r="Q496" s="10">
        <v>12</v>
      </c>
      <c r="R496" s="10" t="s">
        <v>27</v>
      </c>
      <c r="S496" s="14" t="str">
        <f t="shared" si="7"/>
        <v>Week 2</v>
      </c>
    </row>
    <row r="497" spans="1:19" x14ac:dyDescent="0.3">
      <c r="A497" s="15" t="s">
        <v>795</v>
      </c>
      <c r="B497" s="16">
        <v>43082</v>
      </c>
      <c r="C497" s="17" t="s">
        <v>251</v>
      </c>
      <c r="D497" s="17" t="s">
        <v>30</v>
      </c>
      <c r="E497" s="17" t="s">
        <v>306</v>
      </c>
      <c r="F497" s="18">
        <v>6</v>
      </c>
      <c r="G497" s="19">
        <v>3932.9</v>
      </c>
      <c r="H497" s="19">
        <v>23597.4</v>
      </c>
      <c r="I497" s="20">
        <v>2084.4369999999999</v>
      </c>
      <c r="J497" s="17" t="s">
        <v>393</v>
      </c>
      <c r="K497" s="17" t="s">
        <v>394</v>
      </c>
      <c r="L497" s="17" t="s">
        <v>56</v>
      </c>
      <c r="M497" s="19">
        <v>12506.621999999999</v>
      </c>
      <c r="N497" s="19">
        <v>11090.7779999999</v>
      </c>
      <c r="O497" s="17">
        <v>46.999999999999901</v>
      </c>
      <c r="P497" s="17" t="s">
        <v>26</v>
      </c>
      <c r="Q497" s="17">
        <v>12</v>
      </c>
      <c r="R497" s="17" t="s">
        <v>27</v>
      </c>
      <c r="S497" s="14" t="str">
        <f t="shared" si="7"/>
        <v>Week 2</v>
      </c>
    </row>
    <row r="498" spans="1:19" x14ac:dyDescent="0.3">
      <c r="A498" s="8" t="s">
        <v>796</v>
      </c>
      <c r="B498" s="9">
        <v>43082</v>
      </c>
      <c r="C498" s="10" t="s">
        <v>194</v>
      </c>
      <c r="D498" s="10" t="s">
        <v>21</v>
      </c>
      <c r="E498" s="10" t="s">
        <v>62</v>
      </c>
      <c r="F498" s="11">
        <v>7</v>
      </c>
      <c r="G498" s="12">
        <v>2767.1</v>
      </c>
      <c r="H498" s="12">
        <v>19369.7</v>
      </c>
      <c r="I498" s="13">
        <v>1632.5889999999999</v>
      </c>
      <c r="J498" s="10" t="s">
        <v>94</v>
      </c>
      <c r="K498" s="10" t="s">
        <v>95</v>
      </c>
      <c r="L498" s="10" t="s">
        <v>40</v>
      </c>
      <c r="M498" s="12">
        <v>11428.123</v>
      </c>
      <c r="N498" s="12">
        <v>7941.5770000000002</v>
      </c>
      <c r="O498" s="10">
        <v>41</v>
      </c>
      <c r="P498" s="10" t="s">
        <v>26</v>
      </c>
      <c r="Q498" s="10">
        <v>12</v>
      </c>
      <c r="R498" s="10" t="s">
        <v>27</v>
      </c>
      <c r="S498" s="14" t="str">
        <f t="shared" si="7"/>
        <v>Week 2</v>
      </c>
    </row>
    <row r="499" spans="1:19" x14ac:dyDescent="0.3">
      <c r="A499" s="15" t="s">
        <v>797</v>
      </c>
      <c r="B499" s="16">
        <v>43082</v>
      </c>
      <c r="C499" s="17" t="s">
        <v>112</v>
      </c>
      <c r="D499" s="17" t="s">
        <v>30</v>
      </c>
      <c r="E499" s="17" t="s">
        <v>120</v>
      </c>
      <c r="F499" s="18">
        <v>5</v>
      </c>
      <c r="G499" s="19">
        <v>3865.9</v>
      </c>
      <c r="H499" s="19">
        <v>19329.5</v>
      </c>
      <c r="I499" s="20">
        <v>2164.904</v>
      </c>
      <c r="J499" s="17" t="s">
        <v>155</v>
      </c>
      <c r="K499" s="17" t="s">
        <v>156</v>
      </c>
      <c r="L499" s="17" t="s">
        <v>56</v>
      </c>
      <c r="M499" s="19">
        <v>10824.52</v>
      </c>
      <c r="N499" s="19">
        <v>8504.9799999999905</v>
      </c>
      <c r="O499" s="17">
        <v>43.999999999999901</v>
      </c>
      <c r="P499" s="17" t="s">
        <v>26</v>
      </c>
      <c r="Q499" s="17">
        <v>12</v>
      </c>
      <c r="R499" s="17" t="s">
        <v>27</v>
      </c>
      <c r="S499" s="14" t="str">
        <f t="shared" si="7"/>
        <v>Week 2</v>
      </c>
    </row>
    <row r="500" spans="1:19" x14ac:dyDescent="0.3">
      <c r="A500" s="8" t="s">
        <v>798</v>
      </c>
      <c r="B500" s="9">
        <v>43082</v>
      </c>
      <c r="C500" s="10" t="s">
        <v>416</v>
      </c>
      <c r="D500" s="10" t="s">
        <v>21</v>
      </c>
      <c r="E500" s="10" t="s">
        <v>73</v>
      </c>
      <c r="F500" s="11">
        <v>12</v>
      </c>
      <c r="G500" s="12">
        <v>5226</v>
      </c>
      <c r="H500" s="12">
        <v>62712</v>
      </c>
      <c r="I500" s="13">
        <v>3240.12</v>
      </c>
      <c r="J500" s="10" t="s">
        <v>23</v>
      </c>
      <c r="K500" s="10" t="s">
        <v>24</v>
      </c>
      <c r="L500" s="10" t="s">
        <v>25</v>
      </c>
      <c r="M500" s="12">
        <v>38881.440000000002</v>
      </c>
      <c r="N500" s="12">
        <v>23830.559999999899</v>
      </c>
      <c r="O500" s="10">
        <v>37.999999999999901</v>
      </c>
      <c r="P500" s="10" t="s">
        <v>26</v>
      </c>
      <c r="Q500" s="10">
        <v>12</v>
      </c>
      <c r="R500" s="10" t="s">
        <v>27</v>
      </c>
      <c r="S500" s="14" t="str">
        <f t="shared" si="7"/>
        <v>Week 2</v>
      </c>
    </row>
    <row r="501" spans="1:19" x14ac:dyDescent="0.3">
      <c r="A501" s="15" t="s">
        <v>799</v>
      </c>
      <c r="B501" s="16">
        <v>43083</v>
      </c>
      <c r="C501" s="17" t="s">
        <v>166</v>
      </c>
      <c r="D501" s="17" t="s">
        <v>30</v>
      </c>
      <c r="E501" s="17" t="s">
        <v>103</v>
      </c>
      <c r="F501" s="18">
        <v>5</v>
      </c>
      <c r="G501" s="19">
        <v>5581.1</v>
      </c>
      <c r="H501" s="19">
        <v>27905.5</v>
      </c>
      <c r="I501" s="20">
        <v>4130.0140000000001</v>
      </c>
      <c r="J501" s="17" t="s">
        <v>87</v>
      </c>
      <c r="K501" s="17" t="s">
        <v>88</v>
      </c>
      <c r="L501" s="17" t="s">
        <v>56</v>
      </c>
      <c r="M501" s="19">
        <v>20650.07</v>
      </c>
      <c r="N501" s="19">
        <v>7255.43</v>
      </c>
      <c r="O501" s="17">
        <v>26</v>
      </c>
      <c r="P501" s="17" t="s">
        <v>26</v>
      </c>
      <c r="Q501" s="17">
        <v>12</v>
      </c>
      <c r="R501" s="17" t="s">
        <v>27</v>
      </c>
      <c r="S501" s="14" t="str">
        <f t="shared" si="7"/>
        <v>Week 2</v>
      </c>
    </row>
    <row r="502" spans="1:19" x14ac:dyDescent="0.3">
      <c r="A502" s="8" t="s">
        <v>800</v>
      </c>
      <c r="B502" s="9">
        <v>43083</v>
      </c>
      <c r="C502" s="10" t="s">
        <v>215</v>
      </c>
      <c r="D502" s="10" t="s">
        <v>21</v>
      </c>
      <c r="E502" s="10" t="s">
        <v>93</v>
      </c>
      <c r="F502" s="11">
        <v>8</v>
      </c>
      <c r="G502" s="12">
        <v>3082</v>
      </c>
      <c r="H502" s="12">
        <v>24656</v>
      </c>
      <c r="I502" s="13">
        <v>1849.19999999999</v>
      </c>
      <c r="J502" s="10" t="s">
        <v>23</v>
      </c>
      <c r="K502" s="10" t="s">
        <v>24</v>
      </c>
      <c r="L502" s="10" t="s">
        <v>25</v>
      </c>
      <c r="M502" s="12">
        <v>14793.5999999999</v>
      </c>
      <c r="N502" s="12">
        <v>9862.4</v>
      </c>
      <c r="O502" s="10">
        <v>40</v>
      </c>
      <c r="P502" s="10" t="s">
        <v>26</v>
      </c>
      <c r="Q502" s="10">
        <v>12</v>
      </c>
      <c r="R502" s="10" t="s">
        <v>27</v>
      </c>
      <c r="S502" s="14" t="str">
        <f t="shared" si="7"/>
        <v>Week 2</v>
      </c>
    </row>
    <row r="503" spans="1:19" x14ac:dyDescent="0.3">
      <c r="A503" s="15" t="s">
        <v>801</v>
      </c>
      <c r="B503" s="16">
        <v>43083</v>
      </c>
      <c r="C503" s="17" t="s">
        <v>791</v>
      </c>
      <c r="D503" s="17" t="s">
        <v>30</v>
      </c>
      <c r="E503" s="17" t="s">
        <v>103</v>
      </c>
      <c r="F503" s="18">
        <v>6</v>
      </c>
      <c r="G503" s="19">
        <v>5038.3999999999996</v>
      </c>
      <c r="H503" s="19">
        <v>30230.399999999998</v>
      </c>
      <c r="I503" s="20">
        <v>2972.6559999999999</v>
      </c>
      <c r="J503" s="17" t="s">
        <v>411</v>
      </c>
      <c r="K503" s="17" t="s">
        <v>412</v>
      </c>
      <c r="L503" s="17" t="s">
        <v>56</v>
      </c>
      <c r="M503" s="19">
        <v>17835.936000000002</v>
      </c>
      <c r="N503" s="19">
        <v>12394.464</v>
      </c>
      <c r="O503" s="17">
        <v>41</v>
      </c>
      <c r="P503" s="17" t="s">
        <v>26</v>
      </c>
      <c r="Q503" s="17">
        <v>12</v>
      </c>
      <c r="R503" s="17" t="s">
        <v>27</v>
      </c>
      <c r="S503" s="14" t="str">
        <f t="shared" si="7"/>
        <v>Week 2</v>
      </c>
    </row>
    <row r="504" spans="1:19" x14ac:dyDescent="0.3">
      <c r="A504" s="8" t="s">
        <v>802</v>
      </c>
      <c r="B504" s="9">
        <v>43083</v>
      </c>
      <c r="C504" s="10" t="s">
        <v>480</v>
      </c>
      <c r="D504" s="10" t="s">
        <v>21</v>
      </c>
      <c r="E504" s="10" t="s">
        <v>228</v>
      </c>
      <c r="F504" s="11">
        <v>10</v>
      </c>
      <c r="G504" s="12">
        <v>1025.0999999999999</v>
      </c>
      <c r="H504" s="12">
        <v>10251</v>
      </c>
      <c r="I504" s="13">
        <v>533.05200000000002</v>
      </c>
      <c r="J504" s="10" t="s">
        <v>257</v>
      </c>
      <c r="K504" s="10" t="s">
        <v>258</v>
      </c>
      <c r="L504" s="10" t="s">
        <v>25</v>
      </c>
      <c r="M504" s="12">
        <v>5330.52</v>
      </c>
      <c r="N504" s="12">
        <v>4920.4799999999996</v>
      </c>
      <c r="O504" s="10">
        <v>48</v>
      </c>
      <c r="P504" s="10" t="s">
        <v>26</v>
      </c>
      <c r="Q504" s="10">
        <v>12</v>
      </c>
      <c r="R504" s="10" t="s">
        <v>27</v>
      </c>
      <c r="S504" s="14" t="str">
        <f t="shared" si="7"/>
        <v>Week 2</v>
      </c>
    </row>
    <row r="505" spans="1:19" x14ac:dyDescent="0.3">
      <c r="A505" s="15" t="s">
        <v>803</v>
      </c>
      <c r="B505" s="16">
        <v>43083</v>
      </c>
      <c r="C505" s="17" t="s">
        <v>109</v>
      </c>
      <c r="D505" s="17" t="s">
        <v>43</v>
      </c>
      <c r="E505" s="17" t="s">
        <v>49</v>
      </c>
      <c r="F505" s="18">
        <v>9</v>
      </c>
      <c r="G505" s="19">
        <v>1976.5</v>
      </c>
      <c r="H505" s="19">
        <v>17788.5</v>
      </c>
      <c r="I505" s="20">
        <v>1264.96</v>
      </c>
      <c r="J505" s="17" t="s">
        <v>116</v>
      </c>
      <c r="K505" s="17" t="s">
        <v>117</v>
      </c>
      <c r="L505" s="17" t="s">
        <v>40</v>
      </c>
      <c r="M505" s="19">
        <v>11384.64</v>
      </c>
      <c r="N505" s="19">
        <v>6403.86</v>
      </c>
      <c r="O505" s="17">
        <v>36</v>
      </c>
      <c r="P505" s="17" t="s">
        <v>26</v>
      </c>
      <c r="Q505" s="17">
        <v>12</v>
      </c>
      <c r="R505" s="17" t="s">
        <v>27</v>
      </c>
      <c r="S505" s="14" t="str">
        <f t="shared" si="7"/>
        <v>Week 2</v>
      </c>
    </row>
    <row r="506" spans="1:19" x14ac:dyDescent="0.3">
      <c r="A506" s="8" t="s">
        <v>804</v>
      </c>
      <c r="B506" s="9">
        <v>43083</v>
      </c>
      <c r="C506" s="10" t="s">
        <v>172</v>
      </c>
      <c r="D506" s="10" t="s">
        <v>21</v>
      </c>
      <c r="E506" s="10" t="s">
        <v>167</v>
      </c>
      <c r="F506" s="11">
        <v>11</v>
      </c>
      <c r="G506" s="12">
        <v>1219.4000000000001</v>
      </c>
      <c r="H506" s="12">
        <v>13413.400000000001</v>
      </c>
      <c r="I506" s="13">
        <v>841.38599999999997</v>
      </c>
      <c r="J506" s="10" t="s">
        <v>23</v>
      </c>
      <c r="K506" s="10" t="s">
        <v>24</v>
      </c>
      <c r="L506" s="10" t="s">
        <v>25</v>
      </c>
      <c r="M506" s="12">
        <v>9255.2459999999992</v>
      </c>
      <c r="N506" s="12">
        <v>4158.1540000000005</v>
      </c>
      <c r="O506" s="10">
        <v>31</v>
      </c>
      <c r="P506" s="10" t="s">
        <v>26</v>
      </c>
      <c r="Q506" s="10">
        <v>12</v>
      </c>
      <c r="R506" s="10" t="s">
        <v>27</v>
      </c>
      <c r="S506" s="14" t="str">
        <f t="shared" si="7"/>
        <v>Week 2</v>
      </c>
    </row>
    <row r="507" spans="1:19" x14ac:dyDescent="0.3">
      <c r="A507" s="15" t="s">
        <v>805</v>
      </c>
      <c r="B507" s="16">
        <v>43083</v>
      </c>
      <c r="C507" s="17" t="s">
        <v>806</v>
      </c>
      <c r="D507" s="17" t="s">
        <v>30</v>
      </c>
      <c r="E507" s="17" t="s">
        <v>49</v>
      </c>
      <c r="F507" s="18">
        <v>6</v>
      </c>
      <c r="G507" s="19">
        <v>5748.6</v>
      </c>
      <c r="H507" s="19">
        <v>34491.600000000006</v>
      </c>
      <c r="I507" s="20">
        <v>4483.9080000000004</v>
      </c>
      <c r="J507" s="17" t="s">
        <v>458</v>
      </c>
      <c r="K507" s="17" t="s">
        <v>459</v>
      </c>
      <c r="L507" s="17" t="s">
        <v>34</v>
      </c>
      <c r="M507" s="19">
        <v>26903.448</v>
      </c>
      <c r="N507" s="19">
        <v>7588.152</v>
      </c>
      <c r="O507" s="17">
        <v>22</v>
      </c>
      <c r="P507" s="17" t="s">
        <v>26</v>
      </c>
      <c r="Q507" s="17">
        <v>12</v>
      </c>
      <c r="R507" s="17" t="s">
        <v>27</v>
      </c>
      <c r="S507" s="14" t="str">
        <f t="shared" si="7"/>
        <v>Week 2</v>
      </c>
    </row>
    <row r="508" spans="1:19" x14ac:dyDescent="0.3">
      <c r="A508" s="8" t="s">
        <v>807</v>
      </c>
      <c r="B508" s="9">
        <v>43083</v>
      </c>
      <c r="C508" s="10" t="s">
        <v>464</v>
      </c>
      <c r="D508" s="10" t="s">
        <v>43</v>
      </c>
      <c r="E508" s="10" t="s">
        <v>37</v>
      </c>
      <c r="F508" s="11">
        <v>9</v>
      </c>
      <c r="G508" s="12">
        <v>5681.6</v>
      </c>
      <c r="H508" s="12">
        <v>51134.400000000001</v>
      </c>
      <c r="I508" s="13">
        <v>2897.616</v>
      </c>
      <c r="J508" s="10" t="s">
        <v>38</v>
      </c>
      <c r="K508" s="10" t="s">
        <v>39</v>
      </c>
      <c r="L508" s="10" t="s">
        <v>40</v>
      </c>
      <c r="M508" s="12">
        <v>26078.544000000002</v>
      </c>
      <c r="N508" s="12">
        <v>25055.855999999902</v>
      </c>
      <c r="O508" s="10">
        <v>48.999999999999901</v>
      </c>
      <c r="P508" s="10" t="s">
        <v>26</v>
      </c>
      <c r="Q508" s="10">
        <v>12</v>
      </c>
      <c r="R508" s="10" t="s">
        <v>27</v>
      </c>
      <c r="S508" s="14" t="str">
        <f t="shared" si="7"/>
        <v>Week 2</v>
      </c>
    </row>
    <row r="509" spans="1:19" x14ac:dyDescent="0.3">
      <c r="A509" s="15" t="s">
        <v>808</v>
      </c>
      <c r="B509" s="16">
        <v>43083</v>
      </c>
      <c r="C509" s="17" t="s">
        <v>142</v>
      </c>
      <c r="D509" s="17" t="s">
        <v>30</v>
      </c>
      <c r="E509" s="17" t="s">
        <v>37</v>
      </c>
      <c r="F509" s="18">
        <v>10</v>
      </c>
      <c r="G509" s="19">
        <v>2398.6</v>
      </c>
      <c r="H509" s="19">
        <v>23986</v>
      </c>
      <c r="I509" s="20">
        <v>1631.048</v>
      </c>
      <c r="J509" s="17" t="s">
        <v>54</v>
      </c>
      <c r="K509" s="17" t="s">
        <v>55</v>
      </c>
      <c r="L509" s="17" t="s">
        <v>56</v>
      </c>
      <c r="M509" s="19">
        <v>16310.48</v>
      </c>
      <c r="N509" s="19">
        <v>7675.52</v>
      </c>
      <c r="O509" s="17">
        <v>32</v>
      </c>
      <c r="P509" s="17" t="s">
        <v>26</v>
      </c>
      <c r="Q509" s="17">
        <v>12</v>
      </c>
      <c r="R509" s="17" t="s">
        <v>27</v>
      </c>
      <c r="S509" s="14" t="str">
        <f t="shared" si="7"/>
        <v>Week 2</v>
      </c>
    </row>
    <row r="510" spans="1:19" x14ac:dyDescent="0.3">
      <c r="A510" s="8" t="s">
        <v>809</v>
      </c>
      <c r="B510" s="9">
        <v>43083</v>
      </c>
      <c r="C510" s="10" t="s">
        <v>810</v>
      </c>
      <c r="D510" s="10" t="s">
        <v>43</v>
      </c>
      <c r="E510" s="10" t="s">
        <v>91</v>
      </c>
      <c r="F510" s="11">
        <v>9</v>
      </c>
      <c r="G510" s="12">
        <v>1969.8</v>
      </c>
      <c r="H510" s="12">
        <v>17728.2</v>
      </c>
      <c r="I510" s="13">
        <v>1398.558</v>
      </c>
      <c r="J510" s="10" t="s">
        <v>54</v>
      </c>
      <c r="K510" s="10" t="s">
        <v>55</v>
      </c>
      <c r="L510" s="10" t="s">
        <v>56</v>
      </c>
      <c r="M510" s="12">
        <v>12587.022000000001</v>
      </c>
      <c r="N510" s="12">
        <v>5141.1779999999999</v>
      </c>
      <c r="O510" s="10">
        <v>28.999999999999901</v>
      </c>
      <c r="P510" s="10" t="s">
        <v>26</v>
      </c>
      <c r="Q510" s="10">
        <v>12</v>
      </c>
      <c r="R510" s="10" t="s">
        <v>27</v>
      </c>
      <c r="S510" s="14" t="str">
        <f t="shared" si="7"/>
        <v>Week 2</v>
      </c>
    </row>
    <row r="511" spans="1:19" x14ac:dyDescent="0.3">
      <c r="A511" s="15" t="s">
        <v>811</v>
      </c>
      <c r="B511" s="16">
        <v>43083</v>
      </c>
      <c r="C511" s="17" t="s">
        <v>148</v>
      </c>
      <c r="D511" s="17" t="s">
        <v>30</v>
      </c>
      <c r="E511" s="17" t="s">
        <v>31</v>
      </c>
      <c r="F511" s="18">
        <v>5</v>
      </c>
      <c r="G511" s="19">
        <v>1768.8</v>
      </c>
      <c r="H511" s="19">
        <v>8844</v>
      </c>
      <c r="I511" s="20">
        <v>972.84</v>
      </c>
      <c r="J511" s="17" t="s">
        <v>54</v>
      </c>
      <c r="K511" s="17" t="s">
        <v>55</v>
      </c>
      <c r="L511" s="17" t="s">
        <v>56</v>
      </c>
      <c r="M511" s="19">
        <v>4864.2</v>
      </c>
      <c r="N511" s="19">
        <v>3979.8</v>
      </c>
      <c r="O511" s="17">
        <v>45</v>
      </c>
      <c r="P511" s="17" t="s">
        <v>26</v>
      </c>
      <c r="Q511" s="17">
        <v>12</v>
      </c>
      <c r="R511" s="17" t="s">
        <v>27</v>
      </c>
      <c r="S511" s="14" t="str">
        <f t="shared" si="7"/>
        <v>Week 2</v>
      </c>
    </row>
    <row r="512" spans="1:19" x14ac:dyDescent="0.3">
      <c r="A512" s="8" t="s">
        <v>812</v>
      </c>
      <c r="B512" s="9">
        <v>43083</v>
      </c>
      <c r="C512" s="10" t="s">
        <v>170</v>
      </c>
      <c r="D512" s="10" t="s">
        <v>21</v>
      </c>
      <c r="E512" s="10" t="s">
        <v>103</v>
      </c>
      <c r="F512" s="11">
        <v>5</v>
      </c>
      <c r="G512" s="12">
        <v>1045.2</v>
      </c>
      <c r="H512" s="12">
        <v>5226</v>
      </c>
      <c r="I512" s="13">
        <v>836.16</v>
      </c>
      <c r="J512" s="10" t="s">
        <v>54</v>
      </c>
      <c r="K512" s="10" t="s">
        <v>55</v>
      </c>
      <c r="L512" s="10" t="s">
        <v>56</v>
      </c>
      <c r="M512" s="12">
        <v>4180.8</v>
      </c>
      <c r="N512" s="12">
        <v>1045.19999999999</v>
      </c>
      <c r="O512" s="10">
        <v>19.999999999999901</v>
      </c>
      <c r="P512" s="10" t="s">
        <v>26</v>
      </c>
      <c r="Q512" s="10">
        <v>12</v>
      </c>
      <c r="R512" s="10" t="s">
        <v>27</v>
      </c>
      <c r="S512" s="14" t="str">
        <f t="shared" si="7"/>
        <v>Week 2</v>
      </c>
    </row>
    <row r="513" spans="1:19" x14ac:dyDescent="0.3">
      <c r="A513" s="15" t="s">
        <v>813</v>
      </c>
      <c r="B513" s="16">
        <v>43083</v>
      </c>
      <c r="C513" s="17" t="s">
        <v>814</v>
      </c>
      <c r="D513" s="17" t="s">
        <v>30</v>
      </c>
      <c r="E513" s="17" t="s">
        <v>49</v>
      </c>
      <c r="F513" s="18">
        <v>11</v>
      </c>
      <c r="G513" s="19">
        <v>3946.3</v>
      </c>
      <c r="H513" s="19">
        <v>43409.3</v>
      </c>
      <c r="I513" s="20">
        <v>1657.4459999999999</v>
      </c>
      <c r="J513" s="17" t="s">
        <v>116</v>
      </c>
      <c r="K513" s="17" t="s">
        <v>117</v>
      </c>
      <c r="L513" s="17" t="s">
        <v>40</v>
      </c>
      <c r="M513" s="19">
        <v>18231.905999999999</v>
      </c>
      <c r="N513" s="19">
        <v>25177.394</v>
      </c>
      <c r="O513" s="17">
        <v>58</v>
      </c>
      <c r="P513" s="17" t="s">
        <v>26</v>
      </c>
      <c r="Q513" s="17">
        <v>12</v>
      </c>
      <c r="R513" s="17" t="s">
        <v>27</v>
      </c>
      <c r="S513" s="14" t="str">
        <f t="shared" si="7"/>
        <v>Week 2</v>
      </c>
    </row>
    <row r="514" spans="1:19" x14ac:dyDescent="0.3">
      <c r="A514" s="8" t="s">
        <v>815</v>
      </c>
      <c r="B514" s="9">
        <v>43083</v>
      </c>
      <c r="C514" s="10" t="s">
        <v>671</v>
      </c>
      <c r="D514" s="10" t="s">
        <v>43</v>
      </c>
      <c r="E514" s="10" t="s">
        <v>127</v>
      </c>
      <c r="F514" s="11">
        <v>10</v>
      </c>
      <c r="G514" s="12">
        <v>783.9</v>
      </c>
      <c r="H514" s="12">
        <v>7839</v>
      </c>
      <c r="I514" s="13">
        <v>313.56</v>
      </c>
      <c r="J514" s="10" t="s">
        <v>218</v>
      </c>
      <c r="K514" s="10" t="s">
        <v>219</v>
      </c>
      <c r="L514" s="10" t="s">
        <v>34</v>
      </c>
      <c r="M514" s="12">
        <v>3135.6</v>
      </c>
      <c r="N514" s="12">
        <v>4703.3999999999996</v>
      </c>
      <c r="O514" s="10">
        <v>60</v>
      </c>
      <c r="P514" s="10" t="s">
        <v>26</v>
      </c>
      <c r="Q514" s="10">
        <v>12</v>
      </c>
      <c r="R514" s="10" t="s">
        <v>27</v>
      </c>
      <c r="S514" s="14" t="str">
        <f t="shared" si="7"/>
        <v>Week 2</v>
      </c>
    </row>
    <row r="515" spans="1:19" x14ac:dyDescent="0.3">
      <c r="A515" s="15" t="s">
        <v>816</v>
      </c>
      <c r="B515" s="16">
        <v>43083</v>
      </c>
      <c r="C515" s="17" t="s">
        <v>114</v>
      </c>
      <c r="D515" s="17" t="s">
        <v>21</v>
      </c>
      <c r="E515" s="17" t="s">
        <v>93</v>
      </c>
      <c r="F515" s="18">
        <v>9</v>
      </c>
      <c r="G515" s="19">
        <v>1882.7</v>
      </c>
      <c r="H515" s="19">
        <v>16944.3</v>
      </c>
      <c r="I515" s="20">
        <v>1242.5820000000001</v>
      </c>
      <c r="J515" s="17" t="s">
        <v>411</v>
      </c>
      <c r="K515" s="17" t="s">
        <v>412</v>
      </c>
      <c r="L515" s="17" t="s">
        <v>56</v>
      </c>
      <c r="M515" s="19">
        <v>11183.237999999999</v>
      </c>
      <c r="N515" s="19">
        <v>5761.0619999999899</v>
      </c>
      <c r="O515" s="17">
        <v>33.999999999999901</v>
      </c>
      <c r="P515" s="17" t="s">
        <v>26</v>
      </c>
      <c r="Q515" s="17">
        <v>12</v>
      </c>
      <c r="R515" s="17" t="s">
        <v>27</v>
      </c>
      <c r="S515" s="14" t="str">
        <f t="shared" ref="S515:S578" si="8">"Week "&amp;INT((DAY(B515)-1)/7)+1</f>
        <v>Week 2</v>
      </c>
    </row>
    <row r="516" spans="1:19" x14ac:dyDescent="0.3">
      <c r="A516" s="8" t="s">
        <v>817</v>
      </c>
      <c r="B516" s="9">
        <v>43083</v>
      </c>
      <c r="C516" s="10" t="s">
        <v>154</v>
      </c>
      <c r="D516" s="10" t="s">
        <v>21</v>
      </c>
      <c r="E516" s="10" t="s">
        <v>115</v>
      </c>
      <c r="F516" s="11">
        <v>9</v>
      </c>
      <c r="G516" s="12">
        <v>1956.4</v>
      </c>
      <c r="H516" s="12">
        <v>17607.600000000002</v>
      </c>
      <c r="I516" s="13">
        <v>1604.248</v>
      </c>
      <c r="J516" s="10" t="s">
        <v>32</v>
      </c>
      <c r="K516" s="10" t="s">
        <v>33</v>
      </c>
      <c r="L516" s="10" t="s">
        <v>34</v>
      </c>
      <c r="M516" s="12">
        <v>14438.232</v>
      </c>
      <c r="N516" s="12">
        <v>3169.3679999999999</v>
      </c>
      <c r="O516" s="10">
        <v>18</v>
      </c>
      <c r="P516" s="10" t="s">
        <v>26</v>
      </c>
      <c r="Q516" s="10">
        <v>12</v>
      </c>
      <c r="R516" s="10" t="s">
        <v>27</v>
      </c>
      <c r="S516" s="14" t="str">
        <f t="shared" si="8"/>
        <v>Week 2</v>
      </c>
    </row>
    <row r="517" spans="1:19" x14ac:dyDescent="0.3">
      <c r="A517" s="15" t="s">
        <v>818</v>
      </c>
      <c r="B517" s="16">
        <v>43083</v>
      </c>
      <c r="C517" s="17" t="s">
        <v>328</v>
      </c>
      <c r="D517" s="17" t="s">
        <v>21</v>
      </c>
      <c r="E517" s="17" t="s">
        <v>31</v>
      </c>
      <c r="F517" s="18">
        <v>5</v>
      </c>
      <c r="G517" s="19">
        <v>1775.5</v>
      </c>
      <c r="H517" s="19">
        <v>8877.5</v>
      </c>
      <c r="I517" s="20">
        <v>1083.0550000000001</v>
      </c>
      <c r="J517" s="17" t="s">
        <v>45</v>
      </c>
      <c r="K517" s="17" t="s">
        <v>46</v>
      </c>
      <c r="L517" s="17" t="s">
        <v>34</v>
      </c>
      <c r="M517" s="19">
        <v>5415.2749999999996</v>
      </c>
      <c r="N517" s="19">
        <v>3462.2249999999899</v>
      </c>
      <c r="O517" s="17">
        <v>38.999999999999901</v>
      </c>
      <c r="P517" s="17" t="s">
        <v>26</v>
      </c>
      <c r="Q517" s="17">
        <v>12</v>
      </c>
      <c r="R517" s="17" t="s">
        <v>27</v>
      </c>
      <c r="S517" s="14" t="str">
        <f t="shared" si="8"/>
        <v>Week 2</v>
      </c>
    </row>
    <row r="518" spans="1:19" x14ac:dyDescent="0.3">
      <c r="A518" s="8" t="s">
        <v>819</v>
      </c>
      <c r="B518" s="9">
        <v>43083</v>
      </c>
      <c r="C518" s="10" t="s">
        <v>695</v>
      </c>
      <c r="D518" s="10" t="s">
        <v>30</v>
      </c>
      <c r="E518" s="10" t="s">
        <v>93</v>
      </c>
      <c r="F518" s="11">
        <v>9</v>
      </c>
      <c r="G518" s="12">
        <v>1963.1</v>
      </c>
      <c r="H518" s="12">
        <v>17667.899999999998</v>
      </c>
      <c r="I518" s="13">
        <v>1629.373</v>
      </c>
      <c r="J518" s="10" t="s">
        <v>225</v>
      </c>
      <c r="K518" s="10" t="s">
        <v>226</v>
      </c>
      <c r="L518" s="10" t="s">
        <v>25</v>
      </c>
      <c r="M518" s="12">
        <v>14664.357</v>
      </c>
      <c r="N518" s="12">
        <v>3003.5430000000001</v>
      </c>
      <c r="O518" s="10">
        <v>17</v>
      </c>
      <c r="P518" s="10" t="s">
        <v>26</v>
      </c>
      <c r="Q518" s="10">
        <v>12</v>
      </c>
      <c r="R518" s="10" t="s">
        <v>27</v>
      </c>
      <c r="S518" s="14" t="str">
        <f t="shared" si="8"/>
        <v>Week 2</v>
      </c>
    </row>
    <row r="519" spans="1:19" x14ac:dyDescent="0.3">
      <c r="A519" s="15" t="s">
        <v>820</v>
      </c>
      <c r="B519" s="16">
        <v>43083</v>
      </c>
      <c r="C519" s="17" t="s">
        <v>464</v>
      </c>
      <c r="D519" s="17" t="s">
        <v>21</v>
      </c>
      <c r="E519" s="17" t="s">
        <v>91</v>
      </c>
      <c r="F519" s="18">
        <v>5</v>
      </c>
      <c r="G519" s="19">
        <v>804</v>
      </c>
      <c r="H519" s="19">
        <v>4020</v>
      </c>
      <c r="I519" s="20">
        <v>683.4</v>
      </c>
      <c r="J519" s="17" t="s">
        <v>411</v>
      </c>
      <c r="K519" s="17" t="s">
        <v>412</v>
      </c>
      <c r="L519" s="17" t="s">
        <v>56</v>
      </c>
      <c r="M519" s="19">
        <v>3417</v>
      </c>
      <c r="N519" s="19">
        <v>603</v>
      </c>
      <c r="O519" s="17">
        <v>15</v>
      </c>
      <c r="P519" s="17" t="s">
        <v>26</v>
      </c>
      <c r="Q519" s="17">
        <v>12</v>
      </c>
      <c r="R519" s="17" t="s">
        <v>27</v>
      </c>
      <c r="S519" s="14" t="str">
        <f t="shared" si="8"/>
        <v>Week 2</v>
      </c>
    </row>
    <row r="520" spans="1:19" x14ac:dyDescent="0.3">
      <c r="A520" s="8" t="s">
        <v>821</v>
      </c>
      <c r="B520" s="9">
        <v>43083</v>
      </c>
      <c r="C520" s="10" t="s">
        <v>239</v>
      </c>
      <c r="D520" s="10" t="s">
        <v>21</v>
      </c>
      <c r="E520" s="10" t="s">
        <v>49</v>
      </c>
      <c r="F520" s="11">
        <v>12</v>
      </c>
      <c r="G520" s="12">
        <v>1943</v>
      </c>
      <c r="H520" s="12">
        <v>23316</v>
      </c>
      <c r="I520" s="13">
        <v>1632.12</v>
      </c>
      <c r="J520" s="10" t="s">
        <v>266</v>
      </c>
      <c r="K520" s="10" t="s">
        <v>267</v>
      </c>
      <c r="L520" s="10" t="s">
        <v>34</v>
      </c>
      <c r="M520" s="12">
        <v>19585.439999999999</v>
      </c>
      <c r="N520" s="12">
        <v>3730.56</v>
      </c>
      <c r="O520" s="10">
        <v>16</v>
      </c>
      <c r="P520" s="10" t="s">
        <v>26</v>
      </c>
      <c r="Q520" s="10">
        <v>12</v>
      </c>
      <c r="R520" s="10" t="s">
        <v>27</v>
      </c>
      <c r="S520" s="14" t="str">
        <f t="shared" si="8"/>
        <v>Week 2</v>
      </c>
    </row>
    <row r="521" spans="1:19" x14ac:dyDescent="0.3">
      <c r="A521" s="15" t="s">
        <v>822</v>
      </c>
      <c r="B521" s="16">
        <v>43083</v>
      </c>
      <c r="C521" s="17" t="s">
        <v>367</v>
      </c>
      <c r="D521" s="17" t="s">
        <v>43</v>
      </c>
      <c r="E521" s="17" t="s">
        <v>37</v>
      </c>
      <c r="F521" s="18">
        <v>8</v>
      </c>
      <c r="G521" s="19">
        <v>1809</v>
      </c>
      <c r="H521" s="19">
        <v>14472</v>
      </c>
      <c r="I521" s="20">
        <v>741.68999999999903</v>
      </c>
      <c r="J521" s="17" t="s">
        <v>54</v>
      </c>
      <c r="K521" s="17" t="s">
        <v>55</v>
      </c>
      <c r="L521" s="17" t="s">
        <v>56</v>
      </c>
      <c r="M521" s="19">
        <v>5933.5199999999904</v>
      </c>
      <c r="N521" s="19">
        <v>8538.48</v>
      </c>
      <c r="O521" s="17">
        <v>59</v>
      </c>
      <c r="P521" s="17" t="s">
        <v>26</v>
      </c>
      <c r="Q521" s="17">
        <v>12</v>
      </c>
      <c r="R521" s="17" t="s">
        <v>27</v>
      </c>
      <c r="S521" s="14" t="str">
        <f t="shared" si="8"/>
        <v>Week 2</v>
      </c>
    </row>
    <row r="522" spans="1:19" x14ac:dyDescent="0.3">
      <c r="A522" s="8" t="s">
        <v>823</v>
      </c>
      <c r="B522" s="9">
        <v>43083</v>
      </c>
      <c r="C522" s="10" t="s">
        <v>402</v>
      </c>
      <c r="D522" s="10" t="s">
        <v>21</v>
      </c>
      <c r="E522" s="10" t="s">
        <v>80</v>
      </c>
      <c r="F522" s="11">
        <v>12</v>
      </c>
      <c r="G522" s="12">
        <v>3865.9</v>
      </c>
      <c r="H522" s="12">
        <v>46390.8</v>
      </c>
      <c r="I522" s="13">
        <v>2822.107</v>
      </c>
      <c r="J522" s="10" t="s">
        <v>54</v>
      </c>
      <c r="K522" s="10" t="s">
        <v>55</v>
      </c>
      <c r="L522" s="10" t="s">
        <v>56</v>
      </c>
      <c r="M522" s="12">
        <v>33865.284</v>
      </c>
      <c r="N522" s="12">
        <v>12525.516</v>
      </c>
      <c r="O522" s="10">
        <v>27</v>
      </c>
      <c r="P522" s="10" t="s">
        <v>26</v>
      </c>
      <c r="Q522" s="10">
        <v>12</v>
      </c>
      <c r="R522" s="10" t="s">
        <v>27</v>
      </c>
      <c r="S522" s="14" t="str">
        <f t="shared" si="8"/>
        <v>Week 2</v>
      </c>
    </row>
    <row r="523" spans="1:19" x14ac:dyDescent="0.3">
      <c r="A523" s="15" t="s">
        <v>824</v>
      </c>
      <c r="B523" s="16">
        <v>43083</v>
      </c>
      <c r="C523" s="17" t="s">
        <v>468</v>
      </c>
      <c r="D523" s="17" t="s">
        <v>21</v>
      </c>
      <c r="E523" s="17" t="s">
        <v>37</v>
      </c>
      <c r="F523" s="18">
        <v>11</v>
      </c>
      <c r="G523" s="19">
        <v>2010</v>
      </c>
      <c r="H523" s="19">
        <v>22110</v>
      </c>
      <c r="I523" s="20">
        <v>1447.2</v>
      </c>
      <c r="J523" s="17" t="s">
        <v>76</v>
      </c>
      <c r="K523" s="17" t="s">
        <v>77</v>
      </c>
      <c r="L523" s="17" t="s">
        <v>56</v>
      </c>
      <c r="M523" s="19">
        <v>15919.2</v>
      </c>
      <c r="N523" s="19">
        <v>6190.7999999999902</v>
      </c>
      <c r="O523" s="17">
        <v>27.999999999999901</v>
      </c>
      <c r="P523" s="17" t="s">
        <v>26</v>
      </c>
      <c r="Q523" s="17">
        <v>12</v>
      </c>
      <c r="R523" s="17" t="s">
        <v>27</v>
      </c>
      <c r="S523" s="14" t="str">
        <f t="shared" si="8"/>
        <v>Week 2</v>
      </c>
    </row>
    <row r="524" spans="1:19" x14ac:dyDescent="0.3">
      <c r="A524" s="8" t="s">
        <v>825</v>
      </c>
      <c r="B524" s="9">
        <v>43083</v>
      </c>
      <c r="C524" s="10" t="s">
        <v>408</v>
      </c>
      <c r="D524" s="10" t="s">
        <v>30</v>
      </c>
      <c r="E524" s="10" t="s">
        <v>191</v>
      </c>
      <c r="F524" s="11">
        <v>9</v>
      </c>
      <c r="G524" s="12">
        <v>3966.4</v>
      </c>
      <c r="H524" s="12">
        <v>35697.599999999999</v>
      </c>
      <c r="I524" s="13">
        <v>2260.848</v>
      </c>
      <c r="J524" s="10" t="s">
        <v>50</v>
      </c>
      <c r="K524" s="10" t="s">
        <v>51</v>
      </c>
      <c r="L524" s="10" t="s">
        <v>40</v>
      </c>
      <c r="M524" s="12">
        <v>20347.6319999999</v>
      </c>
      <c r="N524" s="12">
        <v>15349.968000000001</v>
      </c>
      <c r="O524" s="10">
        <v>43</v>
      </c>
      <c r="P524" s="10" t="s">
        <v>26</v>
      </c>
      <c r="Q524" s="10">
        <v>12</v>
      </c>
      <c r="R524" s="10" t="s">
        <v>27</v>
      </c>
      <c r="S524" s="14" t="str">
        <f t="shared" si="8"/>
        <v>Week 2</v>
      </c>
    </row>
    <row r="525" spans="1:19" x14ac:dyDescent="0.3">
      <c r="A525" s="15" t="s">
        <v>826</v>
      </c>
      <c r="B525" s="16">
        <v>43083</v>
      </c>
      <c r="C525" s="17" t="s">
        <v>543</v>
      </c>
      <c r="D525" s="17" t="s">
        <v>21</v>
      </c>
      <c r="E525" s="17" t="s">
        <v>93</v>
      </c>
      <c r="F525" s="18">
        <v>10</v>
      </c>
      <c r="G525" s="19">
        <v>268</v>
      </c>
      <c r="H525" s="19">
        <v>2680</v>
      </c>
      <c r="I525" s="20">
        <v>187.6</v>
      </c>
      <c r="J525" s="17" t="s">
        <v>50</v>
      </c>
      <c r="K525" s="17" t="s">
        <v>51</v>
      </c>
      <c r="L525" s="17" t="s">
        <v>40</v>
      </c>
      <c r="M525" s="19">
        <v>1876</v>
      </c>
      <c r="N525" s="19">
        <v>804</v>
      </c>
      <c r="O525" s="17">
        <v>30</v>
      </c>
      <c r="P525" s="17" t="s">
        <v>26</v>
      </c>
      <c r="Q525" s="17">
        <v>12</v>
      </c>
      <c r="R525" s="17" t="s">
        <v>27</v>
      </c>
      <c r="S525" s="14" t="str">
        <f t="shared" si="8"/>
        <v>Week 2</v>
      </c>
    </row>
    <row r="526" spans="1:19" x14ac:dyDescent="0.3">
      <c r="A526" s="8" t="s">
        <v>827</v>
      </c>
      <c r="B526" s="9">
        <v>43083</v>
      </c>
      <c r="C526" s="10" t="s">
        <v>61</v>
      </c>
      <c r="D526" s="10" t="s">
        <v>30</v>
      </c>
      <c r="E526" s="10" t="s">
        <v>326</v>
      </c>
      <c r="F526" s="11">
        <v>6</v>
      </c>
      <c r="G526" s="12">
        <v>1085.4000000000001</v>
      </c>
      <c r="H526" s="12">
        <v>6512.4000000000005</v>
      </c>
      <c r="I526" s="13">
        <v>445.01400000000001</v>
      </c>
      <c r="J526" s="10" t="s">
        <v>159</v>
      </c>
      <c r="K526" s="10" t="s">
        <v>160</v>
      </c>
      <c r="L526" s="10" t="s">
        <v>25</v>
      </c>
      <c r="M526" s="12">
        <v>2670.0839999999998</v>
      </c>
      <c r="N526" s="12">
        <v>3842.3159999999998</v>
      </c>
      <c r="O526" s="10">
        <v>59</v>
      </c>
      <c r="P526" s="10" t="s">
        <v>26</v>
      </c>
      <c r="Q526" s="10">
        <v>12</v>
      </c>
      <c r="R526" s="10" t="s">
        <v>27</v>
      </c>
      <c r="S526" s="14" t="str">
        <f t="shared" si="8"/>
        <v>Week 2</v>
      </c>
    </row>
    <row r="527" spans="1:19" x14ac:dyDescent="0.3">
      <c r="A527" s="15" t="s">
        <v>828</v>
      </c>
      <c r="B527" s="16">
        <v>43083</v>
      </c>
      <c r="C527" s="17" t="s">
        <v>591</v>
      </c>
      <c r="D527" s="17" t="s">
        <v>21</v>
      </c>
      <c r="E527" s="17" t="s">
        <v>149</v>
      </c>
      <c r="F527" s="18">
        <v>5</v>
      </c>
      <c r="G527" s="19">
        <v>1989.9</v>
      </c>
      <c r="H527" s="19">
        <v>9949.5</v>
      </c>
      <c r="I527" s="20">
        <v>1631.7180000000001</v>
      </c>
      <c r="J527" s="17" t="s">
        <v>411</v>
      </c>
      <c r="K527" s="17" t="s">
        <v>412</v>
      </c>
      <c r="L527" s="17" t="s">
        <v>56</v>
      </c>
      <c r="M527" s="19">
        <v>8158.59</v>
      </c>
      <c r="N527" s="19">
        <v>1790.9099999999901</v>
      </c>
      <c r="O527" s="17">
        <v>18</v>
      </c>
      <c r="P527" s="17" t="s">
        <v>26</v>
      </c>
      <c r="Q527" s="17">
        <v>12</v>
      </c>
      <c r="R527" s="17" t="s">
        <v>27</v>
      </c>
      <c r="S527" s="14" t="str">
        <f t="shared" si="8"/>
        <v>Week 2</v>
      </c>
    </row>
    <row r="528" spans="1:19" x14ac:dyDescent="0.3">
      <c r="A528" s="8" t="s">
        <v>829</v>
      </c>
      <c r="B528" s="9">
        <v>43083</v>
      </c>
      <c r="C528" s="10" t="s">
        <v>288</v>
      </c>
      <c r="D528" s="10" t="s">
        <v>21</v>
      </c>
      <c r="E528" s="10" t="s">
        <v>49</v>
      </c>
      <c r="F528" s="11">
        <v>8</v>
      </c>
      <c r="G528" s="12">
        <v>1118.9000000000001</v>
      </c>
      <c r="H528" s="12">
        <v>8951.2000000000007</v>
      </c>
      <c r="I528" s="13">
        <v>839.17499999999995</v>
      </c>
      <c r="J528" s="10" t="s">
        <v>212</v>
      </c>
      <c r="K528" s="10" t="s">
        <v>213</v>
      </c>
      <c r="L528" s="10" t="s">
        <v>34</v>
      </c>
      <c r="M528" s="12">
        <v>6713.4</v>
      </c>
      <c r="N528" s="12">
        <v>2237.8000000000002</v>
      </c>
      <c r="O528" s="10">
        <v>25</v>
      </c>
      <c r="P528" s="10" t="s">
        <v>26</v>
      </c>
      <c r="Q528" s="10">
        <v>12</v>
      </c>
      <c r="R528" s="10" t="s">
        <v>27</v>
      </c>
      <c r="S528" s="14" t="str">
        <f t="shared" si="8"/>
        <v>Week 2</v>
      </c>
    </row>
    <row r="529" spans="1:19" x14ac:dyDescent="0.3">
      <c r="A529" s="15" t="s">
        <v>830</v>
      </c>
      <c r="B529" s="16">
        <v>43083</v>
      </c>
      <c r="C529" s="17" t="s">
        <v>311</v>
      </c>
      <c r="D529" s="17" t="s">
        <v>21</v>
      </c>
      <c r="E529" s="17" t="s">
        <v>91</v>
      </c>
      <c r="F529" s="18">
        <v>5</v>
      </c>
      <c r="G529" s="19">
        <v>1929.6</v>
      </c>
      <c r="H529" s="19">
        <v>9648</v>
      </c>
      <c r="I529" s="20">
        <v>1485.7919999999999</v>
      </c>
      <c r="J529" s="17" t="s">
        <v>436</v>
      </c>
      <c r="K529" s="17" t="s">
        <v>437</v>
      </c>
      <c r="L529" s="17" t="s">
        <v>25</v>
      </c>
      <c r="M529" s="19">
        <v>7428.96</v>
      </c>
      <c r="N529" s="19">
        <v>2219.03999999999</v>
      </c>
      <c r="O529" s="17">
        <v>22.999999999999901</v>
      </c>
      <c r="P529" s="17" t="s">
        <v>26</v>
      </c>
      <c r="Q529" s="17">
        <v>12</v>
      </c>
      <c r="R529" s="17" t="s">
        <v>27</v>
      </c>
      <c r="S529" s="14" t="str">
        <f t="shared" si="8"/>
        <v>Week 2</v>
      </c>
    </row>
    <row r="530" spans="1:19" x14ac:dyDescent="0.3">
      <c r="A530" s="8" t="s">
        <v>831</v>
      </c>
      <c r="B530" s="9">
        <v>43083</v>
      </c>
      <c r="C530" s="10" t="s">
        <v>832</v>
      </c>
      <c r="D530" s="10" t="s">
        <v>43</v>
      </c>
      <c r="E530" s="10" t="s">
        <v>230</v>
      </c>
      <c r="F530" s="11">
        <v>10</v>
      </c>
      <c r="G530" s="12">
        <v>790.6</v>
      </c>
      <c r="H530" s="12">
        <v>7906</v>
      </c>
      <c r="I530" s="13">
        <v>545.51400000000001</v>
      </c>
      <c r="J530" s="10" t="s">
        <v>76</v>
      </c>
      <c r="K530" s="10" t="s">
        <v>77</v>
      </c>
      <c r="L530" s="10" t="s">
        <v>56</v>
      </c>
      <c r="M530" s="12">
        <v>5455.14</v>
      </c>
      <c r="N530" s="12">
        <v>2450.8599999999901</v>
      </c>
      <c r="O530" s="10">
        <v>30.999999999999901</v>
      </c>
      <c r="P530" s="10" t="s">
        <v>26</v>
      </c>
      <c r="Q530" s="10">
        <v>12</v>
      </c>
      <c r="R530" s="10" t="s">
        <v>27</v>
      </c>
      <c r="S530" s="14" t="str">
        <f t="shared" si="8"/>
        <v>Week 2</v>
      </c>
    </row>
    <row r="531" spans="1:19" x14ac:dyDescent="0.3">
      <c r="A531" s="15" t="s">
        <v>833</v>
      </c>
      <c r="B531" s="16">
        <v>43083</v>
      </c>
      <c r="C531" s="17" t="s">
        <v>68</v>
      </c>
      <c r="D531" s="17" t="s">
        <v>21</v>
      </c>
      <c r="E531" s="17" t="s">
        <v>73</v>
      </c>
      <c r="F531" s="18">
        <v>8</v>
      </c>
      <c r="G531" s="19">
        <v>2659.9</v>
      </c>
      <c r="H531" s="19">
        <v>21279.200000000001</v>
      </c>
      <c r="I531" s="20">
        <v>2260.915</v>
      </c>
      <c r="J531" s="17" t="s">
        <v>23</v>
      </c>
      <c r="K531" s="17" t="s">
        <v>24</v>
      </c>
      <c r="L531" s="17" t="s">
        <v>25</v>
      </c>
      <c r="M531" s="19">
        <v>18087.32</v>
      </c>
      <c r="N531" s="19">
        <v>3191.88</v>
      </c>
      <c r="O531" s="17">
        <v>15</v>
      </c>
      <c r="P531" s="17" t="s">
        <v>26</v>
      </c>
      <c r="Q531" s="17">
        <v>12</v>
      </c>
      <c r="R531" s="17" t="s">
        <v>27</v>
      </c>
      <c r="S531" s="14" t="str">
        <f t="shared" si="8"/>
        <v>Week 2</v>
      </c>
    </row>
    <row r="532" spans="1:19" x14ac:dyDescent="0.3">
      <c r="A532" s="8" t="s">
        <v>834</v>
      </c>
      <c r="B532" s="9">
        <v>43083</v>
      </c>
      <c r="C532" s="10" t="s">
        <v>211</v>
      </c>
      <c r="D532" s="10" t="s">
        <v>21</v>
      </c>
      <c r="E532" s="10" t="s">
        <v>59</v>
      </c>
      <c r="F532" s="11">
        <v>10</v>
      </c>
      <c r="G532" s="12">
        <v>2659.9</v>
      </c>
      <c r="H532" s="12">
        <v>26599</v>
      </c>
      <c r="I532" s="13">
        <v>1117.1579999999999</v>
      </c>
      <c r="J532" s="10" t="s">
        <v>54</v>
      </c>
      <c r="K532" s="10" t="s">
        <v>55</v>
      </c>
      <c r="L532" s="10" t="s">
        <v>56</v>
      </c>
      <c r="M532" s="12">
        <v>11171.5799999999</v>
      </c>
      <c r="N532" s="12">
        <v>15427.42</v>
      </c>
      <c r="O532" s="10">
        <v>58</v>
      </c>
      <c r="P532" s="10" t="s">
        <v>26</v>
      </c>
      <c r="Q532" s="10">
        <v>12</v>
      </c>
      <c r="R532" s="10" t="s">
        <v>27</v>
      </c>
      <c r="S532" s="14" t="str">
        <f t="shared" si="8"/>
        <v>Week 2</v>
      </c>
    </row>
    <row r="533" spans="1:19" x14ac:dyDescent="0.3">
      <c r="A533" s="15" t="s">
        <v>835</v>
      </c>
      <c r="B533" s="16">
        <v>43083</v>
      </c>
      <c r="C533" s="17" t="s">
        <v>109</v>
      </c>
      <c r="D533" s="17" t="s">
        <v>21</v>
      </c>
      <c r="E533" s="17" t="s">
        <v>22</v>
      </c>
      <c r="F533" s="18">
        <v>9</v>
      </c>
      <c r="G533" s="19">
        <v>1118.9000000000001</v>
      </c>
      <c r="H533" s="19">
        <v>10070.1</v>
      </c>
      <c r="I533" s="20">
        <v>492.31599999999997</v>
      </c>
      <c r="J533" s="17" t="s">
        <v>45</v>
      </c>
      <c r="K533" s="17" t="s">
        <v>46</v>
      </c>
      <c r="L533" s="17" t="s">
        <v>34</v>
      </c>
      <c r="M533" s="19">
        <v>4430.8440000000001</v>
      </c>
      <c r="N533" s="19">
        <v>5639.2560000000003</v>
      </c>
      <c r="O533" s="17">
        <v>56</v>
      </c>
      <c r="P533" s="17" t="s">
        <v>26</v>
      </c>
      <c r="Q533" s="17">
        <v>12</v>
      </c>
      <c r="R533" s="17" t="s">
        <v>27</v>
      </c>
      <c r="S533" s="14" t="str">
        <f t="shared" si="8"/>
        <v>Week 2</v>
      </c>
    </row>
    <row r="534" spans="1:19" x14ac:dyDescent="0.3">
      <c r="A534" s="8" t="s">
        <v>399</v>
      </c>
      <c r="B534" s="9">
        <v>43083</v>
      </c>
      <c r="C534" s="10" t="s">
        <v>182</v>
      </c>
      <c r="D534" s="10" t="s">
        <v>43</v>
      </c>
      <c r="E534" s="10" t="s">
        <v>93</v>
      </c>
      <c r="F534" s="11">
        <v>8</v>
      </c>
      <c r="G534" s="12">
        <v>5768.7</v>
      </c>
      <c r="H534" s="12">
        <v>46149.599999999999</v>
      </c>
      <c r="I534" s="13">
        <v>3922.7159999999999</v>
      </c>
      <c r="J534" s="10" t="s">
        <v>54</v>
      </c>
      <c r="K534" s="10" t="s">
        <v>55</v>
      </c>
      <c r="L534" s="10" t="s">
        <v>56</v>
      </c>
      <c r="M534" s="12">
        <v>31381.727999999999</v>
      </c>
      <c r="N534" s="12">
        <v>14767.871999999899</v>
      </c>
      <c r="O534" s="10">
        <v>31.999999999999901</v>
      </c>
      <c r="P534" s="10" t="s">
        <v>26</v>
      </c>
      <c r="Q534" s="10">
        <v>12</v>
      </c>
      <c r="R534" s="10" t="s">
        <v>27</v>
      </c>
      <c r="S534" s="14" t="str">
        <f t="shared" si="8"/>
        <v>Week 2</v>
      </c>
    </row>
    <row r="535" spans="1:19" x14ac:dyDescent="0.3">
      <c r="A535" s="15" t="s">
        <v>836</v>
      </c>
      <c r="B535" s="16">
        <v>43083</v>
      </c>
      <c r="C535" s="17" t="s">
        <v>837</v>
      </c>
      <c r="D535" s="17" t="s">
        <v>30</v>
      </c>
      <c r="E535" s="17" t="s">
        <v>306</v>
      </c>
      <c r="F535" s="18">
        <v>8</v>
      </c>
      <c r="G535" s="19">
        <v>2827.4</v>
      </c>
      <c r="H535" s="19">
        <v>22619.200000000001</v>
      </c>
      <c r="I535" s="20">
        <v>1272.33</v>
      </c>
      <c r="J535" s="17" t="s">
        <v>94</v>
      </c>
      <c r="K535" s="17" t="s">
        <v>95</v>
      </c>
      <c r="L535" s="17" t="s">
        <v>40</v>
      </c>
      <c r="M535" s="19">
        <v>10178.64</v>
      </c>
      <c r="N535" s="19">
        <v>12440.56</v>
      </c>
      <c r="O535" s="17">
        <v>54.999999999999901</v>
      </c>
      <c r="P535" s="17" t="s">
        <v>26</v>
      </c>
      <c r="Q535" s="17">
        <v>12</v>
      </c>
      <c r="R535" s="17" t="s">
        <v>27</v>
      </c>
      <c r="S535" s="14" t="str">
        <f t="shared" si="8"/>
        <v>Week 2</v>
      </c>
    </row>
    <row r="536" spans="1:19" x14ac:dyDescent="0.3">
      <c r="A536" s="8" t="s">
        <v>838</v>
      </c>
      <c r="B536" s="9">
        <v>43083</v>
      </c>
      <c r="C536" s="10" t="s">
        <v>514</v>
      </c>
      <c r="D536" s="10" t="s">
        <v>30</v>
      </c>
      <c r="E536" s="10" t="s">
        <v>73</v>
      </c>
      <c r="F536" s="11">
        <v>6</v>
      </c>
      <c r="G536" s="12">
        <v>167.5</v>
      </c>
      <c r="H536" s="12">
        <v>1005</v>
      </c>
      <c r="I536" s="13">
        <v>68.674999999999997</v>
      </c>
      <c r="J536" s="10" t="s">
        <v>257</v>
      </c>
      <c r="K536" s="10" t="s">
        <v>258</v>
      </c>
      <c r="L536" s="10" t="s">
        <v>25</v>
      </c>
      <c r="M536" s="12">
        <v>412.04999999999899</v>
      </c>
      <c r="N536" s="12">
        <v>592.95000000000005</v>
      </c>
      <c r="O536" s="10">
        <v>59</v>
      </c>
      <c r="P536" s="10" t="s">
        <v>26</v>
      </c>
      <c r="Q536" s="10">
        <v>12</v>
      </c>
      <c r="R536" s="10" t="s">
        <v>27</v>
      </c>
      <c r="S536" s="14" t="str">
        <f t="shared" si="8"/>
        <v>Week 2</v>
      </c>
    </row>
    <row r="537" spans="1:19" x14ac:dyDescent="0.3">
      <c r="A537" s="15" t="s">
        <v>839</v>
      </c>
      <c r="B537" s="16">
        <v>43083</v>
      </c>
      <c r="C537" s="17" t="s">
        <v>683</v>
      </c>
      <c r="D537" s="17" t="s">
        <v>21</v>
      </c>
      <c r="E537" s="17" t="s">
        <v>73</v>
      </c>
      <c r="F537" s="18">
        <v>5</v>
      </c>
      <c r="G537" s="19">
        <v>904.5</v>
      </c>
      <c r="H537" s="19">
        <v>4522.5</v>
      </c>
      <c r="I537" s="20">
        <v>714.55499999999995</v>
      </c>
      <c r="J537" s="17" t="s">
        <v>132</v>
      </c>
      <c r="K537" s="17" t="s">
        <v>133</v>
      </c>
      <c r="L537" s="17" t="s">
        <v>34</v>
      </c>
      <c r="M537" s="19">
        <v>3572.7750000000001</v>
      </c>
      <c r="N537" s="19">
        <v>949.724999999999</v>
      </c>
      <c r="O537" s="17">
        <v>20.999999999999901</v>
      </c>
      <c r="P537" s="17" t="s">
        <v>26</v>
      </c>
      <c r="Q537" s="17">
        <v>12</v>
      </c>
      <c r="R537" s="17" t="s">
        <v>27</v>
      </c>
      <c r="S537" s="14" t="str">
        <f t="shared" si="8"/>
        <v>Week 2</v>
      </c>
    </row>
    <row r="538" spans="1:19" x14ac:dyDescent="0.3">
      <c r="A538" s="8" t="s">
        <v>840</v>
      </c>
      <c r="B538" s="9">
        <v>43083</v>
      </c>
      <c r="C538" s="10" t="s">
        <v>568</v>
      </c>
      <c r="D538" s="10" t="s">
        <v>21</v>
      </c>
      <c r="E538" s="10" t="s">
        <v>31</v>
      </c>
      <c r="F538" s="11">
        <v>9</v>
      </c>
      <c r="G538" s="12">
        <v>1125.5999999999999</v>
      </c>
      <c r="H538" s="12">
        <v>10130.4</v>
      </c>
      <c r="I538" s="13">
        <v>461.49599999999998</v>
      </c>
      <c r="J538" s="10" t="s">
        <v>139</v>
      </c>
      <c r="K538" s="10" t="s">
        <v>140</v>
      </c>
      <c r="L538" s="10" t="s">
        <v>34</v>
      </c>
      <c r="M538" s="12">
        <v>4153.4639999999999</v>
      </c>
      <c r="N538" s="12">
        <v>5976.9359999999997</v>
      </c>
      <c r="O538" s="10">
        <v>59</v>
      </c>
      <c r="P538" s="10" t="s">
        <v>26</v>
      </c>
      <c r="Q538" s="10">
        <v>12</v>
      </c>
      <c r="R538" s="10" t="s">
        <v>27</v>
      </c>
      <c r="S538" s="14" t="str">
        <f t="shared" si="8"/>
        <v>Week 2</v>
      </c>
    </row>
    <row r="539" spans="1:19" x14ac:dyDescent="0.3">
      <c r="A539" s="15" t="s">
        <v>841</v>
      </c>
      <c r="B539" s="16">
        <v>43083</v>
      </c>
      <c r="C539" s="17" t="s">
        <v>414</v>
      </c>
      <c r="D539" s="17" t="s">
        <v>21</v>
      </c>
      <c r="E539" s="17" t="s">
        <v>230</v>
      </c>
      <c r="F539" s="18">
        <v>9</v>
      </c>
      <c r="G539" s="19">
        <v>2572.8000000000002</v>
      </c>
      <c r="H539" s="19">
        <v>23155.200000000001</v>
      </c>
      <c r="I539" s="20">
        <v>1878.144</v>
      </c>
      <c r="J539" s="17" t="s">
        <v>45</v>
      </c>
      <c r="K539" s="17" t="s">
        <v>46</v>
      </c>
      <c r="L539" s="17" t="s">
        <v>34</v>
      </c>
      <c r="M539" s="19">
        <v>16903.295999999998</v>
      </c>
      <c r="N539" s="19">
        <v>6251.9040000000005</v>
      </c>
      <c r="O539" s="17">
        <v>27</v>
      </c>
      <c r="P539" s="17" t="s">
        <v>26</v>
      </c>
      <c r="Q539" s="17">
        <v>12</v>
      </c>
      <c r="R539" s="17" t="s">
        <v>27</v>
      </c>
      <c r="S539" s="14" t="str">
        <f t="shared" si="8"/>
        <v>Week 2</v>
      </c>
    </row>
    <row r="540" spans="1:19" x14ac:dyDescent="0.3">
      <c r="A540" s="8" t="s">
        <v>842</v>
      </c>
      <c r="B540" s="9">
        <v>43083</v>
      </c>
      <c r="C540" s="10" t="s">
        <v>843</v>
      </c>
      <c r="D540" s="10" t="s">
        <v>21</v>
      </c>
      <c r="E540" s="10" t="s">
        <v>31</v>
      </c>
      <c r="F540" s="11">
        <v>12</v>
      </c>
      <c r="G540" s="12">
        <v>2666.6</v>
      </c>
      <c r="H540" s="12">
        <v>31999.199999999997</v>
      </c>
      <c r="I540" s="13">
        <v>1626.626</v>
      </c>
      <c r="J540" s="10" t="s">
        <v>116</v>
      </c>
      <c r="K540" s="10" t="s">
        <v>117</v>
      </c>
      <c r="L540" s="10" t="s">
        <v>40</v>
      </c>
      <c r="M540" s="12">
        <v>19519.511999999999</v>
      </c>
      <c r="N540" s="12">
        <v>12479.6879999999</v>
      </c>
      <c r="O540" s="10">
        <v>38.999999999999901</v>
      </c>
      <c r="P540" s="10" t="s">
        <v>26</v>
      </c>
      <c r="Q540" s="10">
        <v>12</v>
      </c>
      <c r="R540" s="10" t="s">
        <v>27</v>
      </c>
      <c r="S540" s="14" t="str">
        <f t="shared" si="8"/>
        <v>Week 2</v>
      </c>
    </row>
    <row r="541" spans="1:19" x14ac:dyDescent="0.3">
      <c r="A541" s="15" t="s">
        <v>844</v>
      </c>
      <c r="B541" s="16">
        <v>43083</v>
      </c>
      <c r="C541" s="17" t="s">
        <v>568</v>
      </c>
      <c r="D541" s="17" t="s">
        <v>21</v>
      </c>
      <c r="E541" s="17" t="s">
        <v>31</v>
      </c>
      <c r="F541" s="18">
        <v>11</v>
      </c>
      <c r="G541" s="19">
        <v>1139</v>
      </c>
      <c r="H541" s="19">
        <v>12529</v>
      </c>
      <c r="I541" s="20">
        <v>933.979999999999</v>
      </c>
      <c r="J541" s="17" t="s">
        <v>218</v>
      </c>
      <c r="K541" s="17" t="s">
        <v>219</v>
      </c>
      <c r="L541" s="17" t="s">
        <v>34</v>
      </c>
      <c r="M541" s="19">
        <v>10273.779999999901</v>
      </c>
      <c r="N541" s="19">
        <v>2255.2199999999998</v>
      </c>
      <c r="O541" s="17">
        <v>18</v>
      </c>
      <c r="P541" s="17" t="s">
        <v>26</v>
      </c>
      <c r="Q541" s="17">
        <v>12</v>
      </c>
      <c r="R541" s="17" t="s">
        <v>27</v>
      </c>
      <c r="S541" s="14" t="str">
        <f t="shared" si="8"/>
        <v>Week 2</v>
      </c>
    </row>
    <row r="542" spans="1:19" x14ac:dyDescent="0.3">
      <c r="A542" s="8" t="s">
        <v>845</v>
      </c>
      <c r="B542" s="9">
        <v>43083</v>
      </c>
      <c r="C542" s="10" t="s">
        <v>236</v>
      </c>
      <c r="D542" s="10" t="s">
        <v>30</v>
      </c>
      <c r="E542" s="10" t="s">
        <v>127</v>
      </c>
      <c r="F542" s="11">
        <v>5</v>
      </c>
      <c r="G542" s="12">
        <v>2559.4</v>
      </c>
      <c r="H542" s="12">
        <v>12797</v>
      </c>
      <c r="I542" s="13">
        <v>1970.7380000000001</v>
      </c>
      <c r="J542" s="10" t="s">
        <v>38</v>
      </c>
      <c r="K542" s="10" t="s">
        <v>39</v>
      </c>
      <c r="L542" s="10" t="s">
        <v>40</v>
      </c>
      <c r="M542" s="12">
        <v>9853.69</v>
      </c>
      <c r="N542" s="12">
        <v>2943.3099999999899</v>
      </c>
      <c r="O542" s="10">
        <v>22.999999999999901</v>
      </c>
      <c r="P542" s="10" t="s">
        <v>26</v>
      </c>
      <c r="Q542" s="10">
        <v>12</v>
      </c>
      <c r="R542" s="10" t="s">
        <v>27</v>
      </c>
      <c r="S542" s="14" t="str">
        <f t="shared" si="8"/>
        <v>Week 2</v>
      </c>
    </row>
    <row r="543" spans="1:19" x14ac:dyDescent="0.3">
      <c r="A543" s="15" t="s">
        <v>846</v>
      </c>
      <c r="B543" s="16">
        <v>43083</v>
      </c>
      <c r="C543" s="17" t="s">
        <v>304</v>
      </c>
      <c r="D543" s="17" t="s">
        <v>21</v>
      </c>
      <c r="E543" s="17" t="s">
        <v>37</v>
      </c>
      <c r="F543" s="18">
        <v>7</v>
      </c>
      <c r="G543" s="19">
        <v>1782.2</v>
      </c>
      <c r="H543" s="19">
        <v>12475.4</v>
      </c>
      <c r="I543" s="20">
        <v>1122.7860000000001</v>
      </c>
      <c r="J543" s="17" t="s">
        <v>23</v>
      </c>
      <c r="K543" s="17" t="s">
        <v>24</v>
      </c>
      <c r="L543" s="17" t="s">
        <v>25</v>
      </c>
      <c r="M543" s="19">
        <v>7859.5020000000004</v>
      </c>
      <c r="N543" s="19">
        <v>4615.8979999999901</v>
      </c>
      <c r="O543" s="17">
        <v>36.999999999999901</v>
      </c>
      <c r="P543" s="17" t="s">
        <v>26</v>
      </c>
      <c r="Q543" s="17">
        <v>12</v>
      </c>
      <c r="R543" s="17" t="s">
        <v>27</v>
      </c>
      <c r="S543" s="14" t="str">
        <f t="shared" si="8"/>
        <v>Week 2</v>
      </c>
    </row>
    <row r="544" spans="1:19" x14ac:dyDescent="0.3">
      <c r="A544" s="8" t="s">
        <v>847</v>
      </c>
      <c r="B544" s="9">
        <v>43083</v>
      </c>
      <c r="C544" s="10" t="s">
        <v>114</v>
      </c>
      <c r="D544" s="10" t="s">
        <v>30</v>
      </c>
      <c r="E544" s="10" t="s">
        <v>31</v>
      </c>
      <c r="F544" s="11">
        <v>10</v>
      </c>
      <c r="G544" s="12">
        <v>1085.4000000000001</v>
      </c>
      <c r="H544" s="12">
        <v>10854</v>
      </c>
      <c r="I544" s="13">
        <v>759.78</v>
      </c>
      <c r="J544" s="10" t="s">
        <v>38</v>
      </c>
      <c r="K544" s="10" t="s">
        <v>39</v>
      </c>
      <c r="L544" s="10" t="s">
        <v>40</v>
      </c>
      <c r="M544" s="12">
        <v>7597.7999999999902</v>
      </c>
      <c r="N544" s="12">
        <v>3256.2</v>
      </c>
      <c r="O544" s="10">
        <v>30</v>
      </c>
      <c r="P544" s="10" t="s">
        <v>26</v>
      </c>
      <c r="Q544" s="10">
        <v>12</v>
      </c>
      <c r="R544" s="10" t="s">
        <v>27</v>
      </c>
      <c r="S544" s="14" t="str">
        <f t="shared" si="8"/>
        <v>Week 2</v>
      </c>
    </row>
    <row r="545" spans="1:19" x14ac:dyDescent="0.3">
      <c r="A545" s="15" t="s">
        <v>848</v>
      </c>
      <c r="B545" s="16">
        <v>43083</v>
      </c>
      <c r="C545" s="17" t="s">
        <v>185</v>
      </c>
      <c r="D545" s="17" t="s">
        <v>30</v>
      </c>
      <c r="E545" s="17" t="s">
        <v>73</v>
      </c>
      <c r="F545" s="18">
        <v>11</v>
      </c>
      <c r="G545" s="19">
        <v>1929.6</v>
      </c>
      <c r="H545" s="19">
        <v>21225.599999999999</v>
      </c>
      <c r="I545" s="20">
        <v>868.32</v>
      </c>
      <c r="J545" s="17" t="s">
        <v>83</v>
      </c>
      <c r="K545" s="17" t="s">
        <v>84</v>
      </c>
      <c r="L545" s="17" t="s">
        <v>34</v>
      </c>
      <c r="M545" s="19">
        <v>9551.52</v>
      </c>
      <c r="N545" s="19">
        <v>11674.08</v>
      </c>
      <c r="O545" s="17">
        <v>55</v>
      </c>
      <c r="P545" s="17" t="s">
        <v>26</v>
      </c>
      <c r="Q545" s="17">
        <v>12</v>
      </c>
      <c r="R545" s="17" t="s">
        <v>27</v>
      </c>
      <c r="S545" s="14" t="str">
        <f t="shared" si="8"/>
        <v>Week 2</v>
      </c>
    </row>
    <row r="546" spans="1:19" x14ac:dyDescent="0.3">
      <c r="A546" s="8" t="s">
        <v>849</v>
      </c>
      <c r="B546" s="9">
        <v>43083</v>
      </c>
      <c r="C546" s="10" t="s">
        <v>239</v>
      </c>
      <c r="D546" s="10" t="s">
        <v>30</v>
      </c>
      <c r="E546" s="10" t="s">
        <v>31</v>
      </c>
      <c r="F546" s="11">
        <v>5</v>
      </c>
      <c r="G546" s="12">
        <v>167.5</v>
      </c>
      <c r="H546" s="12">
        <v>837.5</v>
      </c>
      <c r="I546" s="13">
        <v>142.375</v>
      </c>
      <c r="J546" s="10" t="s">
        <v>23</v>
      </c>
      <c r="K546" s="10" t="s">
        <v>24</v>
      </c>
      <c r="L546" s="10" t="s">
        <v>25</v>
      </c>
      <c r="M546" s="12">
        <v>711.875</v>
      </c>
      <c r="N546" s="12">
        <v>125.625</v>
      </c>
      <c r="O546" s="10">
        <v>15</v>
      </c>
      <c r="P546" s="10" t="s">
        <v>26</v>
      </c>
      <c r="Q546" s="10">
        <v>12</v>
      </c>
      <c r="R546" s="10" t="s">
        <v>27</v>
      </c>
      <c r="S546" s="14" t="str">
        <f t="shared" si="8"/>
        <v>Week 2</v>
      </c>
    </row>
    <row r="547" spans="1:19" x14ac:dyDescent="0.3">
      <c r="A547" s="15" t="s">
        <v>850</v>
      </c>
      <c r="B547" s="16">
        <v>43083</v>
      </c>
      <c r="C547" s="17" t="s">
        <v>72</v>
      </c>
      <c r="D547" s="17" t="s">
        <v>30</v>
      </c>
      <c r="E547" s="17" t="s">
        <v>59</v>
      </c>
      <c r="F547" s="18">
        <v>7</v>
      </c>
      <c r="G547" s="19">
        <v>2391.9</v>
      </c>
      <c r="H547" s="19">
        <v>16743.3</v>
      </c>
      <c r="I547" s="20">
        <v>1865.682</v>
      </c>
      <c r="J547" s="17" t="s">
        <v>54</v>
      </c>
      <c r="K547" s="17" t="s">
        <v>55</v>
      </c>
      <c r="L547" s="17" t="s">
        <v>56</v>
      </c>
      <c r="M547" s="19">
        <v>13059.773999999999</v>
      </c>
      <c r="N547" s="19">
        <v>3683.5259999999898</v>
      </c>
      <c r="O547" s="17">
        <v>21.999999999999901</v>
      </c>
      <c r="P547" s="17" t="s">
        <v>26</v>
      </c>
      <c r="Q547" s="17">
        <v>12</v>
      </c>
      <c r="R547" s="17" t="s">
        <v>27</v>
      </c>
      <c r="S547" s="14" t="str">
        <f t="shared" si="8"/>
        <v>Week 2</v>
      </c>
    </row>
    <row r="548" spans="1:19" x14ac:dyDescent="0.3">
      <c r="A548" s="8" t="s">
        <v>250</v>
      </c>
      <c r="B548" s="9">
        <v>43083</v>
      </c>
      <c r="C548" s="10" t="s">
        <v>251</v>
      </c>
      <c r="D548" s="10" t="s">
        <v>30</v>
      </c>
      <c r="E548" s="10" t="s">
        <v>252</v>
      </c>
      <c r="F548" s="11">
        <v>8</v>
      </c>
      <c r="G548" s="12">
        <v>3899.4</v>
      </c>
      <c r="H548" s="12">
        <v>31195.200000000001</v>
      </c>
      <c r="I548" s="13">
        <v>2027.6880000000001</v>
      </c>
      <c r="J548" s="10" t="s">
        <v>54</v>
      </c>
      <c r="K548" s="10" t="s">
        <v>55</v>
      </c>
      <c r="L548" s="10" t="s">
        <v>56</v>
      </c>
      <c r="M548" s="12">
        <v>16221.504000000001</v>
      </c>
      <c r="N548" s="12">
        <v>14973.696</v>
      </c>
      <c r="O548" s="10">
        <v>48</v>
      </c>
      <c r="P548" s="10" t="s">
        <v>26</v>
      </c>
      <c r="Q548" s="10">
        <v>12</v>
      </c>
      <c r="R548" s="10" t="s">
        <v>27</v>
      </c>
      <c r="S548" s="14" t="str">
        <f t="shared" si="8"/>
        <v>Week 2</v>
      </c>
    </row>
    <row r="549" spans="1:19" x14ac:dyDescent="0.3">
      <c r="A549" s="15" t="s">
        <v>851</v>
      </c>
      <c r="B549" s="16">
        <v>43083</v>
      </c>
      <c r="C549" s="17" t="s">
        <v>79</v>
      </c>
      <c r="D549" s="17" t="s">
        <v>30</v>
      </c>
      <c r="E549" s="17" t="s">
        <v>37</v>
      </c>
      <c r="F549" s="18">
        <v>7</v>
      </c>
      <c r="G549" s="19">
        <v>1862.6</v>
      </c>
      <c r="H549" s="19">
        <v>13038.199999999999</v>
      </c>
      <c r="I549" s="20">
        <v>1359.6980000000001</v>
      </c>
      <c r="J549" s="17" t="s">
        <v>132</v>
      </c>
      <c r="K549" s="17" t="s">
        <v>133</v>
      </c>
      <c r="L549" s="17" t="s">
        <v>34</v>
      </c>
      <c r="M549" s="19">
        <v>9517.8860000000004</v>
      </c>
      <c r="N549" s="19">
        <v>3520.3139999999999</v>
      </c>
      <c r="O549" s="17">
        <v>27</v>
      </c>
      <c r="P549" s="17" t="s">
        <v>26</v>
      </c>
      <c r="Q549" s="17">
        <v>12</v>
      </c>
      <c r="R549" s="17" t="s">
        <v>27</v>
      </c>
      <c r="S549" s="14" t="str">
        <f t="shared" si="8"/>
        <v>Week 2</v>
      </c>
    </row>
    <row r="550" spans="1:19" x14ac:dyDescent="0.3">
      <c r="A550" s="8" t="s">
        <v>852</v>
      </c>
      <c r="B550" s="9">
        <v>43083</v>
      </c>
      <c r="C550" s="10" t="s">
        <v>297</v>
      </c>
      <c r="D550" s="10" t="s">
        <v>30</v>
      </c>
      <c r="E550" s="10" t="s">
        <v>62</v>
      </c>
      <c r="F550" s="11">
        <v>8</v>
      </c>
      <c r="G550" s="12">
        <v>5929.5</v>
      </c>
      <c r="H550" s="12">
        <v>47436</v>
      </c>
      <c r="I550" s="13">
        <v>3913.47</v>
      </c>
      <c r="J550" s="10" t="s">
        <v>23</v>
      </c>
      <c r="K550" s="10" t="s">
        <v>24</v>
      </c>
      <c r="L550" s="10" t="s">
        <v>25</v>
      </c>
      <c r="M550" s="12">
        <v>31307.759999999998</v>
      </c>
      <c r="N550" s="12">
        <v>16128.2399999999</v>
      </c>
      <c r="O550" s="10">
        <v>34</v>
      </c>
      <c r="P550" s="10" t="s">
        <v>26</v>
      </c>
      <c r="Q550" s="10">
        <v>12</v>
      </c>
      <c r="R550" s="10" t="s">
        <v>27</v>
      </c>
      <c r="S550" s="14" t="str">
        <f t="shared" si="8"/>
        <v>Week 2</v>
      </c>
    </row>
    <row r="551" spans="1:19" x14ac:dyDescent="0.3">
      <c r="A551" s="15" t="s">
        <v>853</v>
      </c>
      <c r="B551" s="16">
        <v>43083</v>
      </c>
      <c r="C551" s="17" t="s">
        <v>472</v>
      </c>
      <c r="D551" s="17" t="s">
        <v>21</v>
      </c>
      <c r="E551" s="17" t="s">
        <v>115</v>
      </c>
      <c r="F551" s="18">
        <v>8</v>
      </c>
      <c r="G551" s="19">
        <v>1882.7</v>
      </c>
      <c r="H551" s="19">
        <v>15061.6</v>
      </c>
      <c r="I551" s="20">
        <v>1374.3710000000001</v>
      </c>
      <c r="J551" s="17" t="s">
        <v>132</v>
      </c>
      <c r="K551" s="17" t="s">
        <v>133</v>
      </c>
      <c r="L551" s="17" t="s">
        <v>34</v>
      </c>
      <c r="M551" s="19">
        <v>10994.968000000001</v>
      </c>
      <c r="N551" s="19">
        <v>4066.6319999999901</v>
      </c>
      <c r="O551" s="17">
        <v>26.999999999999901</v>
      </c>
      <c r="P551" s="17" t="s">
        <v>26</v>
      </c>
      <c r="Q551" s="17">
        <v>12</v>
      </c>
      <c r="R551" s="17" t="s">
        <v>27</v>
      </c>
      <c r="S551" s="14" t="str">
        <f t="shared" si="8"/>
        <v>Week 2</v>
      </c>
    </row>
    <row r="552" spans="1:19" x14ac:dyDescent="0.3">
      <c r="A552" s="8" t="s">
        <v>854</v>
      </c>
      <c r="B552" s="9">
        <v>43083</v>
      </c>
      <c r="C552" s="10" t="s">
        <v>211</v>
      </c>
      <c r="D552" s="10" t="s">
        <v>43</v>
      </c>
      <c r="E552" s="10" t="s">
        <v>252</v>
      </c>
      <c r="F552" s="11">
        <v>6</v>
      </c>
      <c r="G552" s="12">
        <v>1031.8</v>
      </c>
      <c r="H552" s="12">
        <v>6190.7999999999993</v>
      </c>
      <c r="I552" s="13">
        <v>433.35599999999903</v>
      </c>
      <c r="J552" s="10" t="s">
        <v>436</v>
      </c>
      <c r="K552" s="10" t="s">
        <v>437</v>
      </c>
      <c r="L552" s="10" t="s">
        <v>25</v>
      </c>
      <c r="M552" s="12">
        <v>2600.13599999999</v>
      </c>
      <c r="N552" s="12">
        <v>3590.6639999999902</v>
      </c>
      <c r="O552" s="10">
        <v>58</v>
      </c>
      <c r="P552" s="10" t="s">
        <v>26</v>
      </c>
      <c r="Q552" s="10">
        <v>12</v>
      </c>
      <c r="R552" s="10" t="s">
        <v>27</v>
      </c>
      <c r="S552" s="14" t="str">
        <f t="shared" si="8"/>
        <v>Week 2</v>
      </c>
    </row>
    <row r="553" spans="1:19" x14ac:dyDescent="0.3">
      <c r="A553" s="15" t="s">
        <v>855</v>
      </c>
      <c r="B553" s="16">
        <v>43083</v>
      </c>
      <c r="C553" s="17" t="s">
        <v>856</v>
      </c>
      <c r="D553" s="17" t="s">
        <v>30</v>
      </c>
      <c r="E553" s="17" t="s">
        <v>326</v>
      </c>
      <c r="F553" s="18">
        <v>7</v>
      </c>
      <c r="G553" s="19">
        <v>5473.9</v>
      </c>
      <c r="H553" s="19">
        <v>38317.299999999996</v>
      </c>
      <c r="I553" s="20">
        <v>2463.2550000000001</v>
      </c>
      <c r="J553" s="17" t="s">
        <v>54</v>
      </c>
      <c r="K553" s="17" t="s">
        <v>55</v>
      </c>
      <c r="L553" s="17" t="s">
        <v>56</v>
      </c>
      <c r="M553" s="19">
        <v>17242.785</v>
      </c>
      <c r="N553" s="19">
        <v>21074.514999999999</v>
      </c>
      <c r="O553" s="17">
        <v>55</v>
      </c>
      <c r="P553" s="17" t="s">
        <v>26</v>
      </c>
      <c r="Q553" s="17">
        <v>12</v>
      </c>
      <c r="R553" s="17" t="s">
        <v>27</v>
      </c>
      <c r="S553" s="14" t="str">
        <f t="shared" si="8"/>
        <v>Week 2</v>
      </c>
    </row>
    <row r="554" spans="1:19" x14ac:dyDescent="0.3">
      <c r="A554" s="8" t="s">
        <v>857</v>
      </c>
      <c r="B554" s="9">
        <v>43084</v>
      </c>
      <c r="C554" s="10" t="s">
        <v>358</v>
      </c>
      <c r="D554" s="10" t="s">
        <v>43</v>
      </c>
      <c r="E554" s="10" t="s">
        <v>149</v>
      </c>
      <c r="F554" s="11">
        <v>7</v>
      </c>
      <c r="G554" s="12">
        <v>1688.4</v>
      </c>
      <c r="H554" s="12">
        <v>11818.800000000001</v>
      </c>
      <c r="I554" s="13">
        <v>1215.6479999999999</v>
      </c>
      <c r="J554" s="10" t="s">
        <v>23</v>
      </c>
      <c r="K554" s="10" t="s">
        <v>24</v>
      </c>
      <c r="L554" s="10" t="s">
        <v>25</v>
      </c>
      <c r="M554" s="12">
        <v>8509.5360000000001</v>
      </c>
      <c r="N554" s="12">
        <v>3309.2640000000001</v>
      </c>
      <c r="O554" s="10">
        <v>28</v>
      </c>
      <c r="P554" s="10" t="s">
        <v>26</v>
      </c>
      <c r="Q554" s="10">
        <v>12</v>
      </c>
      <c r="R554" s="10" t="s">
        <v>27</v>
      </c>
      <c r="S554" s="14" t="str">
        <f t="shared" si="8"/>
        <v>Week 3</v>
      </c>
    </row>
    <row r="555" spans="1:19" x14ac:dyDescent="0.3">
      <c r="A555" s="15" t="s">
        <v>858</v>
      </c>
      <c r="B555" s="16">
        <v>43084</v>
      </c>
      <c r="C555" s="17" t="s">
        <v>632</v>
      </c>
      <c r="D555" s="17" t="s">
        <v>43</v>
      </c>
      <c r="E555" s="17" t="s">
        <v>37</v>
      </c>
      <c r="F555" s="18">
        <v>10</v>
      </c>
      <c r="G555" s="19">
        <v>2264.6</v>
      </c>
      <c r="H555" s="19">
        <v>22646</v>
      </c>
      <c r="I555" s="20">
        <v>1834.326</v>
      </c>
      <c r="J555" s="17" t="s">
        <v>54</v>
      </c>
      <c r="K555" s="17" t="s">
        <v>55</v>
      </c>
      <c r="L555" s="17" t="s">
        <v>56</v>
      </c>
      <c r="M555" s="19">
        <v>18343.259999999998</v>
      </c>
      <c r="N555" s="19">
        <v>4302.7399999999898</v>
      </c>
      <c r="O555" s="17">
        <v>18.999999999999901</v>
      </c>
      <c r="P555" s="17" t="s">
        <v>26</v>
      </c>
      <c r="Q555" s="17">
        <v>12</v>
      </c>
      <c r="R555" s="17" t="s">
        <v>27</v>
      </c>
      <c r="S555" s="14" t="str">
        <f t="shared" si="8"/>
        <v>Week 3</v>
      </c>
    </row>
    <row r="556" spans="1:19" x14ac:dyDescent="0.3">
      <c r="A556" s="8" t="s">
        <v>859</v>
      </c>
      <c r="B556" s="9">
        <v>43084</v>
      </c>
      <c r="C556" s="10" t="s">
        <v>42</v>
      </c>
      <c r="D556" s="10" t="s">
        <v>21</v>
      </c>
      <c r="E556" s="10" t="s">
        <v>284</v>
      </c>
      <c r="F556" s="11">
        <v>6</v>
      </c>
      <c r="G556" s="12">
        <v>1132.3</v>
      </c>
      <c r="H556" s="12">
        <v>6793.7999999999993</v>
      </c>
      <c r="I556" s="13">
        <v>815.25599999999997</v>
      </c>
      <c r="J556" s="10" t="s">
        <v>76</v>
      </c>
      <c r="K556" s="10" t="s">
        <v>77</v>
      </c>
      <c r="L556" s="10" t="s">
        <v>56</v>
      </c>
      <c r="M556" s="12">
        <v>4891.5360000000001</v>
      </c>
      <c r="N556" s="12">
        <v>1902.2639999999899</v>
      </c>
      <c r="O556" s="10">
        <v>27.999999999999901</v>
      </c>
      <c r="P556" s="10" t="s">
        <v>26</v>
      </c>
      <c r="Q556" s="10">
        <v>12</v>
      </c>
      <c r="R556" s="10" t="s">
        <v>27</v>
      </c>
      <c r="S556" s="14" t="str">
        <f t="shared" si="8"/>
        <v>Week 3</v>
      </c>
    </row>
    <row r="557" spans="1:19" x14ac:dyDescent="0.3">
      <c r="A557" s="15" t="s">
        <v>860</v>
      </c>
      <c r="B557" s="16">
        <v>43084</v>
      </c>
      <c r="C557" s="17" t="s">
        <v>264</v>
      </c>
      <c r="D557" s="17" t="s">
        <v>30</v>
      </c>
      <c r="E557" s="17" t="s">
        <v>44</v>
      </c>
      <c r="F557" s="18">
        <v>11</v>
      </c>
      <c r="G557" s="19">
        <v>1688.4</v>
      </c>
      <c r="H557" s="19">
        <v>18572.400000000001</v>
      </c>
      <c r="I557" s="20">
        <v>776.66399999999999</v>
      </c>
      <c r="J557" s="17" t="s">
        <v>94</v>
      </c>
      <c r="K557" s="17" t="s">
        <v>95</v>
      </c>
      <c r="L557" s="17" t="s">
        <v>40</v>
      </c>
      <c r="M557" s="19">
        <v>8543.3040000000001</v>
      </c>
      <c r="N557" s="19">
        <v>10029.096</v>
      </c>
      <c r="O557" s="17">
        <v>53.999999999999901</v>
      </c>
      <c r="P557" s="17" t="s">
        <v>26</v>
      </c>
      <c r="Q557" s="17">
        <v>12</v>
      </c>
      <c r="R557" s="17" t="s">
        <v>27</v>
      </c>
      <c r="S557" s="14" t="str">
        <f t="shared" si="8"/>
        <v>Week 3</v>
      </c>
    </row>
    <row r="558" spans="1:19" x14ac:dyDescent="0.3">
      <c r="A558" s="8" t="s">
        <v>861</v>
      </c>
      <c r="B558" s="9">
        <v>43084</v>
      </c>
      <c r="C558" s="10" t="s">
        <v>107</v>
      </c>
      <c r="D558" s="10" t="s">
        <v>21</v>
      </c>
      <c r="E558" s="10" t="s">
        <v>360</v>
      </c>
      <c r="F558" s="11">
        <v>7</v>
      </c>
      <c r="G558" s="12">
        <v>2351.6999999999998</v>
      </c>
      <c r="H558" s="12">
        <v>16461.899999999998</v>
      </c>
      <c r="I558" s="13">
        <v>1622.673</v>
      </c>
      <c r="J558" s="10" t="s">
        <v>54</v>
      </c>
      <c r="K558" s="10" t="s">
        <v>55</v>
      </c>
      <c r="L558" s="10" t="s">
        <v>56</v>
      </c>
      <c r="M558" s="12">
        <v>11358.710999999999</v>
      </c>
      <c r="N558" s="12">
        <v>5103.1890000000003</v>
      </c>
      <c r="O558" s="10">
        <v>31</v>
      </c>
      <c r="P558" s="10" t="s">
        <v>26</v>
      </c>
      <c r="Q558" s="10">
        <v>12</v>
      </c>
      <c r="R558" s="10" t="s">
        <v>27</v>
      </c>
      <c r="S558" s="14" t="str">
        <f t="shared" si="8"/>
        <v>Week 3</v>
      </c>
    </row>
    <row r="559" spans="1:19" x14ac:dyDescent="0.3">
      <c r="A559" s="15" t="s">
        <v>862</v>
      </c>
      <c r="B559" s="16">
        <v>43084</v>
      </c>
      <c r="C559" s="17" t="s">
        <v>270</v>
      </c>
      <c r="D559" s="17" t="s">
        <v>30</v>
      </c>
      <c r="E559" s="17" t="s">
        <v>120</v>
      </c>
      <c r="F559" s="18">
        <v>11</v>
      </c>
      <c r="G559" s="19">
        <v>1701.8</v>
      </c>
      <c r="H559" s="19">
        <v>18719.8</v>
      </c>
      <c r="I559" s="20">
        <v>1429.5119999999999</v>
      </c>
      <c r="J559" s="17" t="s">
        <v>121</v>
      </c>
      <c r="K559" s="17" t="s">
        <v>122</v>
      </c>
      <c r="L559" s="17" t="s">
        <v>34</v>
      </c>
      <c r="M559" s="19">
        <v>15724.632</v>
      </c>
      <c r="N559" s="19">
        <v>2995.1679999999901</v>
      </c>
      <c r="O559" s="17">
        <v>15.999999999999901</v>
      </c>
      <c r="P559" s="17" t="s">
        <v>26</v>
      </c>
      <c r="Q559" s="17">
        <v>12</v>
      </c>
      <c r="R559" s="17" t="s">
        <v>27</v>
      </c>
      <c r="S559" s="14" t="str">
        <f t="shared" si="8"/>
        <v>Week 3</v>
      </c>
    </row>
    <row r="560" spans="1:19" x14ac:dyDescent="0.3">
      <c r="A560" s="8" t="s">
        <v>113</v>
      </c>
      <c r="B560" s="9">
        <v>43084</v>
      </c>
      <c r="C560" s="10" t="s">
        <v>114</v>
      </c>
      <c r="D560" s="10" t="s">
        <v>30</v>
      </c>
      <c r="E560" s="10" t="s">
        <v>115</v>
      </c>
      <c r="F560" s="11">
        <v>11</v>
      </c>
      <c r="G560" s="12">
        <v>187.6</v>
      </c>
      <c r="H560" s="12">
        <v>2063.6</v>
      </c>
      <c r="I560" s="13">
        <v>93.8</v>
      </c>
      <c r="J560" s="10" t="s">
        <v>177</v>
      </c>
      <c r="K560" s="10" t="s">
        <v>178</v>
      </c>
      <c r="L560" s="10" t="s">
        <v>40</v>
      </c>
      <c r="M560" s="12">
        <v>1031.8</v>
      </c>
      <c r="N560" s="12">
        <v>1031.8</v>
      </c>
      <c r="O560" s="10">
        <v>50</v>
      </c>
      <c r="P560" s="10" t="s">
        <v>26</v>
      </c>
      <c r="Q560" s="10">
        <v>12</v>
      </c>
      <c r="R560" s="10" t="s">
        <v>27</v>
      </c>
      <c r="S560" s="14" t="str">
        <f t="shared" si="8"/>
        <v>Week 3</v>
      </c>
    </row>
    <row r="561" spans="1:19" x14ac:dyDescent="0.3">
      <c r="A561" s="15" t="s">
        <v>863</v>
      </c>
      <c r="B561" s="16">
        <v>43084</v>
      </c>
      <c r="C561" s="17" t="s">
        <v>864</v>
      </c>
      <c r="D561" s="17" t="s">
        <v>21</v>
      </c>
      <c r="E561" s="17" t="s">
        <v>306</v>
      </c>
      <c r="F561" s="18">
        <v>9</v>
      </c>
      <c r="G561" s="19">
        <v>214.4</v>
      </c>
      <c r="H561" s="19">
        <v>1929.6000000000001</v>
      </c>
      <c r="I561" s="20">
        <v>180.096</v>
      </c>
      <c r="J561" s="17" t="s">
        <v>94</v>
      </c>
      <c r="K561" s="17" t="s">
        <v>95</v>
      </c>
      <c r="L561" s="17" t="s">
        <v>40</v>
      </c>
      <c r="M561" s="19">
        <v>1620.864</v>
      </c>
      <c r="N561" s="19">
        <v>308.73599999999999</v>
      </c>
      <c r="O561" s="17">
        <v>16</v>
      </c>
      <c r="P561" s="17" t="s">
        <v>26</v>
      </c>
      <c r="Q561" s="17">
        <v>12</v>
      </c>
      <c r="R561" s="17" t="s">
        <v>27</v>
      </c>
      <c r="S561" s="14" t="str">
        <f t="shared" si="8"/>
        <v>Week 3</v>
      </c>
    </row>
    <row r="562" spans="1:19" x14ac:dyDescent="0.3">
      <c r="A562" s="8" t="s">
        <v>865</v>
      </c>
      <c r="B562" s="9">
        <v>43084</v>
      </c>
      <c r="C562" s="10" t="s">
        <v>374</v>
      </c>
      <c r="D562" s="10" t="s">
        <v>21</v>
      </c>
      <c r="E562" s="10" t="s">
        <v>149</v>
      </c>
      <c r="F562" s="11">
        <v>12</v>
      </c>
      <c r="G562" s="12">
        <v>1909.5</v>
      </c>
      <c r="H562" s="12">
        <v>22914</v>
      </c>
      <c r="I562" s="13">
        <v>1317.5549999999901</v>
      </c>
      <c r="J562" s="10" t="s">
        <v>104</v>
      </c>
      <c r="K562" s="10" t="s">
        <v>105</v>
      </c>
      <c r="L562" s="10" t="s">
        <v>25</v>
      </c>
      <c r="M562" s="12">
        <v>15810.6599999999</v>
      </c>
      <c r="N562" s="12">
        <v>7103.34</v>
      </c>
      <c r="O562" s="10">
        <v>31</v>
      </c>
      <c r="P562" s="10" t="s">
        <v>26</v>
      </c>
      <c r="Q562" s="10">
        <v>12</v>
      </c>
      <c r="R562" s="10" t="s">
        <v>27</v>
      </c>
      <c r="S562" s="14" t="str">
        <f t="shared" si="8"/>
        <v>Week 3</v>
      </c>
    </row>
    <row r="563" spans="1:19" x14ac:dyDescent="0.3">
      <c r="A563" s="15" t="s">
        <v>866</v>
      </c>
      <c r="B563" s="16">
        <v>43084</v>
      </c>
      <c r="C563" s="17" t="s">
        <v>151</v>
      </c>
      <c r="D563" s="17" t="s">
        <v>21</v>
      </c>
      <c r="E563" s="17" t="s">
        <v>80</v>
      </c>
      <c r="F563" s="18">
        <v>11</v>
      </c>
      <c r="G563" s="19">
        <v>1051.9000000000001</v>
      </c>
      <c r="H563" s="19">
        <v>11570.900000000001</v>
      </c>
      <c r="I563" s="20">
        <v>515.43100000000004</v>
      </c>
      <c r="J563" s="17" t="s">
        <v>45</v>
      </c>
      <c r="K563" s="17" t="s">
        <v>46</v>
      </c>
      <c r="L563" s="17" t="s">
        <v>34</v>
      </c>
      <c r="M563" s="19">
        <v>5669.741</v>
      </c>
      <c r="N563" s="19">
        <v>5901.1589999999997</v>
      </c>
      <c r="O563" s="17">
        <v>51</v>
      </c>
      <c r="P563" s="17" t="s">
        <v>26</v>
      </c>
      <c r="Q563" s="17">
        <v>12</v>
      </c>
      <c r="R563" s="17" t="s">
        <v>27</v>
      </c>
      <c r="S563" s="14" t="str">
        <f t="shared" si="8"/>
        <v>Week 3</v>
      </c>
    </row>
    <row r="564" spans="1:19" x14ac:dyDescent="0.3">
      <c r="A564" s="8" t="s">
        <v>867</v>
      </c>
      <c r="B564" s="9">
        <v>43084</v>
      </c>
      <c r="C564" s="10" t="s">
        <v>435</v>
      </c>
      <c r="D564" s="10" t="s">
        <v>21</v>
      </c>
      <c r="E564" s="10" t="s">
        <v>197</v>
      </c>
      <c r="F564" s="11">
        <v>6</v>
      </c>
      <c r="G564" s="12">
        <v>180.9</v>
      </c>
      <c r="H564" s="12">
        <v>1085.4000000000001</v>
      </c>
      <c r="I564" s="13">
        <v>121.203</v>
      </c>
      <c r="J564" s="10" t="s">
        <v>76</v>
      </c>
      <c r="K564" s="10" t="s">
        <v>77</v>
      </c>
      <c r="L564" s="10" t="s">
        <v>56</v>
      </c>
      <c r="M564" s="12">
        <v>727.21799999999996</v>
      </c>
      <c r="N564" s="12">
        <v>358.18200000000002</v>
      </c>
      <c r="O564" s="10">
        <v>32.999999999999901</v>
      </c>
      <c r="P564" s="10" t="s">
        <v>26</v>
      </c>
      <c r="Q564" s="10">
        <v>12</v>
      </c>
      <c r="R564" s="10" t="s">
        <v>27</v>
      </c>
      <c r="S564" s="14" t="str">
        <f t="shared" si="8"/>
        <v>Week 3</v>
      </c>
    </row>
    <row r="565" spans="1:19" x14ac:dyDescent="0.3">
      <c r="A565" s="15" t="s">
        <v>868</v>
      </c>
      <c r="B565" s="16">
        <v>43084</v>
      </c>
      <c r="C565" s="17" t="s">
        <v>174</v>
      </c>
      <c r="D565" s="17" t="s">
        <v>43</v>
      </c>
      <c r="E565" s="17" t="s">
        <v>360</v>
      </c>
      <c r="F565" s="18">
        <v>5</v>
      </c>
      <c r="G565" s="19">
        <v>3691.7</v>
      </c>
      <c r="H565" s="19">
        <v>18458.5</v>
      </c>
      <c r="I565" s="20">
        <v>2399.605</v>
      </c>
      <c r="J565" s="17" t="s">
        <v>94</v>
      </c>
      <c r="K565" s="17" t="s">
        <v>95</v>
      </c>
      <c r="L565" s="17" t="s">
        <v>40</v>
      </c>
      <c r="M565" s="19">
        <v>11998.025</v>
      </c>
      <c r="N565" s="19">
        <v>6460.4749999999904</v>
      </c>
      <c r="O565" s="17">
        <v>34.999999999999901</v>
      </c>
      <c r="P565" s="17" t="s">
        <v>26</v>
      </c>
      <c r="Q565" s="17">
        <v>12</v>
      </c>
      <c r="R565" s="17" t="s">
        <v>27</v>
      </c>
      <c r="S565" s="14" t="str">
        <f t="shared" si="8"/>
        <v>Week 3</v>
      </c>
    </row>
    <row r="566" spans="1:19" x14ac:dyDescent="0.3">
      <c r="A566" s="8" t="s">
        <v>869</v>
      </c>
      <c r="B566" s="9">
        <v>43084</v>
      </c>
      <c r="C566" s="10" t="s">
        <v>166</v>
      </c>
      <c r="D566" s="10" t="s">
        <v>30</v>
      </c>
      <c r="E566" s="10" t="s">
        <v>230</v>
      </c>
      <c r="F566" s="11">
        <v>5</v>
      </c>
      <c r="G566" s="12">
        <v>2619.6999999999998</v>
      </c>
      <c r="H566" s="12">
        <v>13098.5</v>
      </c>
      <c r="I566" s="13">
        <v>1152.6679999999999</v>
      </c>
      <c r="J566" s="10" t="s">
        <v>23</v>
      </c>
      <c r="K566" s="10" t="s">
        <v>24</v>
      </c>
      <c r="L566" s="10" t="s">
        <v>25</v>
      </c>
      <c r="M566" s="12">
        <v>5763.34</v>
      </c>
      <c r="N566" s="12">
        <v>7335.16</v>
      </c>
      <c r="O566" s="10">
        <v>56</v>
      </c>
      <c r="P566" s="10" t="s">
        <v>26</v>
      </c>
      <c r="Q566" s="10">
        <v>12</v>
      </c>
      <c r="R566" s="10" t="s">
        <v>27</v>
      </c>
      <c r="S566" s="14" t="str">
        <f t="shared" si="8"/>
        <v>Week 3</v>
      </c>
    </row>
    <row r="567" spans="1:19" x14ac:dyDescent="0.3">
      <c r="A567" s="15" t="s">
        <v>765</v>
      </c>
      <c r="B567" s="16">
        <v>43084</v>
      </c>
      <c r="C567" s="17" t="s">
        <v>389</v>
      </c>
      <c r="D567" s="17" t="s">
        <v>21</v>
      </c>
      <c r="E567" s="17" t="s">
        <v>103</v>
      </c>
      <c r="F567" s="18">
        <v>7</v>
      </c>
      <c r="G567" s="19">
        <v>1005</v>
      </c>
      <c r="H567" s="19">
        <v>7035</v>
      </c>
      <c r="I567" s="20">
        <v>432.15</v>
      </c>
      <c r="J567" s="17" t="s">
        <v>45</v>
      </c>
      <c r="K567" s="17" t="s">
        <v>46</v>
      </c>
      <c r="L567" s="17" t="s">
        <v>34</v>
      </c>
      <c r="M567" s="19">
        <v>3025.0499999999902</v>
      </c>
      <c r="N567" s="19">
        <v>4009.95</v>
      </c>
      <c r="O567" s="17">
        <v>57</v>
      </c>
      <c r="P567" s="17" t="s">
        <v>26</v>
      </c>
      <c r="Q567" s="17">
        <v>12</v>
      </c>
      <c r="R567" s="17" t="s">
        <v>27</v>
      </c>
      <c r="S567" s="14" t="str">
        <f t="shared" si="8"/>
        <v>Week 3</v>
      </c>
    </row>
    <row r="568" spans="1:19" x14ac:dyDescent="0.3">
      <c r="A568" s="8" t="s">
        <v>870</v>
      </c>
      <c r="B568" s="9">
        <v>43084</v>
      </c>
      <c r="C568" s="10" t="s">
        <v>864</v>
      </c>
      <c r="D568" s="10" t="s">
        <v>43</v>
      </c>
      <c r="E568" s="10" t="s">
        <v>49</v>
      </c>
      <c r="F568" s="11">
        <v>8</v>
      </c>
      <c r="G568" s="12">
        <v>2458.9</v>
      </c>
      <c r="H568" s="12">
        <v>19671.2</v>
      </c>
      <c r="I568" s="13">
        <v>1327.806</v>
      </c>
      <c r="J568" s="10" t="s">
        <v>45</v>
      </c>
      <c r="K568" s="10" t="s">
        <v>46</v>
      </c>
      <c r="L568" s="10" t="s">
        <v>34</v>
      </c>
      <c r="M568" s="12">
        <v>10622.448</v>
      </c>
      <c r="N568" s="12">
        <v>9048.7520000000004</v>
      </c>
      <c r="O568" s="10">
        <v>46</v>
      </c>
      <c r="P568" s="10" t="s">
        <v>26</v>
      </c>
      <c r="Q568" s="10">
        <v>12</v>
      </c>
      <c r="R568" s="10" t="s">
        <v>27</v>
      </c>
      <c r="S568" s="14" t="str">
        <f t="shared" si="8"/>
        <v>Week 3</v>
      </c>
    </row>
    <row r="569" spans="1:19" x14ac:dyDescent="0.3">
      <c r="A569" s="15" t="s">
        <v>871</v>
      </c>
      <c r="B569" s="16">
        <v>43084</v>
      </c>
      <c r="C569" s="17" t="s">
        <v>180</v>
      </c>
      <c r="D569" s="17" t="s">
        <v>21</v>
      </c>
      <c r="E569" s="17" t="s">
        <v>115</v>
      </c>
      <c r="F569" s="18">
        <v>9</v>
      </c>
      <c r="G569" s="19">
        <v>1105.5</v>
      </c>
      <c r="H569" s="19">
        <v>9949.5</v>
      </c>
      <c r="I569" s="20">
        <v>895.45500000000004</v>
      </c>
      <c r="J569" s="17" t="s">
        <v>225</v>
      </c>
      <c r="K569" s="17" t="s">
        <v>226</v>
      </c>
      <c r="L569" s="17" t="s">
        <v>25</v>
      </c>
      <c r="M569" s="19">
        <v>8059.0950000000003</v>
      </c>
      <c r="N569" s="19">
        <v>1890.40499999999</v>
      </c>
      <c r="O569" s="17">
        <v>18.999999999999901</v>
      </c>
      <c r="P569" s="17" t="s">
        <v>26</v>
      </c>
      <c r="Q569" s="17">
        <v>12</v>
      </c>
      <c r="R569" s="17" t="s">
        <v>27</v>
      </c>
      <c r="S569" s="14" t="str">
        <f t="shared" si="8"/>
        <v>Week 3</v>
      </c>
    </row>
    <row r="570" spans="1:19" x14ac:dyDescent="0.3">
      <c r="A570" s="8" t="s">
        <v>872</v>
      </c>
      <c r="B570" s="9">
        <v>43084</v>
      </c>
      <c r="C570" s="10" t="s">
        <v>316</v>
      </c>
      <c r="D570" s="10" t="s">
        <v>21</v>
      </c>
      <c r="E570" s="10" t="s">
        <v>62</v>
      </c>
      <c r="F570" s="11">
        <v>9</v>
      </c>
      <c r="G570" s="12">
        <v>167.5</v>
      </c>
      <c r="H570" s="12">
        <v>1507.5</v>
      </c>
      <c r="I570" s="13">
        <v>130.65</v>
      </c>
      <c r="J570" s="10" t="s">
        <v>45</v>
      </c>
      <c r="K570" s="10" t="s">
        <v>46</v>
      </c>
      <c r="L570" s="10" t="s">
        <v>34</v>
      </c>
      <c r="M570" s="12">
        <v>1175.8499999999999</v>
      </c>
      <c r="N570" s="12">
        <v>331.64999999999901</v>
      </c>
      <c r="O570" s="10">
        <v>21.999999999999901</v>
      </c>
      <c r="P570" s="10" t="s">
        <v>26</v>
      </c>
      <c r="Q570" s="10">
        <v>12</v>
      </c>
      <c r="R570" s="10" t="s">
        <v>27</v>
      </c>
      <c r="S570" s="14" t="str">
        <f t="shared" si="8"/>
        <v>Week 3</v>
      </c>
    </row>
    <row r="571" spans="1:19" x14ac:dyDescent="0.3">
      <c r="A571" s="15" t="s">
        <v>873</v>
      </c>
      <c r="B571" s="16">
        <v>43084</v>
      </c>
      <c r="C571" s="17" t="s">
        <v>201</v>
      </c>
      <c r="D571" s="17" t="s">
        <v>30</v>
      </c>
      <c r="E571" s="17" t="s">
        <v>49</v>
      </c>
      <c r="F571" s="18">
        <v>11</v>
      </c>
      <c r="G571" s="19">
        <v>1092.0999999999999</v>
      </c>
      <c r="H571" s="19">
        <v>12013.099999999999</v>
      </c>
      <c r="I571" s="20">
        <v>622.49699999999996</v>
      </c>
      <c r="J571" s="17" t="s">
        <v>83</v>
      </c>
      <c r="K571" s="17" t="s">
        <v>84</v>
      </c>
      <c r="L571" s="17" t="s">
        <v>34</v>
      </c>
      <c r="M571" s="19">
        <v>6847.4669999999996</v>
      </c>
      <c r="N571" s="19">
        <v>5165.6329999999998</v>
      </c>
      <c r="O571" s="17">
        <v>43</v>
      </c>
      <c r="P571" s="17" t="s">
        <v>26</v>
      </c>
      <c r="Q571" s="17">
        <v>12</v>
      </c>
      <c r="R571" s="17" t="s">
        <v>27</v>
      </c>
      <c r="S571" s="14" t="str">
        <f t="shared" si="8"/>
        <v>Week 3</v>
      </c>
    </row>
    <row r="572" spans="1:19" x14ac:dyDescent="0.3">
      <c r="A572" s="8" t="s">
        <v>874</v>
      </c>
      <c r="B572" s="9">
        <v>43084</v>
      </c>
      <c r="C572" s="10" t="s">
        <v>371</v>
      </c>
      <c r="D572" s="10" t="s">
        <v>21</v>
      </c>
      <c r="E572" s="10" t="s">
        <v>146</v>
      </c>
      <c r="F572" s="11">
        <v>6</v>
      </c>
      <c r="G572" s="12">
        <v>857.6</v>
      </c>
      <c r="H572" s="12">
        <v>5145.6000000000004</v>
      </c>
      <c r="I572" s="13">
        <v>497.40799999999899</v>
      </c>
      <c r="J572" s="10" t="s">
        <v>23</v>
      </c>
      <c r="K572" s="10" t="s">
        <v>24</v>
      </c>
      <c r="L572" s="10" t="s">
        <v>25</v>
      </c>
      <c r="M572" s="12">
        <v>2984.4479999999999</v>
      </c>
      <c r="N572" s="12">
        <v>2161.152</v>
      </c>
      <c r="O572" s="10">
        <v>42</v>
      </c>
      <c r="P572" s="10" t="s">
        <v>26</v>
      </c>
      <c r="Q572" s="10">
        <v>12</v>
      </c>
      <c r="R572" s="10" t="s">
        <v>27</v>
      </c>
      <c r="S572" s="14" t="str">
        <f t="shared" si="8"/>
        <v>Week 3</v>
      </c>
    </row>
    <row r="573" spans="1:19" x14ac:dyDescent="0.3">
      <c r="A573" s="15" t="s">
        <v>875</v>
      </c>
      <c r="B573" s="16">
        <v>43084</v>
      </c>
      <c r="C573" s="17" t="s">
        <v>174</v>
      </c>
      <c r="D573" s="17" t="s">
        <v>30</v>
      </c>
      <c r="E573" s="17" t="s">
        <v>37</v>
      </c>
      <c r="F573" s="18">
        <v>10</v>
      </c>
      <c r="G573" s="19">
        <v>1085.4000000000001</v>
      </c>
      <c r="H573" s="19">
        <v>10854</v>
      </c>
      <c r="I573" s="20">
        <v>911.73599999999999</v>
      </c>
      <c r="J573" s="17" t="s">
        <v>405</v>
      </c>
      <c r="K573" s="17" t="s">
        <v>406</v>
      </c>
      <c r="L573" s="17" t="s">
        <v>56</v>
      </c>
      <c r="M573" s="19">
        <v>9117.36</v>
      </c>
      <c r="N573" s="19">
        <v>1736.6399999999901</v>
      </c>
      <c r="O573" s="17">
        <v>15.999999999999901</v>
      </c>
      <c r="P573" s="17" t="s">
        <v>26</v>
      </c>
      <c r="Q573" s="17">
        <v>12</v>
      </c>
      <c r="R573" s="17" t="s">
        <v>27</v>
      </c>
      <c r="S573" s="14" t="str">
        <f t="shared" si="8"/>
        <v>Week 3</v>
      </c>
    </row>
    <row r="574" spans="1:19" x14ac:dyDescent="0.3">
      <c r="A574" s="8" t="s">
        <v>876</v>
      </c>
      <c r="B574" s="9">
        <v>43084</v>
      </c>
      <c r="C574" s="10" t="s">
        <v>114</v>
      </c>
      <c r="D574" s="10" t="s">
        <v>21</v>
      </c>
      <c r="E574" s="10" t="s">
        <v>31</v>
      </c>
      <c r="F574" s="11">
        <v>9</v>
      </c>
      <c r="G574" s="12">
        <v>268</v>
      </c>
      <c r="H574" s="12">
        <v>2412</v>
      </c>
      <c r="I574" s="13">
        <v>136.68</v>
      </c>
      <c r="J574" s="10" t="s">
        <v>87</v>
      </c>
      <c r="K574" s="10" t="s">
        <v>88</v>
      </c>
      <c r="L574" s="10" t="s">
        <v>56</v>
      </c>
      <c r="M574" s="12">
        <v>1230.1199999999999</v>
      </c>
      <c r="N574" s="12">
        <v>1181.8799999999901</v>
      </c>
      <c r="O574" s="10">
        <v>48.999999999999901</v>
      </c>
      <c r="P574" s="10" t="s">
        <v>26</v>
      </c>
      <c r="Q574" s="10">
        <v>12</v>
      </c>
      <c r="R574" s="10" t="s">
        <v>27</v>
      </c>
      <c r="S574" s="14" t="str">
        <f t="shared" si="8"/>
        <v>Week 3</v>
      </c>
    </row>
    <row r="575" spans="1:19" x14ac:dyDescent="0.3">
      <c r="A575" s="15" t="s">
        <v>877</v>
      </c>
      <c r="B575" s="16">
        <v>43084</v>
      </c>
      <c r="C575" s="17" t="s">
        <v>112</v>
      </c>
      <c r="D575" s="17" t="s">
        <v>21</v>
      </c>
      <c r="E575" s="17" t="s">
        <v>326</v>
      </c>
      <c r="F575" s="18">
        <v>5</v>
      </c>
      <c r="G575" s="19">
        <v>3845.8</v>
      </c>
      <c r="H575" s="19">
        <v>19229</v>
      </c>
      <c r="I575" s="20">
        <v>2269.0219999999999</v>
      </c>
      <c r="J575" s="17" t="s">
        <v>45</v>
      </c>
      <c r="K575" s="17" t="s">
        <v>46</v>
      </c>
      <c r="L575" s="17" t="s">
        <v>34</v>
      </c>
      <c r="M575" s="19">
        <v>11345.11</v>
      </c>
      <c r="N575" s="19">
        <v>7883.8899999999903</v>
      </c>
      <c r="O575" s="17">
        <v>41</v>
      </c>
      <c r="P575" s="17" t="s">
        <v>26</v>
      </c>
      <c r="Q575" s="17">
        <v>12</v>
      </c>
      <c r="R575" s="17" t="s">
        <v>27</v>
      </c>
      <c r="S575" s="14" t="str">
        <f t="shared" si="8"/>
        <v>Week 3</v>
      </c>
    </row>
    <row r="576" spans="1:19" x14ac:dyDescent="0.3">
      <c r="A576" s="8" t="s">
        <v>878</v>
      </c>
      <c r="B576" s="9">
        <v>43084</v>
      </c>
      <c r="C576" s="10" t="s">
        <v>42</v>
      </c>
      <c r="D576" s="10" t="s">
        <v>21</v>
      </c>
      <c r="E576" s="10" t="s">
        <v>103</v>
      </c>
      <c r="F576" s="11">
        <v>5</v>
      </c>
      <c r="G576" s="12">
        <v>2479</v>
      </c>
      <c r="H576" s="12">
        <v>12395</v>
      </c>
      <c r="I576" s="13">
        <v>1041.18</v>
      </c>
      <c r="J576" s="10" t="s">
        <v>54</v>
      </c>
      <c r="K576" s="10" t="s">
        <v>55</v>
      </c>
      <c r="L576" s="10" t="s">
        <v>56</v>
      </c>
      <c r="M576" s="12">
        <v>5205.8999999999996</v>
      </c>
      <c r="N576" s="12">
        <v>7189.0999999999904</v>
      </c>
      <c r="O576" s="10">
        <v>57.999999999999901</v>
      </c>
      <c r="P576" s="10" t="s">
        <v>26</v>
      </c>
      <c r="Q576" s="10">
        <v>12</v>
      </c>
      <c r="R576" s="10" t="s">
        <v>27</v>
      </c>
      <c r="S576" s="14" t="str">
        <f t="shared" si="8"/>
        <v>Week 3</v>
      </c>
    </row>
    <row r="577" spans="1:19" x14ac:dyDescent="0.3">
      <c r="A577" s="15" t="s">
        <v>879</v>
      </c>
      <c r="B577" s="16">
        <v>43084</v>
      </c>
      <c r="C577" s="17" t="s">
        <v>100</v>
      </c>
      <c r="D577" s="17" t="s">
        <v>21</v>
      </c>
      <c r="E577" s="17" t="s">
        <v>284</v>
      </c>
      <c r="F577" s="18">
        <v>7</v>
      </c>
      <c r="G577" s="19">
        <v>2405.3000000000002</v>
      </c>
      <c r="H577" s="19">
        <v>16837.100000000002</v>
      </c>
      <c r="I577" s="20">
        <v>1154.5440000000001</v>
      </c>
      <c r="J577" s="17" t="s">
        <v>38</v>
      </c>
      <c r="K577" s="17" t="s">
        <v>39</v>
      </c>
      <c r="L577" s="17" t="s">
        <v>40</v>
      </c>
      <c r="M577" s="19">
        <v>8081.808</v>
      </c>
      <c r="N577" s="19">
        <v>8755.2919999999995</v>
      </c>
      <c r="O577" s="17">
        <v>52</v>
      </c>
      <c r="P577" s="17" t="s">
        <v>26</v>
      </c>
      <c r="Q577" s="17">
        <v>12</v>
      </c>
      <c r="R577" s="17" t="s">
        <v>27</v>
      </c>
      <c r="S577" s="14" t="str">
        <f t="shared" si="8"/>
        <v>Week 3</v>
      </c>
    </row>
    <row r="578" spans="1:19" x14ac:dyDescent="0.3">
      <c r="A578" s="8" t="s">
        <v>880</v>
      </c>
      <c r="B578" s="9">
        <v>43084</v>
      </c>
      <c r="C578" s="10" t="s">
        <v>643</v>
      </c>
      <c r="D578" s="10" t="s">
        <v>21</v>
      </c>
      <c r="E578" s="10" t="s">
        <v>49</v>
      </c>
      <c r="F578" s="11">
        <v>5</v>
      </c>
      <c r="G578" s="12">
        <v>2331.6</v>
      </c>
      <c r="H578" s="12">
        <v>11658</v>
      </c>
      <c r="I578" s="13">
        <v>1095.8519999999901</v>
      </c>
      <c r="J578" s="10" t="s">
        <v>212</v>
      </c>
      <c r="K578" s="10" t="s">
        <v>213</v>
      </c>
      <c r="L578" s="10" t="s">
        <v>34</v>
      </c>
      <c r="M578" s="12">
        <v>5479.2599999999902</v>
      </c>
      <c r="N578" s="12">
        <v>6178.74</v>
      </c>
      <c r="O578" s="10">
        <v>53</v>
      </c>
      <c r="P578" s="10" t="s">
        <v>26</v>
      </c>
      <c r="Q578" s="10">
        <v>12</v>
      </c>
      <c r="R578" s="10" t="s">
        <v>27</v>
      </c>
      <c r="S578" s="14" t="str">
        <f t="shared" si="8"/>
        <v>Week 3</v>
      </c>
    </row>
    <row r="579" spans="1:19" x14ac:dyDescent="0.3">
      <c r="A579" s="15" t="s">
        <v>881</v>
      </c>
      <c r="B579" s="16">
        <v>43084</v>
      </c>
      <c r="C579" s="17" t="s">
        <v>188</v>
      </c>
      <c r="D579" s="17" t="s">
        <v>21</v>
      </c>
      <c r="E579" s="17" t="s">
        <v>91</v>
      </c>
      <c r="F579" s="18">
        <v>11</v>
      </c>
      <c r="G579" s="19">
        <v>6298</v>
      </c>
      <c r="H579" s="19">
        <v>69278</v>
      </c>
      <c r="I579" s="20">
        <v>4534.5599999999904</v>
      </c>
      <c r="J579" s="17" t="s">
        <v>45</v>
      </c>
      <c r="K579" s="17" t="s">
        <v>46</v>
      </c>
      <c r="L579" s="17" t="s">
        <v>34</v>
      </c>
      <c r="M579" s="19">
        <v>49880.159999999902</v>
      </c>
      <c r="N579" s="19">
        <v>19397.84</v>
      </c>
      <c r="O579" s="17">
        <v>28</v>
      </c>
      <c r="P579" s="17" t="s">
        <v>26</v>
      </c>
      <c r="Q579" s="17">
        <v>12</v>
      </c>
      <c r="R579" s="17" t="s">
        <v>27</v>
      </c>
      <c r="S579" s="14" t="str">
        <f t="shared" ref="S579:S642" si="9">"Week "&amp;INT((DAY(B579)-1)/7)+1</f>
        <v>Week 3</v>
      </c>
    </row>
    <row r="580" spans="1:19" x14ac:dyDescent="0.3">
      <c r="A580" s="8" t="s">
        <v>882</v>
      </c>
      <c r="B580" s="9">
        <v>43084</v>
      </c>
      <c r="C580" s="10" t="s">
        <v>241</v>
      </c>
      <c r="D580" s="10" t="s">
        <v>30</v>
      </c>
      <c r="E580" s="10" t="s">
        <v>31</v>
      </c>
      <c r="F580" s="11">
        <v>11</v>
      </c>
      <c r="G580" s="12">
        <v>3839.1</v>
      </c>
      <c r="H580" s="12">
        <v>42230.1</v>
      </c>
      <c r="I580" s="13">
        <v>3071.28</v>
      </c>
      <c r="J580" s="10" t="s">
        <v>50</v>
      </c>
      <c r="K580" s="10" t="s">
        <v>51</v>
      </c>
      <c r="L580" s="10" t="s">
        <v>40</v>
      </c>
      <c r="M580" s="12">
        <v>33784.080000000002</v>
      </c>
      <c r="N580" s="12">
        <v>8446.0199999999895</v>
      </c>
      <c r="O580" s="10">
        <v>19.999999999999901</v>
      </c>
      <c r="P580" s="10" t="s">
        <v>26</v>
      </c>
      <c r="Q580" s="10">
        <v>12</v>
      </c>
      <c r="R580" s="10" t="s">
        <v>27</v>
      </c>
      <c r="S580" s="14" t="str">
        <f t="shared" si="9"/>
        <v>Week 3</v>
      </c>
    </row>
    <row r="581" spans="1:19" x14ac:dyDescent="0.3">
      <c r="A581" s="15" t="s">
        <v>883</v>
      </c>
      <c r="B581" s="16">
        <v>43084</v>
      </c>
      <c r="C581" s="17" t="s">
        <v>124</v>
      </c>
      <c r="D581" s="17" t="s">
        <v>43</v>
      </c>
      <c r="E581" s="17" t="s">
        <v>115</v>
      </c>
      <c r="F581" s="18">
        <v>6</v>
      </c>
      <c r="G581" s="19">
        <v>2010</v>
      </c>
      <c r="H581" s="19">
        <v>12060</v>
      </c>
      <c r="I581" s="20">
        <v>924.6</v>
      </c>
      <c r="J581" s="17" t="s">
        <v>104</v>
      </c>
      <c r="K581" s="17" t="s">
        <v>105</v>
      </c>
      <c r="L581" s="17" t="s">
        <v>25</v>
      </c>
      <c r="M581" s="19">
        <v>5547.6</v>
      </c>
      <c r="N581" s="19">
        <v>6512.4</v>
      </c>
      <c r="O581" s="17">
        <v>53.999999999999901</v>
      </c>
      <c r="P581" s="17" t="s">
        <v>26</v>
      </c>
      <c r="Q581" s="17">
        <v>12</v>
      </c>
      <c r="R581" s="17" t="s">
        <v>27</v>
      </c>
      <c r="S581" s="14" t="str">
        <f t="shared" si="9"/>
        <v>Week 3</v>
      </c>
    </row>
    <row r="582" spans="1:19" x14ac:dyDescent="0.3">
      <c r="A582" s="8" t="s">
        <v>884</v>
      </c>
      <c r="B582" s="9">
        <v>43084</v>
      </c>
      <c r="C582" s="10" t="s">
        <v>478</v>
      </c>
      <c r="D582" s="10" t="s">
        <v>21</v>
      </c>
      <c r="E582" s="10" t="s">
        <v>110</v>
      </c>
      <c r="F582" s="11">
        <v>12</v>
      </c>
      <c r="G582" s="12">
        <v>3946.3</v>
      </c>
      <c r="H582" s="12">
        <v>47355.600000000006</v>
      </c>
      <c r="I582" s="13">
        <v>1775.835</v>
      </c>
      <c r="J582" s="10" t="s">
        <v>38</v>
      </c>
      <c r="K582" s="10" t="s">
        <v>39</v>
      </c>
      <c r="L582" s="10" t="s">
        <v>40</v>
      </c>
      <c r="M582" s="12">
        <v>21310.02</v>
      </c>
      <c r="N582" s="12">
        <v>26045.58</v>
      </c>
      <c r="O582" s="10">
        <v>55</v>
      </c>
      <c r="P582" s="10" t="s">
        <v>26</v>
      </c>
      <c r="Q582" s="10">
        <v>12</v>
      </c>
      <c r="R582" s="10" t="s">
        <v>27</v>
      </c>
      <c r="S582" s="14" t="str">
        <f t="shared" si="9"/>
        <v>Week 3</v>
      </c>
    </row>
    <row r="583" spans="1:19" x14ac:dyDescent="0.3">
      <c r="A583" s="15" t="s">
        <v>885</v>
      </c>
      <c r="B583" s="16">
        <v>43084</v>
      </c>
      <c r="C583" s="17" t="s">
        <v>82</v>
      </c>
      <c r="D583" s="17" t="s">
        <v>43</v>
      </c>
      <c r="E583" s="17" t="s">
        <v>37</v>
      </c>
      <c r="F583" s="18">
        <v>5</v>
      </c>
      <c r="G583" s="19">
        <v>1869.3</v>
      </c>
      <c r="H583" s="19">
        <v>9346.5</v>
      </c>
      <c r="I583" s="20">
        <v>972.03599999999994</v>
      </c>
      <c r="J583" s="17" t="s">
        <v>225</v>
      </c>
      <c r="K583" s="17" t="s">
        <v>226</v>
      </c>
      <c r="L583" s="17" t="s">
        <v>25</v>
      </c>
      <c r="M583" s="19">
        <v>4860.18</v>
      </c>
      <c r="N583" s="19">
        <v>4486.32</v>
      </c>
      <c r="O583" s="17">
        <v>48</v>
      </c>
      <c r="P583" s="17" t="s">
        <v>26</v>
      </c>
      <c r="Q583" s="17">
        <v>12</v>
      </c>
      <c r="R583" s="17" t="s">
        <v>27</v>
      </c>
      <c r="S583" s="14" t="str">
        <f t="shared" si="9"/>
        <v>Week 3</v>
      </c>
    </row>
    <row r="584" spans="1:19" x14ac:dyDescent="0.3">
      <c r="A584" s="8" t="s">
        <v>886</v>
      </c>
      <c r="B584" s="9">
        <v>43084</v>
      </c>
      <c r="C584" s="10" t="s">
        <v>810</v>
      </c>
      <c r="D584" s="10" t="s">
        <v>43</v>
      </c>
      <c r="E584" s="10" t="s">
        <v>103</v>
      </c>
      <c r="F584" s="11">
        <v>5</v>
      </c>
      <c r="G584" s="12">
        <v>6009.9</v>
      </c>
      <c r="H584" s="12">
        <v>30049.5</v>
      </c>
      <c r="I584" s="13">
        <v>3726.1379999999999</v>
      </c>
      <c r="J584" s="10" t="s">
        <v>38</v>
      </c>
      <c r="K584" s="10" t="s">
        <v>39</v>
      </c>
      <c r="L584" s="10" t="s">
        <v>40</v>
      </c>
      <c r="M584" s="12">
        <v>18630.689999999999</v>
      </c>
      <c r="N584" s="12">
        <v>11418.81</v>
      </c>
      <c r="O584" s="10">
        <v>38</v>
      </c>
      <c r="P584" s="10" t="s">
        <v>26</v>
      </c>
      <c r="Q584" s="10">
        <v>12</v>
      </c>
      <c r="R584" s="10" t="s">
        <v>27</v>
      </c>
      <c r="S584" s="14" t="str">
        <f t="shared" si="9"/>
        <v>Week 3</v>
      </c>
    </row>
    <row r="585" spans="1:19" x14ac:dyDescent="0.3">
      <c r="A585" s="15" t="s">
        <v>887</v>
      </c>
      <c r="B585" s="16">
        <v>43084</v>
      </c>
      <c r="C585" s="17" t="s">
        <v>335</v>
      </c>
      <c r="D585" s="17" t="s">
        <v>21</v>
      </c>
      <c r="E585" s="17" t="s">
        <v>44</v>
      </c>
      <c r="F585" s="18">
        <v>7</v>
      </c>
      <c r="G585" s="19">
        <v>1105.5</v>
      </c>
      <c r="H585" s="19">
        <v>7738.5</v>
      </c>
      <c r="I585" s="20">
        <v>906.51</v>
      </c>
      <c r="J585" s="17" t="s">
        <v>116</v>
      </c>
      <c r="K585" s="17" t="s">
        <v>117</v>
      </c>
      <c r="L585" s="17" t="s">
        <v>40</v>
      </c>
      <c r="M585" s="19">
        <v>6345.57</v>
      </c>
      <c r="N585" s="19">
        <v>1392.93</v>
      </c>
      <c r="O585" s="17">
        <v>18</v>
      </c>
      <c r="P585" s="17" t="s">
        <v>26</v>
      </c>
      <c r="Q585" s="17">
        <v>12</v>
      </c>
      <c r="R585" s="17" t="s">
        <v>27</v>
      </c>
      <c r="S585" s="14" t="str">
        <f t="shared" si="9"/>
        <v>Week 3</v>
      </c>
    </row>
    <row r="586" spans="1:19" x14ac:dyDescent="0.3">
      <c r="A586" s="8" t="s">
        <v>888</v>
      </c>
      <c r="B586" s="9">
        <v>43084</v>
      </c>
      <c r="C586" s="10" t="s">
        <v>345</v>
      </c>
      <c r="D586" s="10" t="s">
        <v>43</v>
      </c>
      <c r="E586" s="10" t="s">
        <v>167</v>
      </c>
      <c r="F586" s="11">
        <v>11</v>
      </c>
      <c r="G586" s="12">
        <v>5219.3</v>
      </c>
      <c r="H586" s="12">
        <v>57412.3</v>
      </c>
      <c r="I586" s="13">
        <v>4332.0190000000002</v>
      </c>
      <c r="J586" s="10" t="s">
        <v>54</v>
      </c>
      <c r="K586" s="10" t="s">
        <v>55</v>
      </c>
      <c r="L586" s="10" t="s">
        <v>56</v>
      </c>
      <c r="M586" s="12">
        <v>47652.209000000003</v>
      </c>
      <c r="N586" s="12">
        <v>9760.0910000000003</v>
      </c>
      <c r="O586" s="10">
        <v>17</v>
      </c>
      <c r="P586" s="10" t="s">
        <v>26</v>
      </c>
      <c r="Q586" s="10">
        <v>12</v>
      </c>
      <c r="R586" s="10" t="s">
        <v>27</v>
      </c>
      <c r="S586" s="14" t="str">
        <f t="shared" si="9"/>
        <v>Week 3</v>
      </c>
    </row>
    <row r="587" spans="1:19" x14ac:dyDescent="0.3">
      <c r="A587" s="15" t="s">
        <v>889</v>
      </c>
      <c r="B587" s="16">
        <v>43084</v>
      </c>
      <c r="C587" s="17" t="s">
        <v>380</v>
      </c>
      <c r="D587" s="17" t="s">
        <v>21</v>
      </c>
      <c r="E587" s="17" t="s">
        <v>31</v>
      </c>
      <c r="F587" s="18">
        <v>8</v>
      </c>
      <c r="G587" s="19">
        <v>1855.9</v>
      </c>
      <c r="H587" s="19">
        <v>14847.2</v>
      </c>
      <c r="I587" s="20">
        <v>1280.5709999999999</v>
      </c>
      <c r="J587" s="17" t="s">
        <v>32</v>
      </c>
      <c r="K587" s="17" t="s">
        <v>33</v>
      </c>
      <c r="L587" s="17" t="s">
        <v>34</v>
      </c>
      <c r="M587" s="19">
        <v>10244.567999999999</v>
      </c>
      <c r="N587" s="19">
        <v>4602.6319999999996</v>
      </c>
      <c r="O587" s="17">
        <v>31</v>
      </c>
      <c r="P587" s="17" t="s">
        <v>26</v>
      </c>
      <c r="Q587" s="17">
        <v>12</v>
      </c>
      <c r="R587" s="17" t="s">
        <v>27</v>
      </c>
      <c r="S587" s="14" t="str">
        <f t="shared" si="9"/>
        <v>Week 3</v>
      </c>
    </row>
    <row r="588" spans="1:19" x14ac:dyDescent="0.3">
      <c r="A588" s="8" t="s">
        <v>890</v>
      </c>
      <c r="B588" s="9">
        <v>43084</v>
      </c>
      <c r="C588" s="10" t="s">
        <v>478</v>
      </c>
      <c r="D588" s="10" t="s">
        <v>30</v>
      </c>
      <c r="E588" s="10" t="s">
        <v>326</v>
      </c>
      <c r="F588" s="11">
        <v>6</v>
      </c>
      <c r="G588" s="12">
        <v>1045.2</v>
      </c>
      <c r="H588" s="12">
        <v>6271.2000000000007</v>
      </c>
      <c r="I588" s="13">
        <v>449.43599999999998</v>
      </c>
      <c r="J588" s="10" t="s">
        <v>23</v>
      </c>
      <c r="K588" s="10" t="s">
        <v>24</v>
      </c>
      <c r="L588" s="10" t="s">
        <v>25</v>
      </c>
      <c r="M588" s="12">
        <v>2696.616</v>
      </c>
      <c r="N588" s="12">
        <v>3574.5839999999998</v>
      </c>
      <c r="O588" s="10">
        <v>57</v>
      </c>
      <c r="P588" s="10" t="s">
        <v>26</v>
      </c>
      <c r="Q588" s="10">
        <v>12</v>
      </c>
      <c r="R588" s="10" t="s">
        <v>27</v>
      </c>
      <c r="S588" s="14" t="str">
        <f t="shared" si="9"/>
        <v>Week 3</v>
      </c>
    </row>
    <row r="589" spans="1:19" x14ac:dyDescent="0.3">
      <c r="A589" s="15" t="s">
        <v>676</v>
      </c>
      <c r="B589" s="16">
        <v>43084</v>
      </c>
      <c r="C589" s="17" t="s">
        <v>182</v>
      </c>
      <c r="D589" s="17" t="s">
        <v>21</v>
      </c>
      <c r="E589" s="17" t="s">
        <v>31</v>
      </c>
      <c r="F589" s="18">
        <v>12</v>
      </c>
      <c r="G589" s="19">
        <v>1132.3</v>
      </c>
      <c r="H589" s="19">
        <v>13587.599999999999</v>
      </c>
      <c r="I589" s="20">
        <v>520.85799999999995</v>
      </c>
      <c r="J589" s="17" t="s">
        <v>45</v>
      </c>
      <c r="K589" s="17" t="s">
        <v>46</v>
      </c>
      <c r="L589" s="17" t="s">
        <v>34</v>
      </c>
      <c r="M589" s="19">
        <v>6250.2959999999903</v>
      </c>
      <c r="N589" s="19">
        <v>7337.3039999999901</v>
      </c>
      <c r="O589" s="17">
        <v>54</v>
      </c>
      <c r="P589" s="17" t="s">
        <v>26</v>
      </c>
      <c r="Q589" s="17">
        <v>12</v>
      </c>
      <c r="R589" s="17" t="s">
        <v>27</v>
      </c>
      <c r="S589" s="14" t="str">
        <f t="shared" si="9"/>
        <v>Week 3</v>
      </c>
    </row>
    <row r="590" spans="1:19" x14ac:dyDescent="0.3">
      <c r="A590" s="8" t="s">
        <v>891</v>
      </c>
      <c r="B590" s="9">
        <v>43084</v>
      </c>
      <c r="C590" s="10" t="s">
        <v>79</v>
      </c>
      <c r="D590" s="10" t="s">
        <v>43</v>
      </c>
      <c r="E590" s="10" t="s">
        <v>93</v>
      </c>
      <c r="F590" s="11">
        <v>7</v>
      </c>
      <c r="G590" s="12">
        <v>5929.5</v>
      </c>
      <c r="H590" s="12">
        <v>41506.5</v>
      </c>
      <c r="I590" s="13">
        <v>3498.4049999999902</v>
      </c>
      <c r="J590" s="10" t="s">
        <v>45</v>
      </c>
      <c r="K590" s="10" t="s">
        <v>46</v>
      </c>
      <c r="L590" s="10" t="s">
        <v>34</v>
      </c>
      <c r="M590" s="12">
        <v>24488.834999999999</v>
      </c>
      <c r="N590" s="12">
        <v>17017.665000000001</v>
      </c>
      <c r="O590" s="10">
        <v>41</v>
      </c>
      <c r="P590" s="10" t="s">
        <v>26</v>
      </c>
      <c r="Q590" s="10">
        <v>12</v>
      </c>
      <c r="R590" s="10" t="s">
        <v>27</v>
      </c>
      <c r="S590" s="14" t="str">
        <f t="shared" si="9"/>
        <v>Week 3</v>
      </c>
    </row>
    <row r="591" spans="1:19" x14ac:dyDescent="0.3">
      <c r="A591" s="15" t="s">
        <v>892</v>
      </c>
      <c r="B591" s="16">
        <v>43084</v>
      </c>
      <c r="C591" s="17" t="s">
        <v>856</v>
      </c>
      <c r="D591" s="17" t="s">
        <v>30</v>
      </c>
      <c r="E591" s="17" t="s">
        <v>37</v>
      </c>
      <c r="F591" s="18">
        <v>12</v>
      </c>
      <c r="G591" s="19">
        <v>3999.9</v>
      </c>
      <c r="H591" s="19">
        <v>47998.8</v>
      </c>
      <c r="I591" s="20">
        <v>3079.9229999999998</v>
      </c>
      <c r="J591" s="17" t="s">
        <v>766</v>
      </c>
      <c r="K591" s="17" t="s">
        <v>767</v>
      </c>
      <c r="L591" s="17" t="s">
        <v>56</v>
      </c>
      <c r="M591" s="19">
        <v>36959.076000000001</v>
      </c>
      <c r="N591" s="19">
        <v>11039.724</v>
      </c>
      <c r="O591" s="17">
        <v>23</v>
      </c>
      <c r="P591" s="17" t="s">
        <v>26</v>
      </c>
      <c r="Q591" s="17">
        <v>12</v>
      </c>
      <c r="R591" s="17" t="s">
        <v>27</v>
      </c>
      <c r="S591" s="14" t="str">
        <f t="shared" si="9"/>
        <v>Week 3</v>
      </c>
    </row>
    <row r="592" spans="1:19" x14ac:dyDescent="0.3">
      <c r="A592" s="8" t="s">
        <v>893</v>
      </c>
      <c r="B592" s="9">
        <v>43084</v>
      </c>
      <c r="C592" s="10" t="s">
        <v>591</v>
      </c>
      <c r="D592" s="10" t="s">
        <v>30</v>
      </c>
      <c r="E592" s="10" t="s">
        <v>73</v>
      </c>
      <c r="F592" s="11">
        <v>6</v>
      </c>
      <c r="G592" s="12">
        <v>871</v>
      </c>
      <c r="H592" s="12">
        <v>5226</v>
      </c>
      <c r="I592" s="13">
        <v>740.35</v>
      </c>
      <c r="J592" s="10" t="s">
        <v>76</v>
      </c>
      <c r="K592" s="10" t="s">
        <v>77</v>
      </c>
      <c r="L592" s="10" t="s">
        <v>56</v>
      </c>
      <c r="M592" s="12">
        <v>4442.1000000000004</v>
      </c>
      <c r="N592" s="12">
        <v>783.89999999999895</v>
      </c>
      <c r="O592" s="10">
        <v>14.999999999999901</v>
      </c>
      <c r="P592" s="10" t="s">
        <v>26</v>
      </c>
      <c r="Q592" s="10">
        <v>12</v>
      </c>
      <c r="R592" s="10" t="s">
        <v>27</v>
      </c>
      <c r="S592" s="14" t="str">
        <f t="shared" si="9"/>
        <v>Week 3</v>
      </c>
    </row>
    <row r="593" spans="1:19" x14ac:dyDescent="0.3">
      <c r="A593" s="15" t="s">
        <v>894</v>
      </c>
      <c r="B593" s="16">
        <v>43084</v>
      </c>
      <c r="C593" s="17" t="s">
        <v>294</v>
      </c>
      <c r="D593" s="17" t="s">
        <v>30</v>
      </c>
      <c r="E593" s="17" t="s">
        <v>115</v>
      </c>
      <c r="F593" s="18">
        <v>11</v>
      </c>
      <c r="G593" s="19">
        <v>2559.4</v>
      </c>
      <c r="H593" s="19">
        <v>28153.4</v>
      </c>
      <c r="I593" s="20">
        <v>1970.7380000000001</v>
      </c>
      <c r="J593" s="17" t="s">
        <v>225</v>
      </c>
      <c r="K593" s="17" t="s">
        <v>226</v>
      </c>
      <c r="L593" s="17" t="s">
        <v>25</v>
      </c>
      <c r="M593" s="19">
        <v>21678.117999999999</v>
      </c>
      <c r="N593" s="19">
        <v>6475.2819999999901</v>
      </c>
      <c r="O593" s="17">
        <v>22.999999999999901</v>
      </c>
      <c r="P593" s="17" t="s">
        <v>26</v>
      </c>
      <c r="Q593" s="17">
        <v>12</v>
      </c>
      <c r="R593" s="17" t="s">
        <v>27</v>
      </c>
      <c r="S593" s="14" t="str">
        <f t="shared" si="9"/>
        <v>Week 3</v>
      </c>
    </row>
    <row r="594" spans="1:19" x14ac:dyDescent="0.3">
      <c r="A594" s="8" t="s">
        <v>895</v>
      </c>
      <c r="B594" s="9">
        <v>43084</v>
      </c>
      <c r="C594" s="10" t="s">
        <v>154</v>
      </c>
      <c r="D594" s="10" t="s">
        <v>21</v>
      </c>
      <c r="E594" s="10" t="s">
        <v>91</v>
      </c>
      <c r="F594" s="11">
        <v>7</v>
      </c>
      <c r="G594" s="12">
        <v>1159.0999999999999</v>
      </c>
      <c r="H594" s="12">
        <v>8113.6999999999989</v>
      </c>
      <c r="I594" s="13">
        <v>788.18799999999999</v>
      </c>
      <c r="J594" s="10" t="s">
        <v>76</v>
      </c>
      <c r="K594" s="10" t="s">
        <v>77</v>
      </c>
      <c r="L594" s="10" t="s">
        <v>56</v>
      </c>
      <c r="M594" s="12">
        <v>5517.3159999999998</v>
      </c>
      <c r="N594" s="12">
        <v>2596.384</v>
      </c>
      <c r="O594" s="10">
        <v>31.999999999999901</v>
      </c>
      <c r="P594" s="10" t="s">
        <v>26</v>
      </c>
      <c r="Q594" s="10">
        <v>12</v>
      </c>
      <c r="R594" s="10" t="s">
        <v>27</v>
      </c>
      <c r="S594" s="14" t="str">
        <f t="shared" si="9"/>
        <v>Week 3</v>
      </c>
    </row>
    <row r="595" spans="1:19" x14ac:dyDescent="0.3">
      <c r="A595" s="15" t="s">
        <v>896</v>
      </c>
      <c r="B595" s="16">
        <v>43084</v>
      </c>
      <c r="C595" s="17" t="s">
        <v>695</v>
      </c>
      <c r="D595" s="17" t="s">
        <v>21</v>
      </c>
      <c r="E595" s="17" t="s">
        <v>115</v>
      </c>
      <c r="F595" s="18">
        <v>8</v>
      </c>
      <c r="G595" s="19">
        <v>2391.9</v>
      </c>
      <c r="H595" s="19">
        <v>19135.2</v>
      </c>
      <c r="I595" s="20">
        <v>1841.7629999999999</v>
      </c>
      <c r="J595" s="17" t="s">
        <v>23</v>
      </c>
      <c r="K595" s="17" t="s">
        <v>24</v>
      </c>
      <c r="L595" s="17" t="s">
        <v>25</v>
      </c>
      <c r="M595" s="19">
        <v>14734.103999999999</v>
      </c>
      <c r="N595" s="19">
        <v>4401.0959999999995</v>
      </c>
      <c r="O595" s="17">
        <v>22.999999999999901</v>
      </c>
      <c r="P595" s="17" t="s">
        <v>26</v>
      </c>
      <c r="Q595" s="17">
        <v>12</v>
      </c>
      <c r="R595" s="17" t="s">
        <v>27</v>
      </c>
      <c r="S595" s="14" t="str">
        <f t="shared" si="9"/>
        <v>Week 3</v>
      </c>
    </row>
    <row r="596" spans="1:19" x14ac:dyDescent="0.3">
      <c r="A596" s="8" t="s">
        <v>897</v>
      </c>
      <c r="B596" s="9">
        <v>43084</v>
      </c>
      <c r="C596" s="10" t="s">
        <v>138</v>
      </c>
      <c r="D596" s="10" t="s">
        <v>21</v>
      </c>
      <c r="E596" s="10" t="s">
        <v>62</v>
      </c>
      <c r="F596" s="11">
        <v>5</v>
      </c>
      <c r="G596" s="12">
        <v>3912.8</v>
      </c>
      <c r="H596" s="12">
        <v>19564</v>
      </c>
      <c r="I596" s="13">
        <v>1956.4</v>
      </c>
      <c r="J596" s="10" t="s">
        <v>104</v>
      </c>
      <c r="K596" s="10" t="s">
        <v>105</v>
      </c>
      <c r="L596" s="10" t="s">
        <v>25</v>
      </c>
      <c r="M596" s="12">
        <v>9782</v>
      </c>
      <c r="N596" s="12">
        <v>9782</v>
      </c>
      <c r="O596" s="10">
        <v>50</v>
      </c>
      <c r="P596" s="10" t="s">
        <v>26</v>
      </c>
      <c r="Q596" s="10">
        <v>12</v>
      </c>
      <c r="R596" s="10" t="s">
        <v>27</v>
      </c>
      <c r="S596" s="14" t="str">
        <f t="shared" si="9"/>
        <v>Week 3</v>
      </c>
    </row>
    <row r="597" spans="1:19" x14ac:dyDescent="0.3">
      <c r="A597" s="15" t="s">
        <v>898</v>
      </c>
      <c r="B597" s="16">
        <v>43084</v>
      </c>
      <c r="C597" s="17" t="s">
        <v>109</v>
      </c>
      <c r="D597" s="17" t="s">
        <v>30</v>
      </c>
      <c r="E597" s="17" t="s">
        <v>265</v>
      </c>
      <c r="F597" s="18">
        <v>9</v>
      </c>
      <c r="G597" s="19">
        <v>5447.1</v>
      </c>
      <c r="H597" s="19">
        <v>49023.9</v>
      </c>
      <c r="I597" s="20">
        <v>4248.7380000000003</v>
      </c>
      <c r="J597" s="17" t="s">
        <v>32</v>
      </c>
      <c r="K597" s="17" t="s">
        <v>33</v>
      </c>
      <c r="L597" s="17" t="s">
        <v>34</v>
      </c>
      <c r="M597" s="19">
        <v>38238.642</v>
      </c>
      <c r="N597" s="19">
        <v>10785.258</v>
      </c>
      <c r="O597" s="17">
        <v>22</v>
      </c>
      <c r="P597" s="17" t="s">
        <v>26</v>
      </c>
      <c r="Q597" s="17">
        <v>12</v>
      </c>
      <c r="R597" s="17" t="s">
        <v>27</v>
      </c>
      <c r="S597" s="14" t="str">
        <f t="shared" si="9"/>
        <v>Week 3</v>
      </c>
    </row>
    <row r="598" spans="1:19" x14ac:dyDescent="0.3">
      <c r="A598" s="8" t="s">
        <v>899</v>
      </c>
      <c r="B598" s="9">
        <v>43084</v>
      </c>
      <c r="C598" s="10" t="s">
        <v>591</v>
      </c>
      <c r="D598" s="10" t="s">
        <v>21</v>
      </c>
      <c r="E598" s="10" t="s">
        <v>91</v>
      </c>
      <c r="F598" s="11">
        <v>8</v>
      </c>
      <c r="G598" s="12">
        <v>2311.5</v>
      </c>
      <c r="H598" s="12">
        <v>18492</v>
      </c>
      <c r="I598" s="13">
        <v>1410.0149999999901</v>
      </c>
      <c r="J598" s="10" t="s">
        <v>54</v>
      </c>
      <c r="K598" s="10" t="s">
        <v>55</v>
      </c>
      <c r="L598" s="10" t="s">
        <v>56</v>
      </c>
      <c r="M598" s="12">
        <v>11280.119999999901</v>
      </c>
      <c r="N598" s="12">
        <v>7211.88</v>
      </c>
      <c r="O598" s="10">
        <v>39</v>
      </c>
      <c r="P598" s="10" t="s">
        <v>26</v>
      </c>
      <c r="Q598" s="10">
        <v>12</v>
      </c>
      <c r="R598" s="10" t="s">
        <v>27</v>
      </c>
      <c r="S598" s="14" t="str">
        <f t="shared" si="9"/>
        <v>Week 3</v>
      </c>
    </row>
    <row r="599" spans="1:19" x14ac:dyDescent="0.3">
      <c r="A599" s="15" t="s">
        <v>900</v>
      </c>
      <c r="B599" s="16">
        <v>43084</v>
      </c>
      <c r="C599" s="17" t="s">
        <v>703</v>
      </c>
      <c r="D599" s="17" t="s">
        <v>30</v>
      </c>
      <c r="E599" s="17" t="s">
        <v>120</v>
      </c>
      <c r="F599" s="18">
        <v>5</v>
      </c>
      <c r="G599" s="19">
        <v>2224.4</v>
      </c>
      <c r="H599" s="19">
        <v>11122</v>
      </c>
      <c r="I599" s="20">
        <v>1668.3</v>
      </c>
      <c r="J599" s="17" t="s">
        <v>45</v>
      </c>
      <c r="K599" s="17" t="s">
        <v>46</v>
      </c>
      <c r="L599" s="17" t="s">
        <v>34</v>
      </c>
      <c r="M599" s="19">
        <v>8341.5</v>
      </c>
      <c r="N599" s="19">
        <v>2780.5</v>
      </c>
      <c r="O599" s="17">
        <v>25</v>
      </c>
      <c r="P599" s="17" t="s">
        <v>26</v>
      </c>
      <c r="Q599" s="17">
        <v>12</v>
      </c>
      <c r="R599" s="17" t="s">
        <v>27</v>
      </c>
      <c r="S599" s="14" t="str">
        <f t="shared" si="9"/>
        <v>Week 3</v>
      </c>
    </row>
    <row r="600" spans="1:19" x14ac:dyDescent="0.3">
      <c r="A600" s="8" t="s">
        <v>901</v>
      </c>
      <c r="B600" s="9">
        <v>43084</v>
      </c>
      <c r="C600" s="10" t="s">
        <v>384</v>
      </c>
      <c r="D600" s="10" t="s">
        <v>21</v>
      </c>
      <c r="E600" s="10" t="s">
        <v>93</v>
      </c>
      <c r="F600" s="11">
        <v>6</v>
      </c>
      <c r="G600" s="12">
        <v>6204.2</v>
      </c>
      <c r="H600" s="12">
        <v>37225.199999999997</v>
      </c>
      <c r="I600" s="13">
        <v>4963.3599999999997</v>
      </c>
      <c r="J600" s="10" t="s">
        <v>83</v>
      </c>
      <c r="K600" s="10" t="s">
        <v>84</v>
      </c>
      <c r="L600" s="10" t="s">
        <v>34</v>
      </c>
      <c r="M600" s="12">
        <v>29780.16</v>
      </c>
      <c r="N600" s="12">
        <v>7445.03999999999</v>
      </c>
      <c r="O600" s="10">
        <v>19.999999999999901</v>
      </c>
      <c r="P600" s="10" t="s">
        <v>26</v>
      </c>
      <c r="Q600" s="10">
        <v>12</v>
      </c>
      <c r="R600" s="10" t="s">
        <v>27</v>
      </c>
      <c r="S600" s="14" t="str">
        <f t="shared" si="9"/>
        <v>Week 3</v>
      </c>
    </row>
    <row r="601" spans="1:19" x14ac:dyDescent="0.3">
      <c r="A601" s="15" t="s">
        <v>902</v>
      </c>
      <c r="B601" s="16">
        <v>43084</v>
      </c>
      <c r="C601" s="17" t="s">
        <v>497</v>
      </c>
      <c r="D601" s="17" t="s">
        <v>30</v>
      </c>
      <c r="E601" s="17" t="s">
        <v>73</v>
      </c>
      <c r="F601" s="18">
        <v>7</v>
      </c>
      <c r="G601" s="19">
        <v>5909.4</v>
      </c>
      <c r="H601" s="19">
        <v>41365.799999999996</v>
      </c>
      <c r="I601" s="20">
        <v>4432.05</v>
      </c>
      <c r="J601" s="17" t="s">
        <v>45</v>
      </c>
      <c r="K601" s="17" t="s">
        <v>46</v>
      </c>
      <c r="L601" s="17" t="s">
        <v>34</v>
      </c>
      <c r="M601" s="19">
        <v>31024.35</v>
      </c>
      <c r="N601" s="19">
        <v>10341.450000000001</v>
      </c>
      <c r="O601" s="17">
        <v>25</v>
      </c>
      <c r="P601" s="17" t="s">
        <v>26</v>
      </c>
      <c r="Q601" s="17">
        <v>12</v>
      </c>
      <c r="R601" s="17" t="s">
        <v>27</v>
      </c>
      <c r="S601" s="14" t="str">
        <f t="shared" si="9"/>
        <v>Week 3</v>
      </c>
    </row>
    <row r="602" spans="1:19" x14ac:dyDescent="0.3">
      <c r="A602" s="8" t="s">
        <v>903</v>
      </c>
      <c r="B602" s="9">
        <v>43085</v>
      </c>
      <c r="C602" s="10" t="s">
        <v>199</v>
      </c>
      <c r="D602" s="10" t="s">
        <v>21</v>
      </c>
      <c r="E602" s="10" t="s">
        <v>197</v>
      </c>
      <c r="F602" s="11">
        <v>6</v>
      </c>
      <c r="G602" s="12">
        <v>2465.6</v>
      </c>
      <c r="H602" s="12">
        <v>14793.599999999999</v>
      </c>
      <c r="I602" s="13">
        <v>1602.64</v>
      </c>
      <c r="J602" s="10" t="s">
        <v>405</v>
      </c>
      <c r="K602" s="10" t="s">
        <v>406</v>
      </c>
      <c r="L602" s="10" t="s">
        <v>56</v>
      </c>
      <c r="M602" s="12">
        <v>9615.84</v>
      </c>
      <c r="N602" s="12">
        <v>5177.7599999999902</v>
      </c>
      <c r="O602" s="10">
        <v>34.999999999999901</v>
      </c>
      <c r="P602" s="10" t="s">
        <v>26</v>
      </c>
      <c r="Q602" s="10">
        <v>12</v>
      </c>
      <c r="R602" s="10" t="s">
        <v>27</v>
      </c>
      <c r="S602" s="14" t="str">
        <f t="shared" si="9"/>
        <v>Week 3</v>
      </c>
    </row>
    <row r="603" spans="1:19" x14ac:dyDescent="0.3">
      <c r="A603" s="15" t="s">
        <v>904</v>
      </c>
      <c r="B603" s="16">
        <v>43085</v>
      </c>
      <c r="C603" s="17" t="s">
        <v>154</v>
      </c>
      <c r="D603" s="17" t="s">
        <v>21</v>
      </c>
      <c r="E603" s="17" t="s">
        <v>31</v>
      </c>
      <c r="F603" s="18">
        <v>12</v>
      </c>
      <c r="G603" s="19">
        <v>1112.2</v>
      </c>
      <c r="H603" s="19">
        <v>13346.400000000001</v>
      </c>
      <c r="I603" s="20">
        <v>444.88</v>
      </c>
      <c r="J603" s="17" t="s">
        <v>38</v>
      </c>
      <c r="K603" s="17" t="s">
        <v>39</v>
      </c>
      <c r="L603" s="17" t="s">
        <v>40</v>
      </c>
      <c r="M603" s="19">
        <v>5338.56</v>
      </c>
      <c r="N603" s="19">
        <v>8007.84</v>
      </c>
      <c r="O603" s="17">
        <v>60</v>
      </c>
      <c r="P603" s="17" t="s">
        <v>26</v>
      </c>
      <c r="Q603" s="17">
        <v>12</v>
      </c>
      <c r="R603" s="17" t="s">
        <v>27</v>
      </c>
      <c r="S603" s="14" t="str">
        <f t="shared" si="9"/>
        <v>Week 3</v>
      </c>
    </row>
    <row r="604" spans="1:19" x14ac:dyDescent="0.3">
      <c r="A604" s="8" t="s">
        <v>905</v>
      </c>
      <c r="B604" s="9">
        <v>43085</v>
      </c>
      <c r="C604" s="10" t="s">
        <v>247</v>
      </c>
      <c r="D604" s="10" t="s">
        <v>21</v>
      </c>
      <c r="E604" s="10" t="s">
        <v>252</v>
      </c>
      <c r="F604" s="11">
        <v>10</v>
      </c>
      <c r="G604" s="12">
        <v>2700.1</v>
      </c>
      <c r="H604" s="12">
        <v>27001</v>
      </c>
      <c r="I604" s="13">
        <v>1755.0650000000001</v>
      </c>
      <c r="J604" s="10" t="s">
        <v>45</v>
      </c>
      <c r="K604" s="10" t="s">
        <v>46</v>
      </c>
      <c r="L604" s="10" t="s">
        <v>34</v>
      </c>
      <c r="M604" s="12">
        <v>17550.650000000001</v>
      </c>
      <c r="N604" s="12">
        <v>9450.3499999999894</v>
      </c>
      <c r="O604" s="10">
        <v>34.999999999999901</v>
      </c>
      <c r="P604" s="10" t="s">
        <v>26</v>
      </c>
      <c r="Q604" s="10">
        <v>12</v>
      </c>
      <c r="R604" s="10" t="s">
        <v>27</v>
      </c>
      <c r="S604" s="14" t="str">
        <f t="shared" si="9"/>
        <v>Week 3</v>
      </c>
    </row>
    <row r="605" spans="1:19" x14ac:dyDescent="0.3">
      <c r="A605" s="15" t="s">
        <v>906</v>
      </c>
      <c r="B605" s="16">
        <v>43085</v>
      </c>
      <c r="C605" s="17" t="s">
        <v>308</v>
      </c>
      <c r="D605" s="17" t="s">
        <v>43</v>
      </c>
      <c r="E605" s="17" t="s">
        <v>252</v>
      </c>
      <c r="F605" s="18">
        <v>12</v>
      </c>
      <c r="G605" s="19">
        <v>951.4</v>
      </c>
      <c r="H605" s="19">
        <v>11416.8</v>
      </c>
      <c r="I605" s="20">
        <v>694.52199999999903</v>
      </c>
      <c r="J605" s="17" t="s">
        <v>54</v>
      </c>
      <c r="K605" s="17" t="s">
        <v>55</v>
      </c>
      <c r="L605" s="17" t="s">
        <v>56</v>
      </c>
      <c r="M605" s="19">
        <v>8334.2639999999992</v>
      </c>
      <c r="N605" s="19">
        <v>3082.5360000000001</v>
      </c>
      <c r="O605" s="17">
        <v>27</v>
      </c>
      <c r="P605" s="17" t="s">
        <v>26</v>
      </c>
      <c r="Q605" s="17">
        <v>12</v>
      </c>
      <c r="R605" s="17" t="s">
        <v>27</v>
      </c>
      <c r="S605" s="14" t="str">
        <f t="shared" si="9"/>
        <v>Week 3</v>
      </c>
    </row>
    <row r="606" spans="1:19" x14ac:dyDescent="0.3">
      <c r="A606" s="8" t="s">
        <v>907</v>
      </c>
      <c r="B606" s="9">
        <v>43085</v>
      </c>
      <c r="C606" s="10" t="s">
        <v>236</v>
      </c>
      <c r="D606" s="10" t="s">
        <v>30</v>
      </c>
      <c r="E606" s="10" t="s">
        <v>91</v>
      </c>
      <c r="F606" s="11">
        <v>10</v>
      </c>
      <c r="G606" s="12">
        <v>3999.9</v>
      </c>
      <c r="H606" s="12">
        <v>39999</v>
      </c>
      <c r="I606" s="13">
        <v>3359.9160000000002</v>
      </c>
      <c r="J606" s="10" t="s">
        <v>50</v>
      </c>
      <c r="K606" s="10" t="s">
        <v>51</v>
      </c>
      <c r="L606" s="10" t="s">
        <v>40</v>
      </c>
      <c r="M606" s="12">
        <v>33599.160000000003</v>
      </c>
      <c r="N606" s="12">
        <v>6399.8399999999901</v>
      </c>
      <c r="O606" s="10">
        <v>15.999999999999901</v>
      </c>
      <c r="P606" s="10" t="s">
        <v>26</v>
      </c>
      <c r="Q606" s="10">
        <v>12</v>
      </c>
      <c r="R606" s="10" t="s">
        <v>27</v>
      </c>
      <c r="S606" s="14" t="str">
        <f t="shared" si="9"/>
        <v>Week 3</v>
      </c>
    </row>
    <row r="607" spans="1:19" x14ac:dyDescent="0.3">
      <c r="A607" s="15" t="s">
        <v>908</v>
      </c>
      <c r="B607" s="16">
        <v>43085</v>
      </c>
      <c r="C607" s="17" t="s">
        <v>806</v>
      </c>
      <c r="D607" s="17" t="s">
        <v>21</v>
      </c>
      <c r="E607" s="17" t="s">
        <v>103</v>
      </c>
      <c r="F607" s="18">
        <v>5</v>
      </c>
      <c r="G607" s="19">
        <v>1005</v>
      </c>
      <c r="H607" s="19">
        <v>5025</v>
      </c>
      <c r="I607" s="20">
        <v>783.9</v>
      </c>
      <c r="J607" s="17" t="s">
        <v>411</v>
      </c>
      <c r="K607" s="17" t="s">
        <v>412</v>
      </c>
      <c r="L607" s="17" t="s">
        <v>56</v>
      </c>
      <c r="M607" s="19">
        <v>3919.5</v>
      </c>
      <c r="N607" s="19">
        <v>1105.5</v>
      </c>
      <c r="O607" s="17">
        <v>22</v>
      </c>
      <c r="P607" s="17" t="s">
        <v>26</v>
      </c>
      <c r="Q607" s="17">
        <v>12</v>
      </c>
      <c r="R607" s="17" t="s">
        <v>27</v>
      </c>
      <c r="S607" s="14" t="str">
        <f t="shared" si="9"/>
        <v>Week 3</v>
      </c>
    </row>
    <row r="608" spans="1:19" x14ac:dyDescent="0.3">
      <c r="A608" s="8" t="s">
        <v>909</v>
      </c>
      <c r="B608" s="9">
        <v>43085</v>
      </c>
      <c r="C608" s="10" t="s">
        <v>109</v>
      </c>
      <c r="D608" s="10" t="s">
        <v>43</v>
      </c>
      <c r="E608" s="10" t="s">
        <v>197</v>
      </c>
      <c r="F608" s="11">
        <v>9</v>
      </c>
      <c r="G608" s="12">
        <v>2318.1999999999998</v>
      </c>
      <c r="H608" s="12">
        <v>20863.8</v>
      </c>
      <c r="I608" s="13">
        <v>1275.01</v>
      </c>
      <c r="J608" s="10" t="s">
        <v>94</v>
      </c>
      <c r="K608" s="10" t="s">
        <v>95</v>
      </c>
      <c r="L608" s="10" t="s">
        <v>40</v>
      </c>
      <c r="M608" s="12">
        <v>11475.09</v>
      </c>
      <c r="N608" s="12">
        <v>9388.7099999999991</v>
      </c>
      <c r="O608" s="10">
        <v>44.999999999999901</v>
      </c>
      <c r="P608" s="10" t="s">
        <v>26</v>
      </c>
      <c r="Q608" s="10">
        <v>12</v>
      </c>
      <c r="R608" s="10" t="s">
        <v>27</v>
      </c>
      <c r="S608" s="14" t="str">
        <f t="shared" si="9"/>
        <v>Week 3</v>
      </c>
    </row>
    <row r="609" spans="1:19" x14ac:dyDescent="0.3">
      <c r="A609" s="15" t="s">
        <v>747</v>
      </c>
      <c r="B609" s="16">
        <v>43085</v>
      </c>
      <c r="C609" s="17" t="s">
        <v>646</v>
      </c>
      <c r="D609" s="17" t="s">
        <v>30</v>
      </c>
      <c r="E609" s="17" t="s">
        <v>127</v>
      </c>
      <c r="F609" s="18">
        <v>9</v>
      </c>
      <c r="G609" s="19">
        <v>1159.0999999999999</v>
      </c>
      <c r="H609" s="19">
        <v>10431.9</v>
      </c>
      <c r="I609" s="20">
        <v>811.37</v>
      </c>
      <c r="J609" s="17" t="s">
        <v>54</v>
      </c>
      <c r="K609" s="17" t="s">
        <v>55</v>
      </c>
      <c r="L609" s="17" t="s">
        <v>56</v>
      </c>
      <c r="M609" s="19">
        <v>7302.33</v>
      </c>
      <c r="N609" s="19">
        <v>3129.57</v>
      </c>
      <c r="O609" s="17">
        <v>30</v>
      </c>
      <c r="P609" s="17" t="s">
        <v>26</v>
      </c>
      <c r="Q609" s="17">
        <v>12</v>
      </c>
      <c r="R609" s="17" t="s">
        <v>27</v>
      </c>
      <c r="S609" s="14" t="str">
        <f t="shared" si="9"/>
        <v>Week 3</v>
      </c>
    </row>
    <row r="610" spans="1:19" x14ac:dyDescent="0.3">
      <c r="A610" s="8" t="s">
        <v>910</v>
      </c>
      <c r="B610" s="9">
        <v>43085</v>
      </c>
      <c r="C610" s="10" t="s">
        <v>384</v>
      </c>
      <c r="D610" s="10" t="s">
        <v>21</v>
      </c>
      <c r="E610" s="10" t="s">
        <v>91</v>
      </c>
      <c r="F610" s="11">
        <v>9</v>
      </c>
      <c r="G610" s="12">
        <v>5587.8</v>
      </c>
      <c r="H610" s="12">
        <v>50290.200000000004</v>
      </c>
      <c r="I610" s="13">
        <v>2738.0219999999999</v>
      </c>
      <c r="J610" s="10" t="s">
        <v>45</v>
      </c>
      <c r="K610" s="10" t="s">
        <v>46</v>
      </c>
      <c r="L610" s="10" t="s">
        <v>34</v>
      </c>
      <c r="M610" s="12">
        <v>24642.198</v>
      </c>
      <c r="N610" s="12">
        <v>25648.002</v>
      </c>
      <c r="O610" s="10">
        <v>51</v>
      </c>
      <c r="P610" s="10" t="s">
        <v>26</v>
      </c>
      <c r="Q610" s="10">
        <v>12</v>
      </c>
      <c r="R610" s="10" t="s">
        <v>27</v>
      </c>
      <c r="S610" s="14" t="str">
        <f t="shared" si="9"/>
        <v>Week 3</v>
      </c>
    </row>
    <row r="611" spans="1:19" x14ac:dyDescent="0.3">
      <c r="A611" s="15" t="s">
        <v>911</v>
      </c>
      <c r="B611" s="16">
        <v>43085</v>
      </c>
      <c r="C611" s="17" t="s">
        <v>912</v>
      </c>
      <c r="D611" s="17" t="s">
        <v>21</v>
      </c>
      <c r="E611" s="17" t="s">
        <v>360</v>
      </c>
      <c r="F611" s="18">
        <v>5</v>
      </c>
      <c r="G611" s="19">
        <v>2613</v>
      </c>
      <c r="H611" s="19">
        <v>13065</v>
      </c>
      <c r="I611" s="20">
        <v>2168.79</v>
      </c>
      <c r="J611" s="17" t="s">
        <v>159</v>
      </c>
      <c r="K611" s="17" t="s">
        <v>160</v>
      </c>
      <c r="L611" s="17" t="s">
        <v>25</v>
      </c>
      <c r="M611" s="19">
        <v>10843.95</v>
      </c>
      <c r="N611" s="19">
        <v>2221.0499999999902</v>
      </c>
      <c r="O611" s="17">
        <v>16.999999999999901</v>
      </c>
      <c r="P611" s="17" t="s">
        <v>26</v>
      </c>
      <c r="Q611" s="17">
        <v>12</v>
      </c>
      <c r="R611" s="17" t="s">
        <v>27</v>
      </c>
      <c r="S611" s="14" t="str">
        <f t="shared" si="9"/>
        <v>Week 3</v>
      </c>
    </row>
    <row r="612" spans="1:19" x14ac:dyDescent="0.3">
      <c r="A612" s="8" t="s">
        <v>913</v>
      </c>
      <c r="B612" s="9">
        <v>43085</v>
      </c>
      <c r="C612" s="10" t="s">
        <v>487</v>
      </c>
      <c r="D612" s="10" t="s">
        <v>30</v>
      </c>
      <c r="E612" s="10" t="s">
        <v>252</v>
      </c>
      <c r="F612" s="11">
        <v>7</v>
      </c>
      <c r="G612" s="12">
        <v>1125.5999999999999</v>
      </c>
      <c r="H612" s="12">
        <v>7879.1999999999989</v>
      </c>
      <c r="I612" s="13">
        <v>495.26400000000001</v>
      </c>
      <c r="J612" s="10" t="s">
        <v>94</v>
      </c>
      <c r="K612" s="10" t="s">
        <v>95</v>
      </c>
      <c r="L612" s="10" t="s">
        <v>40</v>
      </c>
      <c r="M612" s="12">
        <v>3466.848</v>
      </c>
      <c r="N612" s="12">
        <v>4412.3519999999999</v>
      </c>
      <c r="O612" s="10">
        <v>56</v>
      </c>
      <c r="P612" s="10" t="s">
        <v>26</v>
      </c>
      <c r="Q612" s="10">
        <v>12</v>
      </c>
      <c r="R612" s="10" t="s">
        <v>27</v>
      </c>
      <c r="S612" s="14" t="str">
        <f t="shared" si="9"/>
        <v>Week 3</v>
      </c>
    </row>
    <row r="613" spans="1:19" x14ac:dyDescent="0.3">
      <c r="A613" s="15" t="s">
        <v>914</v>
      </c>
      <c r="B613" s="16">
        <v>43085</v>
      </c>
      <c r="C613" s="17" t="s">
        <v>194</v>
      </c>
      <c r="D613" s="17" t="s">
        <v>21</v>
      </c>
      <c r="E613" s="17" t="s">
        <v>93</v>
      </c>
      <c r="F613" s="18">
        <v>7</v>
      </c>
      <c r="G613" s="19">
        <v>6137.2</v>
      </c>
      <c r="H613" s="19">
        <v>42960.4</v>
      </c>
      <c r="I613" s="20">
        <v>4480.1559999999999</v>
      </c>
      <c r="J613" s="17" t="s">
        <v>116</v>
      </c>
      <c r="K613" s="17" t="s">
        <v>117</v>
      </c>
      <c r="L613" s="17" t="s">
        <v>40</v>
      </c>
      <c r="M613" s="19">
        <v>31361.092000000001</v>
      </c>
      <c r="N613" s="19">
        <v>11599.308000000001</v>
      </c>
      <c r="O613" s="17">
        <v>27</v>
      </c>
      <c r="P613" s="17" t="s">
        <v>26</v>
      </c>
      <c r="Q613" s="17">
        <v>12</v>
      </c>
      <c r="R613" s="17" t="s">
        <v>27</v>
      </c>
      <c r="S613" s="14" t="str">
        <f t="shared" si="9"/>
        <v>Week 3</v>
      </c>
    </row>
    <row r="614" spans="1:19" x14ac:dyDescent="0.3">
      <c r="A614" s="8" t="s">
        <v>657</v>
      </c>
      <c r="B614" s="9">
        <v>43085</v>
      </c>
      <c r="C614" s="10" t="s">
        <v>174</v>
      </c>
      <c r="D614" s="10" t="s">
        <v>21</v>
      </c>
      <c r="E614" s="10" t="s">
        <v>91</v>
      </c>
      <c r="F614" s="11">
        <v>8</v>
      </c>
      <c r="G614" s="12">
        <v>3886</v>
      </c>
      <c r="H614" s="12">
        <v>31088</v>
      </c>
      <c r="I614" s="13">
        <v>2215.02</v>
      </c>
      <c r="J614" s="10" t="s">
        <v>32</v>
      </c>
      <c r="K614" s="10" t="s">
        <v>33</v>
      </c>
      <c r="L614" s="10" t="s">
        <v>34</v>
      </c>
      <c r="M614" s="12">
        <v>17720.16</v>
      </c>
      <c r="N614" s="12">
        <v>13367.84</v>
      </c>
      <c r="O614" s="10">
        <v>43</v>
      </c>
      <c r="P614" s="10" t="s">
        <v>26</v>
      </c>
      <c r="Q614" s="10">
        <v>12</v>
      </c>
      <c r="R614" s="10" t="s">
        <v>27</v>
      </c>
      <c r="S614" s="14" t="str">
        <f t="shared" si="9"/>
        <v>Week 3</v>
      </c>
    </row>
    <row r="615" spans="1:19" x14ac:dyDescent="0.3">
      <c r="A615" s="15" t="s">
        <v>915</v>
      </c>
      <c r="B615" s="16">
        <v>43085</v>
      </c>
      <c r="C615" s="17" t="s">
        <v>448</v>
      </c>
      <c r="D615" s="17" t="s">
        <v>43</v>
      </c>
      <c r="E615" s="17" t="s">
        <v>62</v>
      </c>
      <c r="F615" s="18">
        <v>6</v>
      </c>
      <c r="G615" s="19">
        <v>1829.1</v>
      </c>
      <c r="H615" s="19">
        <v>10974.599999999999</v>
      </c>
      <c r="I615" s="20">
        <v>987.71400000000006</v>
      </c>
      <c r="J615" s="17" t="s">
        <v>54</v>
      </c>
      <c r="K615" s="17" t="s">
        <v>55</v>
      </c>
      <c r="L615" s="17" t="s">
        <v>56</v>
      </c>
      <c r="M615" s="19">
        <v>5926.2839999999997</v>
      </c>
      <c r="N615" s="19">
        <v>5048.3159999999898</v>
      </c>
      <c r="O615" s="17">
        <v>45.999999999999901</v>
      </c>
      <c r="P615" s="17" t="s">
        <v>26</v>
      </c>
      <c r="Q615" s="17">
        <v>12</v>
      </c>
      <c r="R615" s="17" t="s">
        <v>27</v>
      </c>
      <c r="S615" s="14" t="str">
        <f t="shared" si="9"/>
        <v>Week 3</v>
      </c>
    </row>
    <row r="616" spans="1:19" x14ac:dyDescent="0.3">
      <c r="A616" s="8" t="s">
        <v>916</v>
      </c>
      <c r="B616" s="9">
        <v>43085</v>
      </c>
      <c r="C616" s="10" t="s">
        <v>570</v>
      </c>
      <c r="D616" s="10" t="s">
        <v>21</v>
      </c>
      <c r="E616" s="10" t="s">
        <v>37</v>
      </c>
      <c r="F616" s="11">
        <v>12</v>
      </c>
      <c r="G616" s="12">
        <v>3819</v>
      </c>
      <c r="H616" s="12">
        <v>45828</v>
      </c>
      <c r="I616" s="13">
        <v>2520.54</v>
      </c>
      <c r="J616" s="10" t="s">
        <v>54</v>
      </c>
      <c r="K616" s="10" t="s">
        <v>55</v>
      </c>
      <c r="L616" s="10" t="s">
        <v>56</v>
      </c>
      <c r="M616" s="12">
        <v>30246.48</v>
      </c>
      <c r="N616" s="12">
        <v>15581.52</v>
      </c>
      <c r="O616" s="10">
        <v>34</v>
      </c>
      <c r="P616" s="10" t="s">
        <v>26</v>
      </c>
      <c r="Q616" s="10">
        <v>12</v>
      </c>
      <c r="R616" s="10" t="s">
        <v>27</v>
      </c>
      <c r="S616" s="14" t="str">
        <f t="shared" si="9"/>
        <v>Week 3</v>
      </c>
    </row>
    <row r="617" spans="1:19" x14ac:dyDescent="0.3">
      <c r="A617" s="15" t="s">
        <v>917</v>
      </c>
      <c r="B617" s="16">
        <v>43085</v>
      </c>
      <c r="C617" s="17" t="s">
        <v>464</v>
      </c>
      <c r="D617" s="17" t="s">
        <v>21</v>
      </c>
      <c r="E617" s="17" t="s">
        <v>127</v>
      </c>
      <c r="F617" s="18">
        <v>12</v>
      </c>
      <c r="G617" s="19">
        <v>167.5</v>
      </c>
      <c r="H617" s="19">
        <v>2010</v>
      </c>
      <c r="I617" s="20">
        <v>98.824999999999903</v>
      </c>
      <c r="J617" s="17" t="s">
        <v>54</v>
      </c>
      <c r="K617" s="17" t="s">
        <v>55</v>
      </c>
      <c r="L617" s="17" t="s">
        <v>56</v>
      </c>
      <c r="M617" s="19">
        <v>1185.8999999999901</v>
      </c>
      <c r="N617" s="19">
        <v>824.1</v>
      </c>
      <c r="O617" s="17">
        <v>41</v>
      </c>
      <c r="P617" s="17" t="s">
        <v>26</v>
      </c>
      <c r="Q617" s="17">
        <v>12</v>
      </c>
      <c r="R617" s="17" t="s">
        <v>27</v>
      </c>
      <c r="S617" s="14" t="str">
        <f t="shared" si="9"/>
        <v>Week 3</v>
      </c>
    </row>
    <row r="618" spans="1:19" x14ac:dyDescent="0.3">
      <c r="A618" s="8" t="s">
        <v>918</v>
      </c>
      <c r="B618" s="9">
        <v>43085</v>
      </c>
      <c r="C618" s="10" t="s">
        <v>79</v>
      </c>
      <c r="D618" s="10" t="s">
        <v>21</v>
      </c>
      <c r="E618" s="10" t="s">
        <v>115</v>
      </c>
      <c r="F618" s="11">
        <v>11</v>
      </c>
      <c r="G618" s="12">
        <v>3939.6</v>
      </c>
      <c r="H618" s="12">
        <v>43335.6</v>
      </c>
      <c r="I618" s="13">
        <v>2718.3239999999901</v>
      </c>
      <c r="J618" s="10" t="s">
        <v>257</v>
      </c>
      <c r="K618" s="10" t="s">
        <v>258</v>
      </c>
      <c r="L618" s="10" t="s">
        <v>25</v>
      </c>
      <c r="M618" s="12">
        <v>29901.5639999999</v>
      </c>
      <c r="N618" s="12">
        <v>13434.036</v>
      </c>
      <c r="O618" s="10">
        <v>31</v>
      </c>
      <c r="P618" s="10" t="s">
        <v>26</v>
      </c>
      <c r="Q618" s="10">
        <v>12</v>
      </c>
      <c r="R618" s="10" t="s">
        <v>27</v>
      </c>
      <c r="S618" s="14" t="str">
        <f t="shared" si="9"/>
        <v>Week 3</v>
      </c>
    </row>
    <row r="619" spans="1:19" x14ac:dyDescent="0.3">
      <c r="A619" s="15" t="s">
        <v>919</v>
      </c>
      <c r="B619" s="16">
        <v>43085</v>
      </c>
      <c r="C619" s="17" t="s">
        <v>114</v>
      </c>
      <c r="D619" s="17" t="s">
        <v>30</v>
      </c>
      <c r="E619" s="17" t="s">
        <v>146</v>
      </c>
      <c r="F619" s="18">
        <v>7</v>
      </c>
      <c r="G619" s="19">
        <v>1105.5</v>
      </c>
      <c r="H619" s="19">
        <v>7738.5</v>
      </c>
      <c r="I619" s="20">
        <v>906.51</v>
      </c>
      <c r="J619" s="17" t="s">
        <v>257</v>
      </c>
      <c r="K619" s="17" t="s">
        <v>258</v>
      </c>
      <c r="L619" s="17" t="s">
        <v>25</v>
      </c>
      <c r="M619" s="19">
        <v>6345.57</v>
      </c>
      <c r="N619" s="19">
        <v>1392.93</v>
      </c>
      <c r="O619" s="17">
        <v>18</v>
      </c>
      <c r="P619" s="17" t="s">
        <v>26</v>
      </c>
      <c r="Q619" s="17">
        <v>12</v>
      </c>
      <c r="R619" s="17" t="s">
        <v>27</v>
      </c>
      <c r="S619" s="14" t="str">
        <f t="shared" si="9"/>
        <v>Week 3</v>
      </c>
    </row>
    <row r="620" spans="1:19" x14ac:dyDescent="0.3">
      <c r="A620" s="8" t="s">
        <v>920</v>
      </c>
      <c r="B620" s="9">
        <v>43085</v>
      </c>
      <c r="C620" s="10" t="s">
        <v>448</v>
      </c>
      <c r="D620" s="10" t="s">
        <v>43</v>
      </c>
      <c r="E620" s="10" t="s">
        <v>149</v>
      </c>
      <c r="F620" s="11">
        <v>7</v>
      </c>
      <c r="G620" s="12">
        <v>964.8</v>
      </c>
      <c r="H620" s="12">
        <v>6753.5999999999995</v>
      </c>
      <c r="I620" s="13">
        <v>588.52800000000002</v>
      </c>
      <c r="J620" s="10" t="s">
        <v>266</v>
      </c>
      <c r="K620" s="10" t="s">
        <v>267</v>
      </c>
      <c r="L620" s="10" t="s">
        <v>34</v>
      </c>
      <c r="M620" s="12">
        <v>4119.6959999999999</v>
      </c>
      <c r="N620" s="12">
        <v>2633.904</v>
      </c>
      <c r="O620" s="10">
        <v>39</v>
      </c>
      <c r="P620" s="10" t="s">
        <v>26</v>
      </c>
      <c r="Q620" s="10">
        <v>12</v>
      </c>
      <c r="R620" s="10" t="s">
        <v>27</v>
      </c>
      <c r="S620" s="14" t="str">
        <f t="shared" si="9"/>
        <v>Week 3</v>
      </c>
    </row>
    <row r="621" spans="1:19" x14ac:dyDescent="0.3">
      <c r="A621" s="15" t="s">
        <v>921</v>
      </c>
      <c r="B621" s="16">
        <v>43085</v>
      </c>
      <c r="C621" s="17" t="s">
        <v>521</v>
      </c>
      <c r="D621" s="17" t="s">
        <v>21</v>
      </c>
      <c r="E621" s="17" t="s">
        <v>103</v>
      </c>
      <c r="F621" s="18">
        <v>9</v>
      </c>
      <c r="G621" s="19">
        <v>2278</v>
      </c>
      <c r="H621" s="19">
        <v>20502</v>
      </c>
      <c r="I621" s="20">
        <v>1161.78</v>
      </c>
      <c r="J621" s="17" t="s">
        <v>54</v>
      </c>
      <c r="K621" s="17" t="s">
        <v>55</v>
      </c>
      <c r="L621" s="17" t="s">
        <v>56</v>
      </c>
      <c r="M621" s="19">
        <v>10456.02</v>
      </c>
      <c r="N621" s="19">
        <v>10045.98</v>
      </c>
      <c r="O621" s="17">
        <v>49</v>
      </c>
      <c r="P621" s="17" t="s">
        <v>26</v>
      </c>
      <c r="Q621" s="17">
        <v>12</v>
      </c>
      <c r="R621" s="17" t="s">
        <v>27</v>
      </c>
      <c r="S621" s="14" t="str">
        <f t="shared" si="9"/>
        <v>Week 3</v>
      </c>
    </row>
    <row r="622" spans="1:19" x14ac:dyDescent="0.3">
      <c r="A622" s="8" t="s">
        <v>922</v>
      </c>
      <c r="B622" s="9">
        <v>43085</v>
      </c>
      <c r="C622" s="10" t="s">
        <v>453</v>
      </c>
      <c r="D622" s="10" t="s">
        <v>30</v>
      </c>
      <c r="E622" s="10" t="s">
        <v>59</v>
      </c>
      <c r="F622" s="11">
        <v>12</v>
      </c>
      <c r="G622" s="12">
        <v>1219.4000000000001</v>
      </c>
      <c r="H622" s="12">
        <v>14632.800000000001</v>
      </c>
      <c r="I622" s="13">
        <v>865.774</v>
      </c>
      <c r="J622" s="10" t="s">
        <v>54</v>
      </c>
      <c r="K622" s="10" t="s">
        <v>55</v>
      </c>
      <c r="L622" s="10" t="s">
        <v>56</v>
      </c>
      <c r="M622" s="12">
        <v>10389.288</v>
      </c>
      <c r="N622" s="12">
        <v>4243.5119999999997</v>
      </c>
      <c r="O622" s="10">
        <v>29</v>
      </c>
      <c r="P622" s="10" t="s">
        <v>26</v>
      </c>
      <c r="Q622" s="10">
        <v>12</v>
      </c>
      <c r="R622" s="10" t="s">
        <v>27</v>
      </c>
      <c r="S622" s="14" t="str">
        <f t="shared" si="9"/>
        <v>Week 3</v>
      </c>
    </row>
    <row r="623" spans="1:19" x14ac:dyDescent="0.3">
      <c r="A623" s="15" t="s">
        <v>923</v>
      </c>
      <c r="B623" s="16">
        <v>43085</v>
      </c>
      <c r="C623" s="17" t="s">
        <v>363</v>
      </c>
      <c r="D623" s="17" t="s">
        <v>30</v>
      </c>
      <c r="E623" s="17" t="s">
        <v>31</v>
      </c>
      <c r="F623" s="18">
        <v>11</v>
      </c>
      <c r="G623" s="19">
        <v>3886</v>
      </c>
      <c r="H623" s="19">
        <v>42746</v>
      </c>
      <c r="I623" s="20">
        <v>1554.4</v>
      </c>
      <c r="J623" s="17" t="s">
        <v>436</v>
      </c>
      <c r="K623" s="17" t="s">
        <v>437</v>
      </c>
      <c r="L623" s="17" t="s">
        <v>25</v>
      </c>
      <c r="M623" s="19">
        <v>17098.400000000001</v>
      </c>
      <c r="N623" s="19">
        <v>25647.599999999999</v>
      </c>
      <c r="O623" s="17">
        <v>60</v>
      </c>
      <c r="P623" s="17" t="s">
        <v>26</v>
      </c>
      <c r="Q623" s="17">
        <v>12</v>
      </c>
      <c r="R623" s="17" t="s">
        <v>27</v>
      </c>
      <c r="S623" s="14" t="str">
        <f t="shared" si="9"/>
        <v>Week 3</v>
      </c>
    </row>
    <row r="624" spans="1:19" x14ac:dyDescent="0.3">
      <c r="A624" s="8" t="s">
        <v>918</v>
      </c>
      <c r="B624" s="9">
        <v>43085</v>
      </c>
      <c r="C624" s="10" t="s">
        <v>79</v>
      </c>
      <c r="D624" s="10" t="s">
        <v>21</v>
      </c>
      <c r="E624" s="10" t="s">
        <v>115</v>
      </c>
      <c r="F624" s="11">
        <v>11</v>
      </c>
      <c r="G624" s="12">
        <v>3939.6</v>
      </c>
      <c r="H624" s="12">
        <v>43335.6</v>
      </c>
      <c r="I624" s="13">
        <v>2718.3239999999901</v>
      </c>
      <c r="J624" s="10" t="s">
        <v>23</v>
      </c>
      <c r="K624" s="10" t="s">
        <v>24</v>
      </c>
      <c r="L624" s="10" t="s">
        <v>25</v>
      </c>
      <c r="M624" s="12">
        <v>29901.5639999999</v>
      </c>
      <c r="N624" s="12">
        <v>13434.036</v>
      </c>
      <c r="O624" s="10">
        <v>31</v>
      </c>
      <c r="P624" s="10" t="s">
        <v>26</v>
      </c>
      <c r="Q624" s="10">
        <v>12</v>
      </c>
      <c r="R624" s="10" t="s">
        <v>27</v>
      </c>
      <c r="S624" s="14" t="str">
        <f t="shared" si="9"/>
        <v>Week 3</v>
      </c>
    </row>
    <row r="625" spans="1:19" x14ac:dyDescent="0.3">
      <c r="A625" s="15" t="s">
        <v>924</v>
      </c>
      <c r="B625" s="16">
        <v>43085</v>
      </c>
      <c r="C625" s="17" t="s">
        <v>478</v>
      </c>
      <c r="D625" s="17" t="s">
        <v>21</v>
      </c>
      <c r="E625" s="17" t="s">
        <v>91</v>
      </c>
      <c r="F625" s="18">
        <v>5</v>
      </c>
      <c r="G625" s="19">
        <v>2405.3000000000002</v>
      </c>
      <c r="H625" s="19">
        <v>12026.5</v>
      </c>
      <c r="I625" s="20">
        <v>986.173</v>
      </c>
      <c r="J625" s="17" t="s">
        <v>32</v>
      </c>
      <c r="K625" s="17" t="s">
        <v>33</v>
      </c>
      <c r="L625" s="17" t="s">
        <v>34</v>
      </c>
      <c r="M625" s="19">
        <v>4930.8649999999998</v>
      </c>
      <c r="N625" s="19">
        <v>7095.6350000000002</v>
      </c>
      <c r="O625" s="17">
        <v>59</v>
      </c>
      <c r="P625" s="17" t="s">
        <v>26</v>
      </c>
      <c r="Q625" s="17">
        <v>12</v>
      </c>
      <c r="R625" s="17" t="s">
        <v>27</v>
      </c>
      <c r="S625" s="14" t="str">
        <f t="shared" si="9"/>
        <v>Week 3</v>
      </c>
    </row>
    <row r="626" spans="1:19" x14ac:dyDescent="0.3">
      <c r="A626" s="8" t="s">
        <v>925</v>
      </c>
      <c r="B626" s="9">
        <v>43085</v>
      </c>
      <c r="C626" s="10" t="s">
        <v>275</v>
      </c>
      <c r="D626" s="10" t="s">
        <v>21</v>
      </c>
      <c r="E626" s="10" t="s">
        <v>73</v>
      </c>
      <c r="F626" s="11">
        <v>11</v>
      </c>
      <c r="G626" s="12">
        <v>5896</v>
      </c>
      <c r="H626" s="12">
        <v>64856</v>
      </c>
      <c r="I626" s="13">
        <v>3183.84</v>
      </c>
      <c r="J626" s="10" t="s">
        <v>50</v>
      </c>
      <c r="K626" s="10" t="s">
        <v>51</v>
      </c>
      <c r="L626" s="10" t="s">
        <v>40</v>
      </c>
      <c r="M626" s="12">
        <v>35022.239999999998</v>
      </c>
      <c r="N626" s="12">
        <v>29833.7599999999</v>
      </c>
      <c r="O626" s="10">
        <v>45.999999999999901</v>
      </c>
      <c r="P626" s="10" t="s">
        <v>26</v>
      </c>
      <c r="Q626" s="10">
        <v>12</v>
      </c>
      <c r="R626" s="10" t="s">
        <v>27</v>
      </c>
      <c r="S626" s="14" t="str">
        <f t="shared" si="9"/>
        <v>Week 3</v>
      </c>
    </row>
    <row r="627" spans="1:19" x14ac:dyDescent="0.3">
      <c r="A627" s="15" t="s">
        <v>926</v>
      </c>
      <c r="B627" s="16">
        <v>43085</v>
      </c>
      <c r="C627" s="17" t="s">
        <v>236</v>
      </c>
      <c r="D627" s="17" t="s">
        <v>21</v>
      </c>
      <c r="E627" s="17" t="s">
        <v>31</v>
      </c>
      <c r="F627" s="18">
        <v>6</v>
      </c>
      <c r="G627" s="19">
        <v>1936.3</v>
      </c>
      <c r="H627" s="19">
        <v>11617.8</v>
      </c>
      <c r="I627" s="20">
        <v>1103.69099999999</v>
      </c>
      <c r="J627" s="17" t="s">
        <v>32</v>
      </c>
      <c r="K627" s="17" t="s">
        <v>33</v>
      </c>
      <c r="L627" s="17" t="s">
        <v>34</v>
      </c>
      <c r="M627" s="19">
        <v>6622.1459999999897</v>
      </c>
      <c r="N627" s="19">
        <v>4995.6540000000005</v>
      </c>
      <c r="O627" s="17">
        <v>43</v>
      </c>
      <c r="P627" s="17" t="s">
        <v>26</v>
      </c>
      <c r="Q627" s="17">
        <v>12</v>
      </c>
      <c r="R627" s="17" t="s">
        <v>27</v>
      </c>
      <c r="S627" s="14" t="str">
        <f t="shared" si="9"/>
        <v>Week 3</v>
      </c>
    </row>
    <row r="628" spans="1:19" x14ac:dyDescent="0.3">
      <c r="A628" s="8" t="s">
        <v>927</v>
      </c>
      <c r="B628" s="9">
        <v>43085</v>
      </c>
      <c r="C628" s="10" t="s">
        <v>414</v>
      </c>
      <c r="D628" s="10" t="s">
        <v>30</v>
      </c>
      <c r="E628" s="10" t="s">
        <v>62</v>
      </c>
      <c r="F628" s="11">
        <v>5</v>
      </c>
      <c r="G628" s="12">
        <v>3959.7</v>
      </c>
      <c r="H628" s="12">
        <v>19798.5</v>
      </c>
      <c r="I628" s="13">
        <v>2811.3870000000002</v>
      </c>
      <c r="J628" s="10" t="s">
        <v>76</v>
      </c>
      <c r="K628" s="10" t="s">
        <v>77</v>
      </c>
      <c r="L628" s="10" t="s">
        <v>56</v>
      </c>
      <c r="M628" s="12">
        <v>14056.934999999999</v>
      </c>
      <c r="N628" s="12">
        <v>5741.5649999999896</v>
      </c>
      <c r="O628" s="10">
        <v>28.999999999999901</v>
      </c>
      <c r="P628" s="10" t="s">
        <v>26</v>
      </c>
      <c r="Q628" s="10">
        <v>12</v>
      </c>
      <c r="R628" s="10" t="s">
        <v>27</v>
      </c>
      <c r="S628" s="14" t="str">
        <f t="shared" si="9"/>
        <v>Week 3</v>
      </c>
    </row>
    <row r="629" spans="1:19" x14ac:dyDescent="0.3">
      <c r="A629" s="15" t="s">
        <v>928</v>
      </c>
      <c r="B629" s="16">
        <v>43085</v>
      </c>
      <c r="C629" s="17" t="s">
        <v>82</v>
      </c>
      <c r="D629" s="17" t="s">
        <v>43</v>
      </c>
      <c r="E629" s="17" t="s">
        <v>103</v>
      </c>
      <c r="F629" s="18">
        <v>9</v>
      </c>
      <c r="G629" s="19">
        <v>6190.8</v>
      </c>
      <c r="H629" s="19">
        <v>55717.200000000004</v>
      </c>
      <c r="I629" s="20">
        <v>3033.4920000000002</v>
      </c>
      <c r="J629" s="17" t="s">
        <v>23</v>
      </c>
      <c r="K629" s="17" t="s">
        <v>24</v>
      </c>
      <c r="L629" s="17" t="s">
        <v>25</v>
      </c>
      <c r="M629" s="19">
        <v>27301.428</v>
      </c>
      <c r="N629" s="19">
        <v>28415.772000000001</v>
      </c>
      <c r="O629" s="17">
        <v>51</v>
      </c>
      <c r="P629" s="17" t="s">
        <v>26</v>
      </c>
      <c r="Q629" s="17">
        <v>12</v>
      </c>
      <c r="R629" s="17" t="s">
        <v>27</v>
      </c>
      <c r="S629" s="14" t="str">
        <f t="shared" si="9"/>
        <v>Week 3</v>
      </c>
    </row>
    <row r="630" spans="1:19" x14ac:dyDescent="0.3">
      <c r="A630" s="8" t="s">
        <v>929</v>
      </c>
      <c r="B630" s="9">
        <v>43085</v>
      </c>
      <c r="C630" s="10" t="s">
        <v>474</v>
      </c>
      <c r="D630" s="10" t="s">
        <v>43</v>
      </c>
      <c r="E630" s="10" t="s">
        <v>31</v>
      </c>
      <c r="F630" s="11">
        <v>5</v>
      </c>
      <c r="G630" s="12">
        <v>958.1</v>
      </c>
      <c r="H630" s="12">
        <v>4790.5</v>
      </c>
      <c r="I630" s="13">
        <v>526.95500000000004</v>
      </c>
      <c r="J630" s="10" t="s">
        <v>104</v>
      </c>
      <c r="K630" s="10" t="s">
        <v>105</v>
      </c>
      <c r="L630" s="10" t="s">
        <v>25</v>
      </c>
      <c r="M630" s="12">
        <v>2634.7750000000001</v>
      </c>
      <c r="N630" s="12">
        <v>2155.7249999999999</v>
      </c>
      <c r="O630" s="10">
        <v>44.999999999999901</v>
      </c>
      <c r="P630" s="10" t="s">
        <v>26</v>
      </c>
      <c r="Q630" s="10">
        <v>12</v>
      </c>
      <c r="R630" s="10" t="s">
        <v>27</v>
      </c>
      <c r="S630" s="14" t="str">
        <f t="shared" si="9"/>
        <v>Week 3</v>
      </c>
    </row>
    <row r="631" spans="1:19" x14ac:dyDescent="0.3">
      <c r="A631" s="15" t="s">
        <v>930</v>
      </c>
      <c r="B631" s="16">
        <v>43085</v>
      </c>
      <c r="C631" s="17" t="s">
        <v>570</v>
      </c>
      <c r="D631" s="17" t="s">
        <v>21</v>
      </c>
      <c r="E631" s="17" t="s">
        <v>120</v>
      </c>
      <c r="F631" s="18">
        <v>6</v>
      </c>
      <c r="G631" s="19">
        <v>1038.5</v>
      </c>
      <c r="H631" s="19">
        <v>6231</v>
      </c>
      <c r="I631" s="20">
        <v>664.64</v>
      </c>
      <c r="J631" s="17" t="s">
        <v>121</v>
      </c>
      <c r="K631" s="17" t="s">
        <v>122</v>
      </c>
      <c r="L631" s="17" t="s">
        <v>34</v>
      </c>
      <c r="M631" s="19">
        <v>3987.84</v>
      </c>
      <c r="N631" s="19">
        <v>2243.16</v>
      </c>
      <c r="O631" s="17">
        <v>36</v>
      </c>
      <c r="P631" s="17" t="s">
        <v>26</v>
      </c>
      <c r="Q631" s="17">
        <v>12</v>
      </c>
      <c r="R631" s="17" t="s">
        <v>27</v>
      </c>
      <c r="S631" s="14" t="str">
        <f t="shared" si="9"/>
        <v>Week 3</v>
      </c>
    </row>
    <row r="632" spans="1:19" x14ac:dyDescent="0.3">
      <c r="A632" s="8" t="s">
        <v>931</v>
      </c>
      <c r="B632" s="9">
        <v>43085</v>
      </c>
      <c r="C632" s="10" t="s">
        <v>347</v>
      </c>
      <c r="D632" s="10" t="s">
        <v>43</v>
      </c>
      <c r="E632" s="10" t="s">
        <v>62</v>
      </c>
      <c r="F632" s="11">
        <v>5</v>
      </c>
      <c r="G632" s="12">
        <v>2345</v>
      </c>
      <c r="H632" s="12">
        <v>11725</v>
      </c>
      <c r="I632" s="13">
        <v>1172.5</v>
      </c>
      <c r="J632" s="10" t="s">
        <v>257</v>
      </c>
      <c r="K632" s="10" t="s">
        <v>258</v>
      </c>
      <c r="L632" s="10" t="s">
        <v>25</v>
      </c>
      <c r="M632" s="12">
        <v>5862.5</v>
      </c>
      <c r="N632" s="12">
        <v>5862.5</v>
      </c>
      <c r="O632" s="10">
        <v>50</v>
      </c>
      <c r="P632" s="10" t="s">
        <v>26</v>
      </c>
      <c r="Q632" s="10">
        <v>12</v>
      </c>
      <c r="R632" s="10" t="s">
        <v>27</v>
      </c>
      <c r="S632" s="14" t="str">
        <f t="shared" si="9"/>
        <v>Week 3</v>
      </c>
    </row>
    <row r="633" spans="1:19" x14ac:dyDescent="0.3">
      <c r="A633" s="15" t="s">
        <v>932</v>
      </c>
      <c r="B633" s="16">
        <v>43085</v>
      </c>
      <c r="C633" s="17" t="s">
        <v>487</v>
      </c>
      <c r="D633" s="17" t="s">
        <v>21</v>
      </c>
      <c r="E633" s="17" t="s">
        <v>31</v>
      </c>
      <c r="F633" s="18">
        <v>12</v>
      </c>
      <c r="G633" s="19">
        <v>1165.8</v>
      </c>
      <c r="H633" s="19">
        <v>13989.599999999999</v>
      </c>
      <c r="I633" s="20">
        <v>722.79599999999903</v>
      </c>
      <c r="J633" s="17" t="s">
        <v>132</v>
      </c>
      <c r="K633" s="17" t="s">
        <v>133</v>
      </c>
      <c r="L633" s="17" t="s">
        <v>34</v>
      </c>
      <c r="M633" s="19">
        <v>8673.5519999999997</v>
      </c>
      <c r="N633" s="19">
        <v>5316.0479999999898</v>
      </c>
      <c r="O633" s="17">
        <v>37.999999999999901</v>
      </c>
      <c r="P633" s="17" t="s">
        <v>26</v>
      </c>
      <c r="Q633" s="17">
        <v>12</v>
      </c>
      <c r="R633" s="17" t="s">
        <v>27</v>
      </c>
      <c r="S633" s="14" t="str">
        <f t="shared" si="9"/>
        <v>Week 3</v>
      </c>
    </row>
    <row r="634" spans="1:19" x14ac:dyDescent="0.3">
      <c r="A634" s="8" t="s">
        <v>933</v>
      </c>
      <c r="B634" s="9">
        <v>43085</v>
      </c>
      <c r="C634" s="10" t="s">
        <v>58</v>
      </c>
      <c r="D634" s="10" t="s">
        <v>21</v>
      </c>
      <c r="E634" s="10" t="s">
        <v>62</v>
      </c>
      <c r="F634" s="11">
        <v>7</v>
      </c>
      <c r="G634" s="12">
        <v>187.6</v>
      </c>
      <c r="H634" s="12">
        <v>1313.2</v>
      </c>
      <c r="I634" s="13">
        <v>142.57599999999999</v>
      </c>
      <c r="J634" s="10" t="s">
        <v>257</v>
      </c>
      <c r="K634" s="10" t="s">
        <v>258</v>
      </c>
      <c r="L634" s="10" t="s">
        <v>25</v>
      </c>
      <c r="M634" s="12">
        <v>998.03199999999902</v>
      </c>
      <c r="N634" s="12">
        <v>315.16800000000001</v>
      </c>
      <c r="O634" s="10">
        <v>24</v>
      </c>
      <c r="P634" s="10" t="s">
        <v>26</v>
      </c>
      <c r="Q634" s="10">
        <v>12</v>
      </c>
      <c r="R634" s="10" t="s">
        <v>27</v>
      </c>
      <c r="S634" s="14" t="str">
        <f t="shared" si="9"/>
        <v>Week 3</v>
      </c>
    </row>
    <row r="635" spans="1:19" x14ac:dyDescent="0.3">
      <c r="A635" s="15" t="s">
        <v>934</v>
      </c>
      <c r="B635" s="16">
        <v>43085</v>
      </c>
      <c r="C635" s="17" t="s">
        <v>282</v>
      </c>
      <c r="D635" s="17" t="s">
        <v>43</v>
      </c>
      <c r="E635" s="17" t="s">
        <v>31</v>
      </c>
      <c r="F635" s="18">
        <v>9</v>
      </c>
      <c r="G635" s="19">
        <v>3142.3</v>
      </c>
      <c r="H635" s="19">
        <v>28280.7</v>
      </c>
      <c r="I635" s="20">
        <v>1445.4580000000001</v>
      </c>
      <c r="J635" s="17" t="s">
        <v>212</v>
      </c>
      <c r="K635" s="17" t="s">
        <v>213</v>
      </c>
      <c r="L635" s="17" t="s">
        <v>34</v>
      </c>
      <c r="M635" s="19">
        <v>13009.121999999999</v>
      </c>
      <c r="N635" s="19">
        <v>15271.578</v>
      </c>
      <c r="O635" s="17">
        <v>53.999999999999901</v>
      </c>
      <c r="P635" s="17" t="s">
        <v>26</v>
      </c>
      <c r="Q635" s="17">
        <v>12</v>
      </c>
      <c r="R635" s="17" t="s">
        <v>27</v>
      </c>
      <c r="S635" s="14" t="str">
        <f t="shared" si="9"/>
        <v>Week 3</v>
      </c>
    </row>
    <row r="636" spans="1:19" x14ac:dyDescent="0.3">
      <c r="A636" s="8" t="s">
        <v>935</v>
      </c>
      <c r="B636" s="9">
        <v>43085</v>
      </c>
      <c r="C636" s="10" t="s">
        <v>234</v>
      </c>
      <c r="D636" s="10" t="s">
        <v>30</v>
      </c>
      <c r="E636" s="10" t="s">
        <v>73</v>
      </c>
      <c r="F636" s="11">
        <v>9</v>
      </c>
      <c r="G636" s="12">
        <v>1916.2</v>
      </c>
      <c r="H636" s="12">
        <v>17245.8</v>
      </c>
      <c r="I636" s="13">
        <v>1379.664</v>
      </c>
      <c r="J636" s="10" t="s">
        <v>257</v>
      </c>
      <c r="K636" s="10" t="s">
        <v>258</v>
      </c>
      <c r="L636" s="10" t="s">
        <v>25</v>
      </c>
      <c r="M636" s="12">
        <v>12416.976000000001</v>
      </c>
      <c r="N636" s="12">
        <v>4828.8239999999896</v>
      </c>
      <c r="O636" s="10">
        <v>27.999999999999901</v>
      </c>
      <c r="P636" s="10" t="s">
        <v>26</v>
      </c>
      <c r="Q636" s="10">
        <v>12</v>
      </c>
      <c r="R636" s="10" t="s">
        <v>27</v>
      </c>
      <c r="S636" s="14" t="str">
        <f t="shared" si="9"/>
        <v>Week 3</v>
      </c>
    </row>
    <row r="637" spans="1:19" x14ac:dyDescent="0.3">
      <c r="A637" s="15" t="s">
        <v>936</v>
      </c>
      <c r="B637" s="16">
        <v>43085</v>
      </c>
      <c r="C637" s="17" t="s">
        <v>461</v>
      </c>
      <c r="D637" s="17" t="s">
        <v>30</v>
      </c>
      <c r="E637" s="17" t="s">
        <v>62</v>
      </c>
      <c r="F637" s="18">
        <v>8</v>
      </c>
      <c r="G637" s="19">
        <v>3959.7</v>
      </c>
      <c r="H637" s="19">
        <v>31677.599999999999</v>
      </c>
      <c r="I637" s="20">
        <v>2098.6410000000001</v>
      </c>
      <c r="J637" s="17" t="s">
        <v>54</v>
      </c>
      <c r="K637" s="17" t="s">
        <v>55</v>
      </c>
      <c r="L637" s="17" t="s">
        <v>56</v>
      </c>
      <c r="M637" s="19">
        <v>16789.128000000001</v>
      </c>
      <c r="N637" s="19">
        <v>14888.472</v>
      </c>
      <c r="O637" s="17">
        <v>47</v>
      </c>
      <c r="P637" s="17" t="s">
        <v>26</v>
      </c>
      <c r="Q637" s="17">
        <v>12</v>
      </c>
      <c r="R637" s="17" t="s">
        <v>27</v>
      </c>
      <c r="S637" s="14" t="str">
        <f t="shared" si="9"/>
        <v>Week 3</v>
      </c>
    </row>
    <row r="638" spans="1:19" x14ac:dyDescent="0.3">
      <c r="A638" s="8" t="s">
        <v>937</v>
      </c>
      <c r="B638" s="9">
        <v>43085</v>
      </c>
      <c r="C638" s="10" t="s">
        <v>275</v>
      </c>
      <c r="D638" s="10" t="s">
        <v>30</v>
      </c>
      <c r="E638" s="10" t="s">
        <v>127</v>
      </c>
      <c r="F638" s="11">
        <v>7</v>
      </c>
      <c r="G638" s="12">
        <v>3973.1</v>
      </c>
      <c r="H638" s="12">
        <v>27811.7</v>
      </c>
      <c r="I638" s="13">
        <v>2383.8599999999901</v>
      </c>
      <c r="J638" s="10" t="s">
        <v>204</v>
      </c>
      <c r="K638" s="10" t="s">
        <v>205</v>
      </c>
      <c r="L638" s="10" t="s">
        <v>34</v>
      </c>
      <c r="M638" s="12">
        <v>16687.019999999899</v>
      </c>
      <c r="N638" s="12">
        <v>11124.68</v>
      </c>
      <c r="O638" s="10">
        <v>40</v>
      </c>
      <c r="P638" s="10" t="s">
        <v>26</v>
      </c>
      <c r="Q638" s="10">
        <v>12</v>
      </c>
      <c r="R638" s="10" t="s">
        <v>27</v>
      </c>
      <c r="S638" s="14" t="str">
        <f t="shared" si="9"/>
        <v>Week 3</v>
      </c>
    </row>
    <row r="639" spans="1:19" x14ac:dyDescent="0.3">
      <c r="A639" s="15" t="s">
        <v>938</v>
      </c>
      <c r="B639" s="16">
        <v>43085</v>
      </c>
      <c r="C639" s="17" t="s">
        <v>843</v>
      </c>
      <c r="D639" s="17" t="s">
        <v>30</v>
      </c>
      <c r="E639" s="17" t="s">
        <v>31</v>
      </c>
      <c r="F639" s="18">
        <v>12</v>
      </c>
      <c r="G639" s="19">
        <v>864.3</v>
      </c>
      <c r="H639" s="19">
        <v>10371.599999999999</v>
      </c>
      <c r="I639" s="20">
        <v>535.86599999999999</v>
      </c>
      <c r="J639" s="17" t="s">
        <v>54</v>
      </c>
      <c r="K639" s="17" t="s">
        <v>55</v>
      </c>
      <c r="L639" s="17" t="s">
        <v>56</v>
      </c>
      <c r="M639" s="19">
        <v>6430.3919999999998</v>
      </c>
      <c r="N639" s="19">
        <v>3941.2080000000001</v>
      </c>
      <c r="O639" s="17">
        <v>38</v>
      </c>
      <c r="P639" s="17" t="s">
        <v>26</v>
      </c>
      <c r="Q639" s="17">
        <v>12</v>
      </c>
      <c r="R639" s="17" t="s">
        <v>27</v>
      </c>
      <c r="S639" s="14" t="str">
        <f t="shared" si="9"/>
        <v>Week 3</v>
      </c>
    </row>
    <row r="640" spans="1:19" x14ac:dyDescent="0.3">
      <c r="A640" s="8" t="s">
        <v>939</v>
      </c>
      <c r="B640" s="9">
        <v>43086</v>
      </c>
      <c r="C640" s="10" t="s">
        <v>358</v>
      </c>
      <c r="D640" s="10" t="s">
        <v>30</v>
      </c>
      <c r="E640" s="10" t="s">
        <v>103</v>
      </c>
      <c r="F640" s="11">
        <v>6</v>
      </c>
      <c r="G640" s="12">
        <v>1809</v>
      </c>
      <c r="H640" s="12">
        <v>10854</v>
      </c>
      <c r="I640" s="13">
        <v>1537.6499999999901</v>
      </c>
      <c r="J640" s="10" t="s">
        <v>54</v>
      </c>
      <c r="K640" s="10" t="s">
        <v>55</v>
      </c>
      <c r="L640" s="10" t="s">
        <v>56</v>
      </c>
      <c r="M640" s="12">
        <v>9225.9</v>
      </c>
      <c r="N640" s="12">
        <v>1628.1</v>
      </c>
      <c r="O640" s="10">
        <v>15</v>
      </c>
      <c r="P640" s="10" t="s">
        <v>26</v>
      </c>
      <c r="Q640" s="10">
        <v>12</v>
      </c>
      <c r="R640" s="10" t="s">
        <v>27</v>
      </c>
      <c r="S640" s="14" t="str">
        <f t="shared" si="9"/>
        <v>Week 3</v>
      </c>
    </row>
    <row r="641" spans="1:19" x14ac:dyDescent="0.3">
      <c r="A641" s="15" t="s">
        <v>168</v>
      </c>
      <c r="B641" s="16">
        <v>43086</v>
      </c>
      <c r="C641" s="17" t="s">
        <v>136</v>
      </c>
      <c r="D641" s="17" t="s">
        <v>30</v>
      </c>
      <c r="E641" s="17" t="s">
        <v>103</v>
      </c>
      <c r="F641" s="18">
        <v>10</v>
      </c>
      <c r="G641" s="19">
        <v>3390.2</v>
      </c>
      <c r="H641" s="19">
        <v>33902</v>
      </c>
      <c r="I641" s="20">
        <v>2000.2180000000001</v>
      </c>
      <c r="J641" s="17" t="s">
        <v>32</v>
      </c>
      <c r="K641" s="17" t="s">
        <v>33</v>
      </c>
      <c r="L641" s="17" t="s">
        <v>34</v>
      </c>
      <c r="M641" s="19">
        <v>20002.18</v>
      </c>
      <c r="N641" s="19">
        <v>13899.82</v>
      </c>
      <c r="O641" s="17">
        <v>41</v>
      </c>
      <c r="P641" s="17" t="s">
        <v>26</v>
      </c>
      <c r="Q641" s="17">
        <v>12</v>
      </c>
      <c r="R641" s="17" t="s">
        <v>27</v>
      </c>
      <c r="S641" s="14" t="str">
        <f t="shared" si="9"/>
        <v>Week 3</v>
      </c>
    </row>
    <row r="642" spans="1:19" x14ac:dyDescent="0.3">
      <c r="A642" s="8" t="s">
        <v>940</v>
      </c>
      <c r="B642" s="9">
        <v>43086</v>
      </c>
      <c r="C642" s="10" t="s">
        <v>941</v>
      </c>
      <c r="D642" s="10" t="s">
        <v>30</v>
      </c>
      <c r="E642" s="10" t="s">
        <v>103</v>
      </c>
      <c r="F642" s="11">
        <v>11</v>
      </c>
      <c r="G642" s="12">
        <v>3363.4</v>
      </c>
      <c r="H642" s="12">
        <v>36997.4</v>
      </c>
      <c r="I642" s="13">
        <v>2657.0859999999998</v>
      </c>
      <c r="J642" s="10" t="s">
        <v>23</v>
      </c>
      <c r="K642" s="10" t="s">
        <v>24</v>
      </c>
      <c r="L642" s="10" t="s">
        <v>25</v>
      </c>
      <c r="M642" s="12">
        <v>29227.946</v>
      </c>
      <c r="N642" s="12">
        <v>7769.4539999999897</v>
      </c>
      <c r="O642" s="10">
        <v>20.999999999999901</v>
      </c>
      <c r="P642" s="10" t="s">
        <v>26</v>
      </c>
      <c r="Q642" s="10">
        <v>12</v>
      </c>
      <c r="R642" s="10" t="s">
        <v>27</v>
      </c>
      <c r="S642" s="14" t="str">
        <f t="shared" si="9"/>
        <v>Week 3</v>
      </c>
    </row>
    <row r="643" spans="1:19" x14ac:dyDescent="0.3">
      <c r="A643" s="15" t="s">
        <v>942</v>
      </c>
      <c r="B643" s="16">
        <v>43086</v>
      </c>
      <c r="C643" s="17" t="s">
        <v>354</v>
      </c>
      <c r="D643" s="17" t="s">
        <v>30</v>
      </c>
      <c r="E643" s="17" t="s">
        <v>115</v>
      </c>
      <c r="F643" s="18">
        <v>12</v>
      </c>
      <c r="G643" s="19">
        <v>777.2</v>
      </c>
      <c r="H643" s="19">
        <v>9326.4000000000015</v>
      </c>
      <c r="I643" s="20">
        <v>334.19600000000003</v>
      </c>
      <c r="J643" s="17" t="s">
        <v>23</v>
      </c>
      <c r="K643" s="17" t="s">
        <v>24</v>
      </c>
      <c r="L643" s="17" t="s">
        <v>25</v>
      </c>
      <c r="M643" s="19">
        <v>4010.3519999999999</v>
      </c>
      <c r="N643" s="19">
        <v>5316.0479999999998</v>
      </c>
      <c r="O643" s="17">
        <v>56.999999999999901</v>
      </c>
      <c r="P643" s="17" t="s">
        <v>26</v>
      </c>
      <c r="Q643" s="17">
        <v>12</v>
      </c>
      <c r="R643" s="17" t="s">
        <v>27</v>
      </c>
      <c r="S643" s="14" t="str">
        <f t="shared" ref="S643:S706" si="10">"Week "&amp;INT((DAY(B643)-1)/7)+1</f>
        <v>Week 3</v>
      </c>
    </row>
    <row r="644" spans="1:19" x14ac:dyDescent="0.3">
      <c r="A644" s="8" t="s">
        <v>517</v>
      </c>
      <c r="B644" s="9">
        <v>43086</v>
      </c>
      <c r="C644" s="10" t="s">
        <v>254</v>
      </c>
      <c r="D644" s="10" t="s">
        <v>21</v>
      </c>
      <c r="E644" s="10" t="s">
        <v>284</v>
      </c>
      <c r="F644" s="11">
        <v>12</v>
      </c>
      <c r="G644" s="12">
        <v>3899.4</v>
      </c>
      <c r="H644" s="12">
        <v>46792.800000000003</v>
      </c>
      <c r="I644" s="13">
        <v>2612.598</v>
      </c>
      <c r="J644" s="10" t="s">
        <v>266</v>
      </c>
      <c r="K644" s="10" t="s">
        <v>267</v>
      </c>
      <c r="L644" s="10" t="s">
        <v>34</v>
      </c>
      <c r="M644" s="12">
        <v>31351.175999999999</v>
      </c>
      <c r="N644" s="12">
        <v>15441.6239999999</v>
      </c>
      <c r="O644" s="10">
        <v>32.999999999999901</v>
      </c>
      <c r="P644" s="10" t="s">
        <v>26</v>
      </c>
      <c r="Q644" s="10">
        <v>12</v>
      </c>
      <c r="R644" s="10" t="s">
        <v>27</v>
      </c>
      <c r="S644" s="14" t="str">
        <f t="shared" si="10"/>
        <v>Week 3</v>
      </c>
    </row>
    <row r="645" spans="1:19" x14ac:dyDescent="0.3">
      <c r="A645" s="15" t="s">
        <v>943</v>
      </c>
      <c r="B645" s="16">
        <v>43086</v>
      </c>
      <c r="C645" s="17" t="s">
        <v>321</v>
      </c>
      <c r="D645" s="17" t="s">
        <v>21</v>
      </c>
      <c r="E645" s="17" t="s">
        <v>252</v>
      </c>
      <c r="F645" s="18">
        <v>7</v>
      </c>
      <c r="G645" s="19">
        <v>3973.1</v>
      </c>
      <c r="H645" s="19">
        <v>27811.7</v>
      </c>
      <c r="I645" s="20">
        <v>2622.2460000000001</v>
      </c>
      <c r="J645" s="17" t="s">
        <v>54</v>
      </c>
      <c r="K645" s="17" t="s">
        <v>55</v>
      </c>
      <c r="L645" s="17" t="s">
        <v>56</v>
      </c>
      <c r="M645" s="19">
        <v>18355.722000000002</v>
      </c>
      <c r="N645" s="19">
        <v>9455.9779999999992</v>
      </c>
      <c r="O645" s="17">
        <v>34</v>
      </c>
      <c r="P645" s="17" t="s">
        <v>26</v>
      </c>
      <c r="Q645" s="17">
        <v>12</v>
      </c>
      <c r="R645" s="17" t="s">
        <v>27</v>
      </c>
      <c r="S645" s="14" t="str">
        <f t="shared" si="10"/>
        <v>Week 3</v>
      </c>
    </row>
    <row r="646" spans="1:19" x14ac:dyDescent="0.3">
      <c r="A646" s="8" t="s">
        <v>944</v>
      </c>
      <c r="B646" s="9">
        <v>43086</v>
      </c>
      <c r="C646" s="10" t="s">
        <v>367</v>
      </c>
      <c r="D646" s="10" t="s">
        <v>21</v>
      </c>
      <c r="E646" s="10" t="s">
        <v>284</v>
      </c>
      <c r="F646" s="11">
        <v>9</v>
      </c>
      <c r="G646" s="12">
        <v>1829.1</v>
      </c>
      <c r="H646" s="12">
        <v>16461.899999999998</v>
      </c>
      <c r="I646" s="13">
        <v>1225.4970000000001</v>
      </c>
      <c r="J646" s="10" t="s">
        <v>45</v>
      </c>
      <c r="K646" s="10" t="s">
        <v>46</v>
      </c>
      <c r="L646" s="10" t="s">
        <v>34</v>
      </c>
      <c r="M646" s="12">
        <v>11029.473</v>
      </c>
      <c r="N646" s="12">
        <v>5432.4269999999997</v>
      </c>
      <c r="O646" s="10">
        <v>33</v>
      </c>
      <c r="P646" s="10" t="s">
        <v>26</v>
      </c>
      <c r="Q646" s="10">
        <v>12</v>
      </c>
      <c r="R646" s="10" t="s">
        <v>27</v>
      </c>
      <c r="S646" s="14" t="str">
        <f t="shared" si="10"/>
        <v>Week 3</v>
      </c>
    </row>
    <row r="647" spans="1:19" x14ac:dyDescent="0.3">
      <c r="A647" s="15" t="s">
        <v>945</v>
      </c>
      <c r="B647" s="16">
        <v>43086</v>
      </c>
      <c r="C647" s="17" t="s">
        <v>102</v>
      </c>
      <c r="D647" s="17" t="s">
        <v>21</v>
      </c>
      <c r="E647" s="17" t="s">
        <v>149</v>
      </c>
      <c r="F647" s="18">
        <v>12</v>
      </c>
      <c r="G647" s="19">
        <v>897.8</v>
      </c>
      <c r="H647" s="19">
        <v>10773.599999999999</v>
      </c>
      <c r="I647" s="20">
        <v>421.96600000000001</v>
      </c>
      <c r="J647" s="17" t="s">
        <v>411</v>
      </c>
      <c r="K647" s="17" t="s">
        <v>412</v>
      </c>
      <c r="L647" s="17" t="s">
        <v>56</v>
      </c>
      <c r="M647" s="19">
        <v>5063.5919999999996</v>
      </c>
      <c r="N647" s="19">
        <v>5710.0079999999998</v>
      </c>
      <c r="O647" s="17">
        <v>52.999999999999901</v>
      </c>
      <c r="P647" s="17" t="s">
        <v>26</v>
      </c>
      <c r="Q647" s="17">
        <v>12</v>
      </c>
      <c r="R647" s="17" t="s">
        <v>27</v>
      </c>
      <c r="S647" s="14" t="str">
        <f t="shared" si="10"/>
        <v>Week 3</v>
      </c>
    </row>
    <row r="648" spans="1:19" x14ac:dyDescent="0.3">
      <c r="A648" s="8" t="s">
        <v>946</v>
      </c>
      <c r="B648" s="9">
        <v>43086</v>
      </c>
      <c r="C648" s="10" t="s">
        <v>746</v>
      </c>
      <c r="D648" s="10" t="s">
        <v>30</v>
      </c>
      <c r="E648" s="10" t="s">
        <v>73</v>
      </c>
      <c r="F648" s="11">
        <v>6</v>
      </c>
      <c r="G648" s="12">
        <v>2432.1</v>
      </c>
      <c r="H648" s="12">
        <v>14592.599999999999</v>
      </c>
      <c r="I648" s="13">
        <v>1751.1119999999901</v>
      </c>
      <c r="J648" s="10" t="s">
        <v>54</v>
      </c>
      <c r="K648" s="10" t="s">
        <v>55</v>
      </c>
      <c r="L648" s="10" t="s">
        <v>56</v>
      </c>
      <c r="M648" s="12">
        <v>10506.6719999999</v>
      </c>
      <c r="N648" s="12">
        <v>4085.9279999999999</v>
      </c>
      <c r="O648" s="10">
        <v>28</v>
      </c>
      <c r="P648" s="10" t="s">
        <v>26</v>
      </c>
      <c r="Q648" s="10">
        <v>12</v>
      </c>
      <c r="R648" s="10" t="s">
        <v>27</v>
      </c>
      <c r="S648" s="14" t="str">
        <f t="shared" si="10"/>
        <v>Week 3</v>
      </c>
    </row>
    <row r="649" spans="1:19" x14ac:dyDescent="0.3">
      <c r="A649" s="15" t="s">
        <v>947</v>
      </c>
      <c r="B649" s="16">
        <v>43086</v>
      </c>
      <c r="C649" s="17" t="s">
        <v>478</v>
      </c>
      <c r="D649" s="17" t="s">
        <v>30</v>
      </c>
      <c r="E649" s="17" t="s">
        <v>93</v>
      </c>
      <c r="F649" s="18">
        <v>8</v>
      </c>
      <c r="G649" s="19">
        <v>670</v>
      </c>
      <c r="H649" s="19">
        <v>5360</v>
      </c>
      <c r="I649" s="20">
        <v>529.29999999999995</v>
      </c>
      <c r="J649" s="17" t="s">
        <v>104</v>
      </c>
      <c r="K649" s="17" t="s">
        <v>105</v>
      </c>
      <c r="L649" s="17" t="s">
        <v>25</v>
      </c>
      <c r="M649" s="19">
        <v>4234.3999999999996</v>
      </c>
      <c r="N649" s="19">
        <v>1125.5999999999899</v>
      </c>
      <c r="O649" s="17">
        <v>20.999999999999901</v>
      </c>
      <c r="P649" s="17" t="s">
        <v>26</v>
      </c>
      <c r="Q649" s="17">
        <v>12</v>
      </c>
      <c r="R649" s="17" t="s">
        <v>27</v>
      </c>
      <c r="S649" s="14" t="str">
        <f t="shared" si="10"/>
        <v>Week 3</v>
      </c>
    </row>
    <row r="650" spans="1:19" x14ac:dyDescent="0.3">
      <c r="A650" s="8" t="s">
        <v>948</v>
      </c>
      <c r="B650" s="9">
        <v>43086</v>
      </c>
      <c r="C650" s="10" t="s">
        <v>497</v>
      </c>
      <c r="D650" s="10" t="s">
        <v>30</v>
      </c>
      <c r="E650" s="10" t="s">
        <v>103</v>
      </c>
      <c r="F650" s="11">
        <v>6</v>
      </c>
      <c r="G650" s="12">
        <v>1996.6</v>
      </c>
      <c r="H650" s="12">
        <v>11979.599999999999</v>
      </c>
      <c r="I650" s="13">
        <v>938.40200000000004</v>
      </c>
      <c r="J650" s="10" t="s">
        <v>97</v>
      </c>
      <c r="K650" s="10" t="s">
        <v>98</v>
      </c>
      <c r="L650" s="10" t="s">
        <v>56</v>
      </c>
      <c r="M650" s="12">
        <v>5630.4120000000003</v>
      </c>
      <c r="N650" s="12">
        <v>6349.1880000000001</v>
      </c>
      <c r="O650" s="10">
        <v>53</v>
      </c>
      <c r="P650" s="10" t="s">
        <v>26</v>
      </c>
      <c r="Q650" s="10">
        <v>12</v>
      </c>
      <c r="R650" s="10" t="s">
        <v>27</v>
      </c>
      <c r="S650" s="14" t="str">
        <f t="shared" si="10"/>
        <v>Week 3</v>
      </c>
    </row>
    <row r="651" spans="1:19" x14ac:dyDescent="0.3">
      <c r="A651" s="15" t="s">
        <v>949</v>
      </c>
      <c r="B651" s="16">
        <v>43086</v>
      </c>
      <c r="C651" s="17" t="s">
        <v>519</v>
      </c>
      <c r="D651" s="17" t="s">
        <v>21</v>
      </c>
      <c r="E651" s="17" t="s">
        <v>120</v>
      </c>
      <c r="F651" s="18">
        <v>8</v>
      </c>
      <c r="G651" s="19">
        <v>3095.4</v>
      </c>
      <c r="H651" s="19">
        <v>24763.200000000001</v>
      </c>
      <c r="I651" s="20">
        <v>1795.3319999999901</v>
      </c>
      <c r="J651" s="17" t="s">
        <v>54</v>
      </c>
      <c r="K651" s="17" t="s">
        <v>55</v>
      </c>
      <c r="L651" s="17" t="s">
        <v>56</v>
      </c>
      <c r="M651" s="19">
        <v>14362.655999999901</v>
      </c>
      <c r="N651" s="19">
        <v>10400.544</v>
      </c>
      <c r="O651" s="17">
        <v>42</v>
      </c>
      <c r="P651" s="17" t="s">
        <v>26</v>
      </c>
      <c r="Q651" s="17">
        <v>12</v>
      </c>
      <c r="R651" s="17" t="s">
        <v>27</v>
      </c>
      <c r="S651" s="14" t="str">
        <f t="shared" si="10"/>
        <v>Week 3</v>
      </c>
    </row>
    <row r="652" spans="1:19" x14ac:dyDescent="0.3">
      <c r="A652" s="8" t="s">
        <v>950</v>
      </c>
      <c r="B652" s="9">
        <v>43086</v>
      </c>
      <c r="C652" s="10" t="s">
        <v>273</v>
      </c>
      <c r="D652" s="10" t="s">
        <v>30</v>
      </c>
      <c r="E652" s="10" t="s">
        <v>103</v>
      </c>
      <c r="F652" s="11">
        <v>6</v>
      </c>
      <c r="G652" s="12">
        <v>1018.4</v>
      </c>
      <c r="H652" s="12">
        <v>6110.4</v>
      </c>
      <c r="I652" s="13">
        <v>488.83199999999999</v>
      </c>
      <c r="J652" s="10" t="s">
        <v>212</v>
      </c>
      <c r="K652" s="10" t="s">
        <v>213</v>
      </c>
      <c r="L652" s="10" t="s">
        <v>34</v>
      </c>
      <c r="M652" s="12">
        <v>2932.9920000000002</v>
      </c>
      <c r="N652" s="12">
        <v>3177.4079999999899</v>
      </c>
      <c r="O652" s="10">
        <v>51.999999999999901</v>
      </c>
      <c r="P652" s="10" t="s">
        <v>26</v>
      </c>
      <c r="Q652" s="10">
        <v>12</v>
      </c>
      <c r="R652" s="10" t="s">
        <v>27</v>
      </c>
      <c r="S652" s="14" t="str">
        <f t="shared" si="10"/>
        <v>Week 3</v>
      </c>
    </row>
    <row r="653" spans="1:19" x14ac:dyDescent="0.3">
      <c r="A653" s="15" t="s">
        <v>951</v>
      </c>
      <c r="B653" s="16">
        <v>43086</v>
      </c>
      <c r="C653" s="17" t="s">
        <v>952</v>
      </c>
      <c r="D653" s="17" t="s">
        <v>30</v>
      </c>
      <c r="E653" s="17" t="s">
        <v>31</v>
      </c>
      <c r="F653" s="18">
        <v>10</v>
      </c>
      <c r="G653" s="19">
        <v>5313.1</v>
      </c>
      <c r="H653" s="19">
        <v>53131</v>
      </c>
      <c r="I653" s="20">
        <v>3772.3009999999999</v>
      </c>
      <c r="J653" s="17" t="s">
        <v>94</v>
      </c>
      <c r="K653" s="17" t="s">
        <v>95</v>
      </c>
      <c r="L653" s="17" t="s">
        <v>40</v>
      </c>
      <c r="M653" s="19">
        <v>37723.01</v>
      </c>
      <c r="N653" s="19">
        <v>15407.9899999999</v>
      </c>
      <c r="O653" s="17">
        <v>28.999999999999901</v>
      </c>
      <c r="P653" s="17" t="s">
        <v>26</v>
      </c>
      <c r="Q653" s="17">
        <v>12</v>
      </c>
      <c r="R653" s="17" t="s">
        <v>27</v>
      </c>
      <c r="S653" s="14" t="str">
        <f t="shared" si="10"/>
        <v>Week 3</v>
      </c>
    </row>
    <row r="654" spans="1:19" x14ac:dyDescent="0.3">
      <c r="A654" s="8" t="s">
        <v>953</v>
      </c>
      <c r="B654" s="9">
        <v>43086</v>
      </c>
      <c r="C654" s="10" t="s">
        <v>82</v>
      </c>
      <c r="D654" s="10" t="s">
        <v>30</v>
      </c>
      <c r="E654" s="10" t="s">
        <v>91</v>
      </c>
      <c r="F654" s="11">
        <v>12</v>
      </c>
      <c r="G654" s="12">
        <v>1728.6</v>
      </c>
      <c r="H654" s="12">
        <v>20743.199999999997</v>
      </c>
      <c r="I654" s="13">
        <v>968.01599999999996</v>
      </c>
      <c r="J654" s="10" t="s">
        <v>204</v>
      </c>
      <c r="K654" s="10" t="s">
        <v>205</v>
      </c>
      <c r="L654" s="10" t="s">
        <v>34</v>
      </c>
      <c r="M654" s="12">
        <v>11616.191999999999</v>
      </c>
      <c r="N654" s="12">
        <v>9127.0079999999907</v>
      </c>
      <c r="O654" s="10">
        <v>43.999999999999901</v>
      </c>
      <c r="P654" s="10" t="s">
        <v>26</v>
      </c>
      <c r="Q654" s="10">
        <v>12</v>
      </c>
      <c r="R654" s="10" t="s">
        <v>27</v>
      </c>
      <c r="S654" s="14" t="str">
        <f t="shared" si="10"/>
        <v>Week 3</v>
      </c>
    </row>
    <row r="655" spans="1:19" x14ac:dyDescent="0.3">
      <c r="A655" s="15" t="s">
        <v>954</v>
      </c>
      <c r="B655" s="16">
        <v>43086</v>
      </c>
      <c r="C655" s="17" t="s">
        <v>695</v>
      </c>
      <c r="D655" s="17" t="s">
        <v>30</v>
      </c>
      <c r="E655" s="17" t="s">
        <v>149</v>
      </c>
      <c r="F655" s="18">
        <v>11</v>
      </c>
      <c r="G655" s="19">
        <v>1051.9000000000001</v>
      </c>
      <c r="H655" s="19">
        <v>11570.900000000001</v>
      </c>
      <c r="I655" s="20">
        <v>557.50699999999995</v>
      </c>
      <c r="J655" s="17" t="s">
        <v>54</v>
      </c>
      <c r="K655" s="17" t="s">
        <v>55</v>
      </c>
      <c r="L655" s="17" t="s">
        <v>56</v>
      </c>
      <c r="M655" s="19">
        <v>6132.5770000000002</v>
      </c>
      <c r="N655" s="19">
        <v>5438.3230000000003</v>
      </c>
      <c r="O655" s="17">
        <v>47</v>
      </c>
      <c r="P655" s="17" t="s">
        <v>26</v>
      </c>
      <c r="Q655" s="17">
        <v>12</v>
      </c>
      <c r="R655" s="17" t="s">
        <v>27</v>
      </c>
      <c r="S655" s="14" t="str">
        <f t="shared" si="10"/>
        <v>Week 3</v>
      </c>
    </row>
    <row r="656" spans="1:19" x14ac:dyDescent="0.3">
      <c r="A656" s="8" t="s">
        <v>955</v>
      </c>
      <c r="B656" s="9">
        <v>43086</v>
      </c>
      <c r="C656" s="10" t="s">
        <v>138</v>
      </c>
      <c r="D656" s="10" t="s">
        <v>30</v>
      </c>
      <c r="E656" s="10" t="s">
        <v>31</v>
      </c>
      <c r="F656" s="11">
        <v>6</v>
      </c>
      <c r="G656" s="12">
        <v>2010</v>
      </c>
      <c r="H656" s="12">
        <v>12060</v>
      </c>
      <c r="I656" s="13">
        <v>964.8</v>
      </c>
      <c r="J656" s="10" t="s">
        <v>411</v>
      </c>
      <c r="K656" s="10" t="s">
        <v>412</v>
      </c>
      <c r="L656" s="10" t="s">
        <v>56</v>
      </c>
      <c r="M656" s="12">
        <v>5788.7999999999902</v>
      </c>
      <c r="N656" s="12">
        <v>6271.2</v>
      </c>
      <c r="O656" s="10">
        <v>52</v>
      </c>
      <c r="P656" s="10" t="s">
        <v>26</v>
      </c>
      <c r="Q656" s="10">
        <v>12</v>
      </c>
      <c r="R656" s="10" t="s">
        <v>27</v>
      </c>
      <c r="S656" s="14" t="str">
        <f t="shared" si="10"/>
        <v>Week 3</v>
      </c>
    </row>
    <row r="657" spans="1:19" x14ac:dyDescent="0.3">
      <c r="A657" s="15" t="s">
        <v>956</v>
      </c>
      <c r="B657" s="16">
        <v>43086</v>
      </c>
      <c r="C657" s="17" t="s">
        <v>142</v>
      </c>
      <c r="D657" s="17" t="s">
        <v>43</v>
      </c>
      <c r="E657" s="17" t="s">
        <v>418</v>
      </c>
      <c r="F657" s="18">
        <v>9</v>
      </c>
      <c r="G657" s="19">
        <v>5246.1</v>
      </c>
      <c r="H657" s="19">
        <v>47214.9</v>
      </c>
      <c r="I657" s="20">
        <v>3882.114</v>
      </c>
      <c r="J657" s="17" t="s">
        <v>225</v>
      </c>
      <c r="K657" s="17" t="s">
        <v>226</v>
      </c>
      <c r="L657" s="17" t="s">
        <v>25</v>
      </c>
      <c r="M657" s="19">
        <v>34939.025999999998</v>
      </c>
      <c r="N657" s="19">
        <v>12275.874</v>
      </c>
      <c r="O657" s="17">
        <v>26</v>
      </c>
      <c r="P657" s="17" t="s">
        <v>26</v>
      </c>
      <c r="Q657" s="17">
        <v>12</v>
      </c>
      <c r="R657" s="17" t="s">
        <v>27</v>
      </c>
      <c r="S657" s="14" t="str">
        <f t="shared" si="10"/>
        <v>Week 3</v>
      </c>
    </row>
    <row r="658" spans="1:19" x14ac:dyDescent="0.3">
      <c r="A658" s="8" t="s">
        <v>957</v>
      </c>
      <c r="B658" s="9">
        <v>43086</v>
      </c>
      <c r="C658" s="10" t="s">
        <v>304</v>
      </c>
      <c r="D658" s="10" t="s">
        <v>21</v>
      </c>
      <c r="E658" s="10" t="s">
        <v>191</v>
      </c>
      <c r="F658" s="11">
        <v>6</v>
      </c>
      <c r="G658" s="12">
        <v>3899.4</v>
      </c>
      <c r="H658" s="12">
        <v>23396.400000000001</v>
      </c>
      <c r="I658" s="13">
        <v>2807.5679999999902</v>
      </c>
      <c r="J658" s="10" t="s">
        <v>436</v>
      </c>
      <c r="K658" s="10" t="s">
        <v>437</v>
      </c>
      <c r="L658" s="10" t="s">
        <v>25</v>
      </c>
      <c r="M658" s="12">
        <v>16845.407999999999</v>
      </c>
      <c r="N658" s="12">
        <v>6550.9920000000002</v>
      </c>
      <c r="O658" s="10">
        <v>28</v>
      </c>
      <c r="P658" s="10" t="s">
        <v>26</v>
      </c>
      <c r="Q658" s="10">
        <v>12</v>
      </c>
      <c r="R658" s="10" t="s">
        <v>27</v>
      </c>
      <c r="S658" s="14" t="str">
        <f t="shared" si="10"/>
        <v>Week 3</v>
      </c>
    </row>
    <row r="659" spans="1:19" x14ac:dyDescent="0.3">
      <c r="A659" s="15" t="s">
        <v>958</v>
      </c>
      <c r="B659" s="16">
        <v>43086</v>
      </c>
      <c r="C659" s="17" t="s">
        <v>664</v>
      </c>
      <c r="D659" s="17" t="s">
        <v>30</v>
      </c>
      <c r="E659" s="17" t="s">
        <v>73</v>
      </c>
      <c r="F659" s="18">
        <v>11</v>
      </c>
      <c r="G659" s="19">
        <v>850.9</v>
      </c>
      <c r="H659" s="19">
        <v>9359.9</v>
      </c>
      <c r="I659" s="20">
        <v>697.73799999999903</v>
      </c>
      <c r="J659" s="17" t="s">
        <v>257</v>
      </c>
      <c r="K659" s="17" t="s">
        <v>258</v>
      </c>
      <c r="L659" s="17" t="s">
        <v>25</v>
      </c>
      <c r="M659" s="19">
        <v>7675.1179999999904</v>
      </c>
      <c r="N659" s="19">
        <v>1684.7819999999999</v>
      </c>
      <c r="O659" s="17">
        <v>18</v>
      </c>
      <c r="P659" s="17" t="s">
        <v>26</v>
      </c>
      <c r="Q659" s="17">
        <v>12</v>
      </c>
      <c r="R659" s="17" t="s">
        <v>27</v>
      </c>
      <c r="S659" s="14" t="str">
        <f t="shared" si="10"/>
        <v>Week 3</v>
      </c>
    </row>
    <row r="660" spans="1:19" x14ac:dyDescent="0.3">
      <c r="A660" s="8" t="s">
        <v>959</v>
      </c>
      <c r="B660" s="9">
        <v>43086</v>
      </c>
      <c r="C660" s="10" t="s">
        <v>354</v>
      </c>
      <c r="D660" s="10" t="s">
        <v>21</v>
      </c>
      <c r="E660" s="10" t="s">
        <v>103</v>
      </c>
      <c r="F660" s="11">
        <v>5</v>
      </c>
      <c r="G660" s="12">
        <v>5212.6000000000004</v>
      </c>
      <c r="H660" s="12">
        <v>26063</v>
      </c>
      <c r="I660" s="13">
        <v>3283.9380000000001</v>
      </c>
      <c r="J660" s="10" t="s">
        <v>54</v>
      </c>
      <c r="K660" s="10" t="s">
        <v>55</v>
      </c>
      <c r="L660" s="10" t="s">
        <v>56</v>
      </c>
      <c r="M660" s="12">
        <v>16419.689999999999</v>
      </c>
      <c r="N660" s="12">
        <v>9643.3099999999904</v>
      </c>
      <c r="O660" s="10">
        <v>36.999999999999901</v>
      </c>
      <c r="P660" s="10" t="s">
        <v>26</v>
      </c>
      <c r="Q660" s="10">
        <v>12</v>
      </c>
      <c r="R660" s="10" t="s">
        <v>27</v>
      </c>
      <c r="S660" s="14" t="str">
        <f t="shared" si="10"/>
        <v>Week 3</v>
      </c>
    </row>
    <row r="661" spans="1:19" x14ac:dyDescent="0.3">
      <c r="A661" s="15" t="s">
        <v>960</v>
      </c>
      <c r="B661" s="16">
        <v>43086</v>
      </c>
      <c r="C661" s="17" t="s">
        <v>236</v>
      </c>
      <c r="D661" s="17" t="s">
        <v>21</v>
      </c>
      <c r="E661" s="17" t="s">
        <v>228</v>
      </c>
      <c r="F661" s="18">
        <v>7</v>
      </c>
      <c r="G661" s="19">
        <v>3886</v>
      </c>
      <c r="H661" s="19">
        <v>27202</v>
      </c>
      <c r="I661" s="20">
        <v>2059.58</v>
      </c>
      <c r="J661" s="17" t="s">
        <v>218</v>
      </c>
      <c r="K661" s="17" t="s">
        <v>219</v>
      </c>
      <c r="L661" s="17" t="s">
        <v>34</v>
      </c>
      <c r="M661" s="19">
        <v>14417.06</v>
      </c>
      <c r="N661" s="19">
        <v>12784.94</v>
      </c>
      <c r="O661" s="17">
        <v>47</v>
      </c>
      <c r="P661" s="17" t="s">
        <v>26</v>
      </c>
      <c r="Q661" s="17">
        <v>12</v>
      </c>
      <c r="R661" s="17" t="s">
        <v>27</v>
      </c>
      <c r="S661" s="14" t="str">
        <f t="shared" si="10"/>
        <v>Week 3</v>
      </c>
    </row>
    <row r="662" spans="1:19" x14ac:dyDescent="0.3">
      <c r="A662" s="8" t="s">
        <v>961</v>
      </c>
      <c r="B662" s="9">
        <v>43086</v>
      </c>
      <c r="C662" s="10" t="s">
        <v>215</v>
      </c>
      <c r="D662" s="10" t="s">
        <v>21</v>
      </c>
      <c r="E662" s="10" t="s">
        <v>115</v>
      </c>
      <c r="F662" s="11">
        <v>6</v>
      </c>
      <c r="G662" s="12">
        <v>3155.7</v>
      </c>
      <c r="H662" s="12">
        <v>18934.199999999997</v>
      </c>
      <c r="I662" s="13">
        <v>1704.078</v>
      </c>
      <c r="J662" s="10" t="s">
        <v>766</v>
      </c>
      <c r="K662" s="10" t="s">
        <v>767</v>
      </c>
      <c r="L662" s="10" t="s">
        <v>56</v>
      </c>
      <c r="M662" s="12">
        <v>10224.468000000001</v>
      </c>
      <c r="N662" s="12">
        <v>8709.732</v>
      </c>
      <c r="O662" s="10">
        <v>46</v>
      </c>
      <c r="P662" s="10" t="s">
        <v>26</v>
      </c>
      <c r="Q662" s="10">
        <v>12</v>
      </c>
      <c r="R662" s="10" t="s">
        <v>27</v>
      </c>
      <c r="S662" s="14" t="str">
        <f t="shared" si="10"/>
        <v>Week 3</v>
      </c>
    </row>
    <row r="663" spans="1:19" x14ac:dyDescent="0.3">
      <c r="A663" s="15" t="s">
        <v>962</v>
      </c>
      <c r="B663" s="16">
        <v>43086</v>
      </c>
      <c r="C663" s="17" t="s">
        <v>549</v>
      </c>
      <c r="D663" s="17" t="s">
        <v>21</v>
      </c>
      <c r="E663" s="17" t="s">
        <v>91</v>
      </c>
      <c r="F663" s="18">
        <v>10</v>
      </c>
      <c r="G663" s="19">
        <v>3966.4</v>
      </c>
      <c r="H663" s="19">
        <v>39664</v>
      </c>
      <c r="I663" s="20">
        <v>2895.4720000000002</v>
      </c>
      <c r="J663" s="17" t="s">
        <v>32</v>
      </c>
      <c r="K663" s="17" t="s">
        <v>33</v>
      </c>
      <c r="L663" s="17" t="s">
        <v>34</v>
      </c>
      <c r="M663" s="19">
        <v>28954.720000000001</v>
      </c>
      <c r="N663" s="19">
        <v>10709.279999999901</v>
      </c>
      <c r="O663" s="17">
        <v>26.999999999999901</v>
      </c>
      <c r="P663" s="17" t="s">
        <v>26</v>
      </c>
      <c r="Q663" s="17">
        <v>12</v>
      </c>
      <c r="R663" s="17" t="s">
        <v>27</v>
      </c>
      <c r="S663" s="14" t="str">
        <f t="shared" si="10"/>
        <v>Week 3</v>
      </c>
    </row>
    <row r="664" spans="1:19" x14ac:dyDescent="0.3">
      <c r="A664" s="8" t="s">
        <v>963</v>
      </c>
      <c r="B664" s="9">
        <v>43086</v>
      </c>
      <c r="C664" s="10" t="s">
        <v>90</v>
      </c>
      <c r="D664" s="10" t="s">
        <v>30</v>
      </c>
      <c r="E664" s="10" t="s">
        <v>93</v>
      </c>
      <c r="F664" s="11">
        <v>5</v>
      </c>
      <c r="G664" s="12">
        <v>2525.9</v>
      </c>
      <c r="H664" s="12">
        <v>12629.5</v>
      </c>
      <c r="I664" s="13">
        <v>1288.2090000000001</v>
      </c>
      <c r="J664" s="10" t="s">
        <v>54</v>
      </c>
      <c r="K664" s="10" t="s">
        <v>55</v>
      </c>
      <c r="L664" s="10" t="s">
        <v>56</v>
      </c>
      <c r="M664" s="12">
        <v>6441.0450000000001</v>
      </c>
      <c r="N664" s="12">
        <v>6188.4549999999999</v>
      </c>
      <c r="O664" s="10">
        <v>49</v>
      </c>
      <c r="P664" s="10" t="s">
        <v>26</v>
      </c>
      <c r="Q664" s="10">
        <v>12</v>
      </c>
      <c r="R664" s="10" t="s">
        <v>27</v>
      </c>
      <c r="S664" s="14" t="str">
        <f t="shared" si="10"/>
        <v>Week 3</v>
      </c>
    </row>
    <row r="665" spans="1:19" x14ac:dyDescent="0.3">
      <c r="A665" s="15" t="s">
        <v>964</v>
      </c>
      <c r="B665" s="16">
        <v>43086</v>
      </c>
      <c r="C665" s="17" t="s">
        <v>145</v>
      </c>
      <c r="D665" s="17" t="s">
        <v>21</v>
      </c>
      <c r="E665" s="17" t="s">
        <v>120</v>
      </c>
      <c r="F665" s="18">
        <v>9</v>
      </c>
      <c r="G665" s="19">
        <v>911.2</v>
      </c>
      <c r="H665" s="19">
        <v>8200.8000000000011</v>
      </c>
      <c r="I665" s="20">
        <v>628.72799999999995</v>
      </c>
      <c r="J665" s="17" t="s">
        <v>45</v>
      </c>
      <c r="K665" s="17" t="s">
        <v>46</v>
      </c>
      <c r="L665" s="17" t="s">
        <v>34</v>
      </c>
      <c r="M665" s="19">
        <v>5658.5519999999997</v>
      </c>
      <c r="N665" s="19">
        <v>2542.248</v>
      </c>
      <c r="O665" s="17">
        <v>31</v>
      </c>
      <c r="P665" s="17" t="s">
        <v>26</v>
      </c>
      <c r="Q665" s="17">
        <v>12</v>
      </c>
      <c r="R665" s="17" t="s">
        <v>27</v>
      </c>
      <c r="S665" s="14" t="str">
        <f t="shared" si="10"/>
        <v>Week 3</v>
      </c>
    </row>
    <row r="666" spans="1:19" x14ac:dyDescent="0.3">
      <c r="A666" s="8" t="s">
        <v>965</v>
      </c>
      <c r="B666" s="9">
        <v>43086</v>
      </c>
      <c r="C666" s="10" t="s">
        <v>82</v>
      </c>
      <c r="D666" s="10" t="s">
        <v>43</v>
      </c>
      <c r="E666" s="10" t="s">
        <v>93</v>
      </c>
      <c r="F666" s="11">
        <v>12</v>
      </c>
      <c r="G666" s="12">
        <v>1728.6</v>
      </c>
      <c r="H666" s="12">
        <v>20743.199999999997</v>
      </c>
      <c r="I666" s="13">
        <v>1382.88</v>
      </c>
      <c r="J666" s="10" t="s">
        <v>225</v>
      </c>
      <c r="K666" s="10" t="s">
        <v>226</v>
      </c>
      <c r="L666" s="10" t="s">
        <v>25</v>
      </c>
      <c r="M666" s="12">
        <v>16594.560000000001</v>
      </c>
      <c r="N666" s="12">
        <v>4148.6399999999903</v>
      </c>
      <c r="O666" s="10">
        <v>19.999999999999901</v>
      </c>
      <c r="P666" s="10" t="s">
        <v>26</v>
      </c>
      <c r="Q666" s="10">
        <v>12</v>
      </c>
      <c r="R666" s="10" t="s">
        <v>27</v>
      </c>
      <c r="S666" s="14" t="str">
        <f t="shared" si="10"/>
        <v>Week 3</v>
      </c>
    </row>
    <row r="667" spans="1:19" x14ac:dyDescent="0.3">
      <c r="A667" s="15" t="s">
        <v>966</v>
      </c>
      <c r="B667" s="16">
        <v>43086</v>
      </c>
      <c r="C667" s="17" t="s">
        <v>188</v>
      </c>
      <c r="D667" s="17" t="s">
        <v>30</v>
      </c>
      <c r="E667" s="17" t="s">
        <v>103</v>
      </c>
      <c r="F667" s="18">
        <v>9</v>
      </c>
      <c r="G667" s="19">
        <v>1118.9000000000001</v>
      </c>
      <c r="H667" s="19">
        <v>10070.1</v>
      </c>
      <c r="I667" s="20">
        <v>604.20600000000002</v>
      </c>
      <c r="J667" s="17" t="s">
        <v>23</v>
      </c>
      <c r="K667" s="17" t="s">
        <v>24</v>
      </c>
      <c r="L667" s="17" t="s">
        <v>25</v>
      </c>
      <c r="M667" s="19">
        <v>5437.8540000000003</v>
      </c>
      <c r="N667" s="19">
        <v>4632.2459999999901</v>
      </c>
      <c r="O667" s="17">
        <v>45.999999999999901</v>
      </c>
      <c r="P667" s="17" t="s">
        <v>26</v>
      </c>
      <c r="Q667" s="17">
        <v>12</v>
      </c>
      <c r="R667" s="17" t="s">
        <v>27</v>
      </c>
      <c r="S667" s="14" t="str">
        <f t="shared" si="10"/>
        <v>Week 3</v>
      </c>
    </row>
    <row r="668" spans="1:19" x14ac:dyDescent="0.3">
      <c r="A668" s="8" t="s">
        <v>967</v>
      </c>
      <c r="B668" s="9">
        <v>43086</v>
      </c>
      <c r="C668" s="10" t="s">
        <v>239</v>
      </c>
      <c r="D668" s="10" t="s">
        <v>30</v>
      </c>
      <c r="E668" s="10" t="s">
        <v>31</v>
      </c>
      <c r="F668" s="11">
        <v>11</v>
      </c>
      <c r="G668" s="12">
        <v>234.5</v>
      </c>
      <c r="H668" s="12">
        <v>2579.5</v>
      </c>
      <c r="I668" s="13">
        <v>187.6</v>
      </c>
      <c r="J668" s="10" t="s">
        <v>155</v>
      </c>
      <c r="K668" s="10" t="s">
        <v>156</v>
      </c>
      <c r="L668" s="10" t="s">
        <v>56</v>
      </c>
      <c r="M668" s="12">
        <v>2063.6</v>
      </c>
      <c r="N668" s="12">
        <v>515.89999999999895</v>
      </c>
      <c r="O668" s="10">
        <v>19.999999999999901</v>
      </c>
      <c r="P668" s="10" t="s">
        <v>26</v>
      </c>
      <c r="Q668" s="10">
        <v>12</v>
      </c>
      <c r="R668" s="10" t="s">
        <v>27</v>
      </c>
      <c r="S668" s="14" t="str">
        <f t="shared" si="10"/>
        <v>Week 3</v>
      </c>
    </row>
    <row r="669" spans="1:19" x14ac:dyDescent="0.3">
      <c r="A669" s="15" t="s">
        <v>968</v>
      </c>
      <c r="B669" s="16">
        <v>43086</v>
      </c>
      <c r="C669" s="17" t="s">
        <v>251</v>
      </c>
      <c r="D669" s="17" t="s">
        <v>21</v>
      </c>
      <c r="E669" s="17" t="s">
        <v>103</v>
      </c>
      <c r="F669" s="18">
        <v>7</v>
      </c>
      <c r="G669" s="19">
        <v>1715.2</v>
      </c>
      <c r="H669" s="19">
        <v>12006.4</v>
      </c>
      <c r="I669" s="20">
        <v>806.14400000000001</v>
      </c>
      <c r="J669" s="17" t="s">
        <v>94</v>
      </c>
      <c r="K669" s="17" t="s">
        <v>95</v>
      </c>
      <c r="L669" s="17" t="s">
        <v>40</v>
      </c>
      <c r="M669" s="19">
        <v>5643.0079999999998</v>
      </c>
      <c r="N669" s="19">
        <v>6363.3919999999998</v>
      </c>
      <c r="O669" s="17">
        <v>53</v>
      </c>
      <c r="P669" s="17" t="s">
        <v>26</v>
      </c>
      <c r="Q669" s="17">
        <v>12</v>
      </c>
      <c r="R669" s="17" t="s">
        <v>27</v>
      </c>
      <c r="S669" s="14" t="str">
        <f t="shared" si="10"/>
        <v>Week 3</v>
      </c>
    </row>
    <row r="670" spans="1:19" x14ac:dyDescent="0.3">
      <c r="A670" s="8" t="s">
        <v>969</v>
      </c>
      <c r="B670" s="9">
        <v>43086</v>
      </c>
      <c r="C670" s="10" t="s">
        <v>952</v>
      </c>
      <c r="D670" s="10" t="s">
        <v>30</v>
      </c>
      <c r="E670" s="10" t="s">
        <v>120</v>
      </c>
      <c r="F670" s="11">
        <v>12</v>
      </c>
      <c r="G670" s="12">
        <v>1735.3</v>
      </c>
      <c r="H670" s="12">
        <v>20823.599999999999</v>
      </c>
      <c r="I670" s="13">
        <v>850.296999999999</v>
      </c>
      <c r="J670" s="10" t="s">
        <v>116</v>
      </c>
      <c r="K670" s="10" t="s">
        <v>117</v>
      </c>
      <c r="L670" s="10" t="s">
        <v>40</v>
      </c>
      <c r="M670" s="12">
        <v>10203.5639999999</v>
      </c>
      <c r="N670" s="12">
        <v>10620.036</v>
      </c>
      <c r="O670" s="10">
        <v>51</v>
      </c>
      <c r="P670" s="10" t="s">
        <v>26</v>
      </c>
      <c r="Q670" s="10">
        <v>12</v>
      </c>
      <c r="R670" s="10" t="s">
        <v>27</v>
      </c>
      <c r="S670" s="14" t="str">
        <f t="shared" si="10"/>
        <v>Week 3</v>
      </c>
    </row>
    <row r="671" spans="1:19" x14ac:dyDescent="0.3">
      <c r="A671" s="15" t="s">
        <v>970</v>
      </c>
      <c r="B671" s="16">
        <v>43086</v>
      </c>
      <c r="C671" s="17" t="s">
        <v>100</v>
      </c>
      <c r="D671" s="17" t="s">
        <v>21</v>
      </c>
      <c r="E671" s="17" t="s">
        <v>115</v>
      </c>
      <c r="F671" s="18">
        <v>6</v>
      </c>
      <c r="G671" s="19">
        <v>1058.5999999999999</v>
      </c>
      <c r="H671" s="19">
        <v>6351.5999999999995</v>
      </c>
      <c r="I671" s="20">
        <v>455.19799999999998</v>
      </c>
      <c r="J671" s="17" t="s">
        <v>54</v>
      </c>
      <c r="K671" s="17" t="s">
        <v>55</v>
      </c>
      <c r="L671" s="17" t="s">
        <v>56</v>
      </c>
      <c r="M671" s="19">
        <v>2731.1880000000001</v>
      </c>
      <c r="N671" s="19">
        <v>3620.4119999999998</v>
      </c>
      <c r="O671" s="17">
        <v>57</v>
      </c>
      <c r="P671" s="17" t="s">
        <v>26</v>
      </c>
      <c r="Q671" s="17">
        <v>12</v>
      </c>
      <c r="R671" s="17" t="s">
        <v>27</v>
      </c>
      <c r="S671" s="14" t="str">
        <f t="shared" si="10"/>
        <v>Week 3</v>
      </c>
    </row>
    <row r="672" spans="1:19" x14ac:dyDescent="0.3">
      <c r="A672" s="8" t="s">
        <v>971</v>
      </c>
      <c r="B672" s="9">
        <v>43086</v>
      </c>
      <c r="C672" s="10" t="s">
        <v>247</v>
      </c>
      <c r="D672" s="10" t="s">
        <v>21</v>
      </c>
      <c r="E672" s="10" t="s">
        <v>73</v>
      </c>
      <c r="F672" s="11">
        <v>5</v>
      </c>
      <c r="G672" s="12">
        <v>247.9</v>
      </c>
      <c r="H672" s="12">
        <v>1239.5</v>
      </c>
      <c r="I672" s="13">
        <v>185.92500000000001</v>
      </c>
      <c r="J672" s="10" t="s">
        <v>405</v>
      </c>
      <c r="K672" s="10" t="s">
        <v>406</v>
      </c>
      <c r="L672" s="10" t="s">
        <v>56</v>
      </c>
      <c r="M672" s="12">
        <v>929.625</v>
      </c>
      <c r="N672" s="12">
        <v>309.875</v>
      </c>
      <c r="O672" s="10">
        <v>25</v>
      </c>
      <c r="P672" s="10" t="s">
        <v>26</v>
      </c>
      <c r="Q672" s="10">
        <v>12</v>
      </c>
      <c r="R672" s="10" t="s">
        <v>27</v>
      </c>
      <c r="S672" s="14" t="str">
        <f t="shared" si="10"/>
        <v>Week 3</v>
      </c>
    </row>
    <row r="673" spans="1:19" x14ac:dyDescent="0.3">
      <c r="A673" s="15" t="s">
        <v>972</v>
      </c>
      <c r="B673" s="16">
        <v>43087</v>
      </c>
      <c r="C673" s="17" t="s">
        <v>239</v>
      </c>
      <c r="D673" s="17" t="s">
        <v>21</v>
      </c>
      <c r="E673" s="17" t="s">
        <v>44</v>
      </c>
      <c r="F673" s="18">
        <v>7</v>
      </c>
      <c r="G673" s="19">
        <v>817.4</v>
      </c>
      <c r="H673" s="19">
        <v>5721.8</v>
      </c>
      <c r="I673" s="20">
        <v>621.22400000000005</v>
      </c>
      <c r="J673" s="17" t="s">
        <v>23</v>
      </c>
      <c r="K673" s="17" t="s">
        <v>24</v>
      </c>
      <c r="L673" s="17" t="s">
        <v>25</v>
      </c>
      <c r="M673" s="19">
        <v>4348.5680000000002</v>
      </c>
      <c r="N673" s="19">
        <v>1373.232</v>
      </c>
      <c r="O673" s="17">
        <v>24</v>
      </c>
      <c r="P673" s="17" t="s">
        <v>26</v>
      </c>
      <c r="Q673" s="17">
        <v>12</v>
      </c>
      <c r="R673" s="17" t="s">
        <v>27</v>
      </c>
      <c r="S673" s="14" t="str">
        <f t="shared" si="10"/>
        <v>Week 3</v>
      </c>
    </row>
    <row r="674" spans="1:19" x14ac:dyDescent="0.3">
      <c r="A674" s="8" t="s">
        <v>973</v>
      </c>
      <c r="B674" s="9">
        <v>43087</v>
      </c>
      <c r="C674" s="10" t="s">
        <v>478</v>
      </c>
      <c r="D674" s="10" t="s">
        <v>30</v>
      </c>
      <c r="E674" s="10" t="s">
        <v>120</v>
      </c>
      <c r="F674" s="11">
        <v>6</v>
      </c>
      <c r="G674" s="12">
        <v>3966.4</v>
      </c>
      <c r="H674" s="12">
        <v>23798.400000000001</v>
      </c>
      <c r="I674" s="13">
        <v>2697.152</v>
      </c>
      <c r="J674" s="10" t="s">
        <v>116</v>
      </c>
      <c r="K674" s="10" t="s">
        <v>117</v>
      </c>
      <c r="L674" s="10" t="s">
        <v>40</v>
      </c>
      <c r="M674" s="12">
        <v>16182.912</v>
      </c>
      <c r="N674" s="12">
        <v>7615.4880000000003</v>
      </c>
      <c r="O674" s="10">
        <v>32</v>
      </c>
      <c r="P674" s="10" t="s">
        <v>26</v>
      </c>
      <c r="Q674" s="10">
        <v>12</v>
      </c>
      <c r="R674" s="10" t="s">
        <v>27</v>
      </c>
      <c r="S674" s="14" t="str">
        <f t="shared" si="10"/>
        <v>Week 3</v>
      </c>
    </row>
    <row r="675" spans="1:19" x14ac:dyDescent="0.3">
      <c r="A675" s="15" t="s">
        <v>974</v>
      </c>
      <c r="B675" s="16">
        <v>43087</v>
      </c>
      <c r="C675" s="17" t="s">
        <v>448</v>
      </c>
      <c r="D675" s="17" t="s">
        <v>30</v>
      </c>
      <c r="E675" s="17" t="s">
        <v>146</v>
      </c>
      <c r="F675" s="18">
        <v>8</v>
      </c>
      <c r="G675" s="19">
        <v>911.2</v>
      </c>
      <c r="H675" s="19">
        <v>7289.6</v>
      </c>
      <c r="I675" s="20">
        <v>428.26400000000001</v>
      </c>
      <c r="J675" s="17" t="s">
        <v>69</v>
      </c>
      <c r="K675" s="17" t="s">
        <v>70</v>
      </c>
      <c r="L675" s="17" t="s">
        <v>25</v>
      </c>
      <c r="M675" s="19">
        <v>3426.1120000000001</v>
      </c>
      <c r="N675" s="19">
        <v>3863.4879999999998</v>
      </c>
      <c r="O675" s="17">
        <v>53</v>
      </c>
      <c r="P675" s="17" t="s">
        <v>26</v>
      </c>
      <c r="Q675" s="17">
        <v>12</v>
      </c>
      <c r="R675" s="17" t="s">
        <v>27</v>
      </c>
      <c r="S675" s="14" t="str">
        <f t="shared" si="10"/>
        <v>Week 3</v>
      </c>
    </row>
    <row r="676" spans="1:19" x14ac:dyDescent="0.3">
      <c r="A676" s="8" t="s">
        <v>975</v>
      </c>
      <c r="B676" s="9">
        <v>43087</v>
      </c>
      <c r="C676" s="10" t="s">
        <v>42</v>
      </c>
      <c r="D676" s="10" t="s">
        <v>21</v>
      </c>
      <c r="E676" s="10" t="s">
        <v>120</v>
      </c>
      <c r="F676" s="11">
        <v>5</v>
      </c>
      <c r="G676" s="12">
        <v>234.5</v>
      </c>
      <c r="H676" s="12">
        <v>1172.5</v>
      </c>
      <c r="I676" s="13">
        <v>173.53</v>
      </c>
      <c r="J676" s="10" t="s">
        <v>54</v>
      </c>
      <c r="K676" s="10" t="s">
        <v>55</v>
      </c>
      <c r="L676" s="10" t="s">
        <v>56</v>
      </c>
      <c r="M676" s="12">
        <v>867.65</v>
      </c>
      <c r="N676" s="12">
        <v>304.85000000000002</v>
      </c>
      <c r="O676" s="10">
        <v>26</v>
      </c>
      <c r="P676" s="10" t="s">
        <v>26</v>
      </c>
      <c r="Q676" s="10">
        <v>12</v>
      </c>
      <c r="R676" s="10" t="s">
        <v>27</v>
      </c>
      <c r="S676" s="14" t="str">
        <f t="shared" si="10"/>
        <v>Week 3</v>
      </c>
    </row>
    <row r="677" spans="1:19" x14ac:dyDescent="0.3">
      <c r="A677" s="15" t="s">
        <v>976</v>
      </c>
      <c r="B677" s="16">
        <v>43087</v>
      </c>
      <c r="C677" s="17" t="s">
        <v>806</v>
      </c>
      <c r="D677" s="17" t="s">
        <v>21</v>
      </c>
      <c r="E677" s="17" t="s">
        <v>93</v>
      </c>
      <c r="F677" s="18">
        <v>7</v>
      </c>
      <c r="G677" s="19">
        <v>2760.4</v>
      </c>
      <c r="H677" s="19">
        <v>19322.8</v>
      </c>
      <c r="I677" s="20">
        <v>1739.0519999999999</v>
      </c>
      <c r="J677" s="17" t="s">
        <v>38</v>
      </c>
      <c r="K677" s="17" t="s">
        <v>39</v>
      </c>
      <c r="L677" s="17" t="s">
        <v>40</v>
      </c>
      <c r="M677" s="19">
        <v>12173.364</v>
      </c>
      <c r="N677" s="19">
        <v>7149.4359999999897</v>
      </c>
      <c r="O677" s="17">
        <v>36.999999999999901</v>
      </c>
      <c r="P677" s="17" t="s">
        <v>26</v>
      </c>
      <c r="Q677" s="17">
        <v>12</v>
      </c>
      <c r="R677" s="17" t="s">
        <v>27</v>
      </c>
      <c r="S677" s="14" t="str">
        <f t="shared" si="10"/>
        <v>Week 3</v>
      </c>
    </row>
    <row r="678" spans="1:19" x14ac:dyDescent="0.3">
      <c r="A678" s="8" t="s">
        <v>977</v>
      </c>
      <c r="B678" s="9">
        <v>43087</v>
      </c>
      <c r="C678" s="10" t="s">
        <v>100</v>
      </c>
      <c r="D678" s="10" t="s">
        <v>30</v>
      </c>
      <c r="E678" s="10" t="s">
        <v>31</v>
      </c>
      <c r="F678" s="11">
        <v>5</v>
      </c>
      <c r="G678" s="12">
        <v>2472.3000000000002</v>
      </c>
      <c r="H678" s="12">
        <v>12361.5</v>
      </c>
      <c r="I678" s="13">
        <v>1928.394</v>
      </c>
      <c r="J678" s="10" t="s">
        <v>54</v>
      </c>
      <c r="K678" s="10" t="s">
        <v>55</v>
      </c>
      <c r="L678" s="10" t="s">
        <v>56</v>
      </c>
      <c r="M678" s="12">
        <v>9641.9699999999993</v>
      </c>
      <c r="N678" s="12">
        <v>2719.5299999999902</v>
      </c>
      <c r="O678" s="10">
        <v>21.999999999999901</v>
      </c>
      <c r="P678" s="10" t="s">
        <v>26</v>
      </c>
      <c r="Q678" s="10">
        <v>12</v>
      </c>
      <c r="R678" s="10" t="s">
        <v>27</v>
      </c>
      <c r="S678" s="14" t="str">
        <f t="shared" si="10"/>
        <v>Week 3</v>
      </c>
    </row>
    <row r="679" spans="1:19" x14ac:dyDescent="0.3">
      <c r="A679" s="15" t="s">
        <v>978</v>
      </c>
      <c r="B679" s="16">
        <v>43087</v>
      </c>
      <c r="C679" s="17" t="s">
        <v>480</v>
      </c>
      <c r="D679" s="17" t="s">
        <v>43</v>
      </c>
      <c r="E679" s="17" t="s">
        <v>191</v>
      </c>
      <c r="F679" s="18">
        <v>7</v>
      </c>
      <c r="G679" s="19">
        <v>2613</v>
      </c>
      <c r="H679" s="19">
        <v>18291</v>
      </c>
      <c r="I679" s="20">
        <v>2142.66</v>
      </c>
      <c r="J679" s="17" t="s">
        <v>54</v>
      </c>
      <c r="K679" s="17" t="s">
        <v>55</v>
      </c>
      <c r="L679" s="17" t="s">
        <v>56</v>
      </c>
      <c r="M679" s="19">
        <v>14998.619999999901</v>
      </c>
      <c r="N679" s="19">
        <v>3292.38</v>
      </c>
      <c r="O679" s="17">
        <v>18</v>
      </c>
      <c r="P679" s="17" t="s">
        <v>26</v>
      </c>
      <c r="Q679" s="17">
        <v>12</v>
      </c>
      <c r="R679" s="17" t="s">
        <v>27</v>
      </c>
      <c r="S679" s="14" t="str">
        <f t="shared" si="10"/>
        <v>Week 3</v>
      </c>
    </row>
    <row r="680" spans="1:19" x14ac:dyDescent="0.3">
      <c r="A680" s="8" t="s">
        <v>979</v>
      </c>
      <c r="B680" s="9">
        <v>43087</v>
      </c>
      <c r="C680" s="10" t="s">
        <v>311</v>
      </c>
      <c r="D680" s="10" t="s">
        <v>21</v>
      </c>
      <c r="E680" s="10" t="s">
        <v>49</v>
      </c>
      <c r="F680" s="11">
        <v>5</v>
      </c>
      <c r="G680" s="12">
        <v>917.9</v>
      </c>
      <c r="H680" s="12">
        <v>4589.5</v>
      </c>
      <c r="I680" s="13">
        <v>743.49900000000002</v>
      </c>
      <c r="J680" s="10" t="s">
        <v>32</v>
      </c>
      <c r="K680" s="10" t="s">
        <v>33</v>
      </c>
      <c r="L680" s="10" t="s">
        <v>34</v>
      </c>
      <c r="M680" s="12">
        <v>3717.4949999999999</v>
      </c>
      <c r="N680" s="12">
        <v>872.005</v>
      </c>
      <c r="O680" s="10">
        <v>19</v>
      </c>
      <c r="P680" s="10" t="s">
        <v>26</v>
      </c>
      <c r="Q680" s="10">
        <v>12</v>
      </c>
      <c r="R680" s="10" t="s">
        <v>27</v>
      </c>
      <c r="S680" s="14" t="str">
        <f t="shared" si="10"/>
        <v>Week 3</v>
      </c>
    </row>
    <row r="681" spans="1:19" x14ac:dyDescent="0.3">
      <c r="A681" s="15" t="s">
        <v>980</v>
      </c>
      <c r="B681" s="16">
        <v>43087</v>
      </c>
      <c r="C681" s="17" t="s">
        <v>703</v>
      </c>
      <c r="D681" s="17" t="s">
        <v>21</v>
      </c>
      <c r="E681" s="17" t="s">
        <v>103</v>
      </c>
      <c r="F681" s="18">
        <v>12</v>
      </c>
      <c r="G681" s="19">
        <v>964.8</v>
      </c>
      <c r="H681" s="19">
        <v>11577.599999999999</v>
      </c>
      <c r="I681" s="20">
        <v>549.93600000000004</v>
      </c>
      <c r="J681" s="17" t="s">
        <v>23</v>
      </c>
      <c r="K681" s="17" t="s">
        <v>24</v>
      </c>
      <c r="L681" s="17" t="s">
        <v>25</v>
      </c>
      <c r="M681" s="19">
        <v>6599.232</v>
      </c>
      <c r="N681" s="19">
        <v>4978.3680000000004</v>
      </c>
      <c r="O681" s="17">
        <v>43</v>
      </c>
      <c r="P681" s="17" t="s">
        <v>26</v>
      </c>
      <c r="Q681" s="17">
        <v>12</v>
      </c>
      <c r="R681" s="17" t="s">
        <v>27</v>
      </c>
      <c r="S681" s="14" t="str">
        <f t="shared" si="10"/>
        <v>Week 3</v>
      </c>
    </row>
    <row r="682" spans="1:19" x14ac:dyDescent="0.3">
      <c r="A682" s="8" t="s">
        <v>981</v>
      </c>
      <c r="B682" s="9">
        <v>43087</v>
      </c>
      <c r="C682" s="10" t="s">
        <v>145</v>
      </c>
      <c r="D682" s="10" t="s">
        <v>21</v>
      </c>
      <c r="E682" s="10" t="s">
        <v>103</v>
      </c>
      <c r="F682" s="11">
        <v>9</v>
      </c>
      <c r="G682" s="12">
        <v>1005</v>
      </c>
      <c r="H682" s="12">
        <v>9045</v>
      </c>
      <c r="I682" s="13">
        <v>452.25</v>
      </c>
      <c r="J682" s="10" t="s">
        <v>38</v>
      </c>
      <c r="K682" s="10" t="s">
        <v>39</v>
      </c>
      <c r="L682" s="10" t="s">
        <v>40</v>
      </c>
      <c r="M682" s="12">
        <v>4070.25</v>
      </c>
      <c r="N682" s="12">
        <v>4974.75</v>
      </c>
      <c r="O682" s="10">
        <v>55</v>
      </c>
      <c r="P682" s="10" t="s">
        <v>26</v>
      </c>
      <c r="Q682" s="10">
        <v>12</v>
      </c>
      <c r="R682" s="10" t="s">
        <v>27</v>
      </c>
      <c r="S682" s="14" t="str">
        <f t="shared" si="10"/>
        <v>Week 3</v>
      </c>
    </row>
    <row r="683" spans="1:19" x14ac:dyDescent="0.3">
      <c r="A683" s="15" t="s">
        <v>982</v>
      </c>
      <c r="B683" s="16">
        <v>43087</v>
      </c>
      <c r="C683" s="17" t="s">
        <v>251</v>
      </c>
      <c r="D683" s="17" t="s">
        <v>43</v>
      </c>
      <c r="E683" s="17" t="s">
        <v>37</v>
      </c>
      <c r="F683" s="18">
        <v>11</v>
      </c>
      <c r="G683" s="19">
        <v>1896.1</v>
      </c>
      <c r="H683" s="19">
        <v>20857.099999999999</v>
      </c>
      <c r="I683" s="20">
        <v>777.40099999999995</v>
      </c>
      <c r="J683" s="17" t="s">
        <v>54</v>
      </c>
      <c r="K683" s="17" t="s">
        <v>55</v>
      </c>
      <c r="L683" s="17" t="s">
        <v>56</v>
      </c>
      <c r="M683" s="19">
        <v>8551.4110000000001</v>
      </c>
      <c r="N683" s="19">
        <v>12305.689</v>
      </c>
      <c r="O683" s="17">
        <v>59</v>
      </c>
      <c r="P683" s="17" t="s">
        <v>26</v>
      </c>
      <c r="Q683" s="17">
        <v>12</v>
      </c>
      <c r="R683" s="17" t="s">
        <v>27</v>
      </c>
      <c r="S683" s="14" t="str">
        <f t="shared" si="10"/>
        <v>Week 3</v>
      </c>
    </row>
    <row r="684" spans="1:19" x14ac:dyDescent="0.3">
      <c r="A684" s="8" t="s">
        <v>983</v>
      </c>
      <c r="B684" s="9">
        <v>43087</v>
      </c>
      <c r="C684" s="10" t="s">
        <v>264</v>
      </c>
      <c r="D684" s="10" t="s">
        <v>21</v>
      </c>
      <c r="E684" s="10" t="s">
        <v>306</v>
      </c>
      <c r="F684" s="11">
        <v>6</v>
      </c>
      <c r="G684" s="12">
        <v>6009.9</v>
      </c>
      <c r="H684" s="12">
        <v>36059.399999999994</v>
      </c>
      <c r="I684" s="13">
        <v>4928.1180000000004</v>
      </c>
      <c r="J684" s="10" t="s">
        <v>23</v>
      </c>
      <c r="K684" s="10" t="s">
        <v>24</v>
      </c>
      <c r="L684" s="10" t="s">
        <v>25</v>
      </c>
      <c r="M684" s="12">
        <v>29568.707999999999</v>
      </c>
      <c r="N684" s="12">
        <v>6490.69199999999</v>
      </c>
      <c r="O684" s="10">
        <v>17.999999999999901</v>
      </c>
      <c r="P684" s="10" t="s">
        <v>26</v>
      </c>
      <c r="Q684" s="10">
        <v>12</v>
      </c>
      <c r="R684" s="10" t="s">
        <v>27</v>
      </c>
      <c r="S684" s="14" t="str">
        <f t="shared" si="10"/>
        <v>Week 3</v>
      </c>
    </row>
    <row r="685" spans="1:19" x14ac:dyDescent="0.3">
      <c r="A685" s="15" t="s">
        <v>984</v>
      </c>
      <c r="B685" s="16">
        <v>43087</v>
      </c>
      <c r="C685" s="17" t="s">
        <v>249</v>
      </c>
      <c r="D685" s="17" t="s">
        <v>21</v>
      </c>
      <c r="E685" s="17" t="s">
        <v>93</v>
      </c>
      <c r="F685" s="18">
        <v>5</v>
      </c>
      <c r="G685" s="19">
        <v>2438.8000000000002</v>
      </c>
      <c r="H685" s="19">
        <v>12194</v>
      </c>
      <c r="I685" s="20">
        <v>1926.652</v>
      </c>
      <c r="J685" s="17" t="s">
        <v>50</v>
      </c>
      <c r="K685" s="17" t="s">
        <v>51</v>
      </c>
      <c r="L685" s="17" t="s">
        <v>40</v>
      </c>
      <c r="M685" s="19">
        <v>9633.26</v>
      </c>
      <c r="N685" s="19">
        <v>2560.7399999999898</v>
      </c>
      <c r="O685" s="17">
        <v>20.999999999999901</v>
      </c>
      <c r="P685" s="17" t="s">
        <v>26</v>
      </c>
      <c r="Q685" s="17">
        <v>12</v>
      </c>
      <c r="R685" s="17" t="s">
        <v>27</v>
      </c>
      <c r="S685" s="14" t="str">
        <f t="shared" si="10"/>
        <v>Week 3</v>
      </c>
    </row>
    <row r="686" spans="1:19" x14ac:dyDescent="0.3">
      <c r="A686" s="8" t="s">
        <v>985</v>
      </c>
      <c r="B686" s="9">
        <v>43087</v>
      </c>
      <c r="C686" s="10" t="s">
        <v>912</v>
      </c>
      <c r="D686" s="10" t="s">
        <v>21</v>
      </c>
      <c r="E686" s="10" t="s">
        <v>31</v>
      </c>
      <c r="F686" s="11">
        <v>10</v>
      </c>
      <c r="G686" s="12">
        <v>1313.2</v>
      </c>
      <c r="H686" s="12">
        <v>13132</v>
      </c>
      <c r="I686" s="13">
        <v>945.50400000000002</v>
      </c>
      <c r="J686" s="10" t="s">
        <v>83</v>
      </c>
      <c r="K686" s="10" t="s">
        <v>84</v>
      </c>
      <c r="L686" s="10" t="s">
        <v>34</v>
      </c>
      <c r="M686" s="12">
        <v>9455.0400000000009</v>
      </c>
      <c r="N686" s="12">
        <v>3676.95999999999</v>
      </c>
      <c r="O686" s="10">
        <v>27.999999999999901</v>
      </c>
      <c r="P686" s="10" t="s">
        <v>26</v>
      </c>
      <c r="Q686" s="10">
        <v>12</v>
      </c>
      <c r="R686" s="10" t="s">
        <v>27</v>
      </c>
      <c r="S686" s="14" t="str">
        <f t="shared" si="10"/>
        <v>Week 3</v>
      </c>
    </row>
    <row r="687" spans="1:19" x14ac:dyDescent="0.3">
      <c r="A687" s="15" t="s">
        <v>986</v>
      </c>
      <c r="B687" s="16">
        <v>43087</v>
      </c>
      <c r="C687" s="17" t="s">
        <v>286</v>
      </c>
      <c r="D687" s="17" t="s">
        <v>30</v>
      </c>
      <c r="E687" s="17" t="s">
        <v>103</v>
      </c>
      <c r="F687" s="18">
        <v>9</v>
      </c>
      <c r="G687" s="19">
        <v>3691.7</v>
      </c>
      <c r="H687" s="19">
        <v>33225.299999999996</v>
      </c>
      <c r="I687" s="20">
        <v>2104.2689999999998</v>
      </c>
      <c r="J687" s="17" t="s">
        <v>38</v>
      </c>
      <c r="K687" s="17" t="s">
        <v>39</v>
      </c>
      <c r="L687" s="17" t="s">
        <v>40</v>
      </c>
      <c r="M687" s="19">
        <v>18938.420999999998</v>
      </c>
      <c r="N687" s="19">
        <v>14286.879000000001</v>
      </c>
      <c r="O687" s="17">
        <v>43</v>
      </c>
      <c r="P687" s="17" t="s">
        <v>26</v>
      </c>
      <c r="Q687" s="17">
        <v>12</v>
      </c>
      <c r="R687" s="17" t="s">
        <v>27</v>
      </c>
      <c r="S687" s="14" t="str">
        <f t="shared" si="10"/>
        <v>Week 3</v>
      </c>
    </row>
    <row r="688" spans="1:19" x14ac:dyDescent="0.3">
      <c r="A688" s="8" t="s">
        <v>987</v>
      </c>
      <c r="B688" s="9">
        <v>43087</v>
      </c>
      <c r="C688" s="10" t="s">
        <v>514</v>
      </c>
      <c r="D688" s="10" t="s">
        <v>43</v>
      </c>
      <c r="E688" s="10" t="s">
        <v>149</v>
      </c>
      <c r="F688" s="11">
        <v>10</v>
      </c>
      <c r="G688" s="12">
        <v>4006.6</v>
      </c>
      <c r="H688" s="12">
        <v>40066</v>
      </c>
      <c r="I688" s="13">
        <v>1762.904</v>
      </c>
      <c r="J688" s="10" t="s">
        <v>32</v>
      </c>
      <c r="K688" s="10" t="s">
        <v>33</v>
      </c>
      <c r="L688" s="10" t="s">
        <v>34</v>
      </c>
      <c r="M688" s="12">
        <v>17629.04</v>
      </c>
      <c r="N688" s="12">
        <v>22436.959999999999</v>
      </c>
      <c r="O688" s="10">
        <v>55.999999999999901</v>
      </c>
      <c r="P688" s="10" t="s">
        <v>26</v>
      </c>
      <c r="Q688" s="10">
        <v>12</v>
      </c>
      <c r="R688" s="10" t="s">
        <v>27</v>
      </c>
      <c r="S688" s="14" t="str">
        <f t="shared" si="10"/>
        <v>Week 3</v>
      </c>
    </row>
    <row r="689" spans="1:19" x14ac:dyDescent="0.3">
      <c r="A689" s="15" t="s">
        <v>988</v>
      </c>
      <c r="B689" s="16">
        <v>43087</v>
      </c>
      <c r="C689" s="17" t="s">
        <v>448</v>
      </c>
      <c r="D689" s="17" t="s">
        <v>30</v>
      </c>
      <c r="E689" s="17" t="s">
        <v>62</v>
      </c>
      <c r="F689" s="18">
        <v>11</v>
      </c>
      <c r="G689" s="19">
        <v>917.9</v>
      </c>
      <c r="H689" s="19">
        <v>10096.9</v>
      </c>
      <c r="I689" s="20">
        <v>706.78300000000002</v>
      </c>
      <c r="J689" s="17" t="s">
        <v>54</v>
      </c>
      <c r="K689" s="17" t="s">
        <v>55</v>
      </c>
      <c r="L689" s="17" t="s">
        <v>56</v>
      </c>
      <c r="M689" s="19">
        <v>7774.6130000000003</v>
      </c>
      <c r="N689" s="19">
        <v>2322.2869999999898</v>
      </c>
      <c r="O689" s="17">
        <v>22.999999999999901</v>
      </c>
      <c r="P689" s="17" t="s">
        <v>26</v>
      </c>
      <c r="Q689" s="17">
        <v>12</v>
      </c>
      <c r="R689" s="17" t="s">
        <v>27</v>
      </c>
      <c r="S689" s="14" t="str">
        <f t="shared" si="10"/>
        <v>Week 3</v>
      </c>
    </row>
    <row r="690" spans="1:19" x14ac:dyDescent="0.3">
      <c r="A690" s="8" t="s">
        <v>989</v>
      </c>
      <c r="B690" s="9">
        <v>43087</v>
      </c>
      <c r="C690" s="10" t="s">
        <v>304</v>
      </c>
      <c r="D690" s="10" t="s">
        <v>21</v>
      </c>
      <c r="E690" s="10" t="s">
        <v>37</v>
      </c>
      <c r="F690" s="11">
        <v>12</v>
      </c>
      <c r="G690" s="12">
        <v>1139</v>
      </c>
      <c r="H690" s="12">
        <v>13668</v>
      </c>
      <c r="I690" s="13">
        <v>569.5</v>
      </c>
      <c r="J690" s="10" t="s">
        <v>436</v>
      </c>
      <c r="K690" s="10" t="s">
        <v>437</v>
      </c>
      <c r="L690" s="10" t="s">
        <v>25</v>
      </c>
      <c r="M690" s="12">
        <v>6834</v>
      </c>
      <c r="N690" s="12">
        <v>6834</v>
      </c>
      <c r="O690" s="10">
        <v>50</v>
      </c>
      <c r="P690" s="10" t="s">
        <v>26</v>
      </c>
      <c r="Q690" s="10">
        <v>12</v>
      </c>
      <c r="R690" s="10" t="s">
        <v>27</v>
      </c>
      <c r="S690" s="14" t="str">
        <f t="shared" si="10"/>
        <v>Week 3</v>
      </c>
    </row>
    <row r="691" spans="1:19" x14ac:dyDescent="0.3">
      <c r="A691" s="15" t="s">
        <v>759</v>
      </c>
      <c r="B691" s="16">
        <v>43087</v>
      </c>
      <c r="C691" s="17" t="s">
        <v>211</v>
      </c>
      <c r="D691" s="17" t="s">
        <v>30</v>
      </c>
      <c r="E691" s="17" t="s">
        <v>37</v>
      </c>
      <c r="F691" s="18">
        <v>6</v>
      </c>
      <c r="G691" s="19">
        <v>3832.4</v>
      </c>
      <c r="H691" s="19">
        <v>22994.400000000001</v>
      </c>
      <c r="I691" s="20">
        <v>3104.2440000000001</v>
      </c>
      <c r="J691" s="17" t="s">
        <v>225</v>
      </c>
      <c r="K691" s="17" t="s">
        <v>226</v>
      </c>
      <c r="L691" s="17" t="s">
        <v>25</v>
      </c>
      <c r="M691" s="19">
        <v>18625.464</v>
      </c>
      <c r="N691" s="19">
        <v>4368.9359999999997</v>
      </c>
      <c r="O691" s="17">
        <v>19</v>
      </c>
      <c r="P691" s="17" t="s">
        <v>26</v>
      </c>
      <c r="Q691" s="17">
        <v>12</v>
      </c>
      <c r="R691" s="17" t="s">
        <v>27</v>
      </c>
      <c r="S691" s="14" t="str">
        <f t="shared" si="10"/>
        <v>Week 3</v>
      </c>
    </row>
    <row r="692" spans="1:19" x14ac:dyDescent="0.3">
      <c r="A692" s="8" t="s">
        <v>990</v>
      </c>
      <c r="B692" s="9">
        <v>43087</v>
      </c>
      <c r="C692" s="10" t="s">
        <v>72</v>
      </c>
      <c r="D692" s="10" t="s">
        <v>21</v>
      </c>
      <c r="E692" s="10" t="s">
        <v>103</v>
      </c>
      <c r="F692" s="11">
        <v>8</v>
      </c>
      <c r="G692" s="12">
        <v>194.3</v>
      </c>
      <c r="H692" s="12">
        <v>1554.4</v>
      </c>
      <c r="I692" s="13">
        <v>83.549000000000007</v>
      </c>
      <c r="J692" s="10" t="s">
        <v>177</v>
      </c>
      <c r="K692" s="10" t="s">
        <v>178</v>
      </c>
      <c r="L692" s="10" t="s">
        <v>40</v>
      </c>
      <c r="M692" s="12">
        <v>668.39200000000005</v>
      </c>
      <c r="N692" s="12">
        <v>886.00800000000004</v>
      </c>
      <c r="O692" s="10">
        <v>56.999999999999901</v>
      </c>
      <c r="P692" s="10" t="s">
        <v>26</v>
      </c>
      <c r="Q692" s="10">
        <v>12</v>
      </c>
      <c r="R692" s="10" t="s">
        <v>27</v>
      </c>
      <c r="S692" s="14" t="str">
        <f t="shared" si="10"/>
        <v>Week 3</v>
      </c>
    </row>
    <row r="693" spans="1:19" x14ac:dyDescent="0.3">
      <c r="A693" s="15" t="s">
        <v>991</v>
      </c>
      <c r="B693" s="16">
        <v>43087</v>
      </c>
      <c r="C693" s="17" t="s">
        <v>912</v>
      </c>
      <c r="D693" s="17" t="s">
        <v>21</v>
      </c>
      <c r="E693" s="17" t="s">
        <v>31</v>
      </c>
      <c r="F693" s="18">
        <v>12</v>
      </c>
      <c r="G693" s="19">
        <v>6539.2</v>
      </c>
      <c r="H693" s="19">
        <v>78470.399999999994</v>
      </c>
      <c r="I693" s="20">
        <v>3138.8159999999998</v>
      </c>
      <c r="J693" s="17" t="s">
        <v>32</v>
      </c>
      <c r="K693" s="17" t="s">
        <v>33</v>
      </c>
      <c r="L693" s="17" t="s">
        <v>34</v>
      </c>
      <c r="M693" s="19">
        <v>37665.792000000001</v>
      </c>
      <c r="N693" s="19">
        <v>40804.607999999898</v>
      </c>
      <c r="O693" s="17">
        <v>51.999999999999901</v>
      </c>
      <c r="P693" s="17" t="s">
        <v>26</v>
      </c>
      <c r="Q693" s="17">
        <v>12</v>
      </c>
      <c r="R693" s="17" t="s">
        <v>27</v>
      </c>
      <c r="S693" s="14" t="str">
        <f t="shared" si="10"/>
        <v>Week 3</v>
      </c>
    </row>
    <row r="694" spans="1:19" x14ac:dyDescent="0.3">
      <c r="A694" s="8" t="s">
        <v>992</v>
      </c>
      <c r="B694" s="9">
        <v>43087</v>
      </c>
      <c r="C694" s="10" t="s">
        <v>832</v>
      </c>
      <c r="D694" s="10" t="s">
        <v>21</v>
      </c>
      <c r="E694" s="10" t="s">
        <v>146</v>
      </c>
      <c r="F694" s="11">
        <v>7</v>
      </c>
      <c r="G694" s="12">
        <v>1902.8</v>
      </c>
      <c r="H694" s="12">
        <v>13319.6</v>
      </c>
      <c r="I694" s="13">
        <v>1427.1</v>
      </c>
      <c r="J694" s="10" t="s">
        <v>436</v>
      </c>
      <c r="K694" s="10" t="s">
        <v>437</v>
      </c>
      <c r="L694" s="10" t="s">
        <v>25</v>
      </c>
      <c r="M694" s="12">
        <v>9989.6999999999898</v>
      </c>
      <c r="N694" s="12">
        <v>3329.9</v>
      </c>
      <c r="O694" s="10">
        <v>25</v>
      </c>
      <c r="P694" s="10" t="s">
        <v>26</v>
      </c>
      <c r="Q694" s="10">
        <v>12</v>
      </c>
      <c r="R694" s="10" t="s">
        <v>27</v>
      </c>
      <c r="S694" s="14" t="str">
        <f t="shared" si="10"/>
        <v>Week 3</v>
      </c>
    </row>
    <row r="695" spans="1:19" x14ac:dyDescent="0.3">
      <c r="A695" s="15" t="s">
        <v>993</v>
      </c>
      <c r="B695" s="16">
        <v>43087</v>
      </c>
      <c r="C695" s="17" t="s">
        <v>371</v>
      </c>
      <c r="D695" s="17" t="s">
        <v>30</v>
      </c>
      <c r="E695" s="17" t="s">
        <v>31</v>
      </c>
      <c r="F695" s="18">
        <v>5</v>
      </c>
      <c r="G695" s="19">
        <v>2566.1</v>
      </c>
      <c r="H695" s="19">
        <v>12830.5</v>
      </c>
      <c r="I695" s="20">
        <v>1796.26999999999</v>
      </c>
      <c r="J695" s="17" t="s">
        <v>54</v>
      </c>
      <c r="K695" s="17" t="s">
        <v>55</v>
      </c>
      <c r="L695" s="17" t="s">
        <v>56</v>
      </c>
      <c r="M695" s="19">
        <v>8981.3499999999894</v>
      </c>
      <c r="N695" s="19">
        <v>3849.15</v>
      </c>
      <c r="O695" s="17">
        <v>30</v>
      </c>
      <c r="P695" s="17" t="s">
        <v>26</v>
      </c>
      <c r="Q695" s="17">
        <v>12</v>
      </c>
      <c r="R695" s="17" t="s">
        <v>27</v>
      </c>
      <c r="S695" s="14" t="str">
        <f t="shared" si="10"/>
        <v>Week 3</v>
      </c>
    </row>
    <row r="696" spans="1:19" x14ac:dyDescent="0.3">
      <c r="A696" s="8" t="s">
        <v>994</v>
      </c>
      <c r="B696" s="9">
        <v>43087</v>
      </c>
      <c r="C696" s="10" t="s">
        <v>297</v>
      </c>
      <c r="D696" s="10" t="s">
        <v>21</v>
      </c>
      <c r="E696" s="10" t="s">
        <v>191</v>
      </c>
      <c r="F696" s="11">
        <v>11</v>
      </c>
      <c r="G696" s="12">
        <v>1132.3</v>
      </c>
      <c r="H696" s="12">
        <v>12455.3</v>
      </c>
      <c r="I696" s="13">
        <v>713.34899999999902</v>
      </c>
      <c r="J696" s="10" t="s">
        <v>45</v>
      </c>
      <c r="K696" s="10" t="s">
        <v>46</v>
      </c>
      <c r="L696" s="10" t="s">
        <v>34</v>
      </c>
      <c r="M696" s="12">
        <v>7846.8389999999899</v>
      </c>
      <c r="N696" s="12">
        <v>4608.4610000000002</v>
      </c>
      <c r="O696" s="10">
        <v>37</v>
      </c>
      <c r="P696" s="10" t="s">
        <v>26</v>
      </c>
      <c r="Q696" s="10">
        <v>12</v>
      </c>
      <c r="R696" s="10" t="s">
        <v>27</v>
      </c>
      <c r="S696" s="14" t="str">
        <f t="shared" si="10"/>
        <v>Week 3</v>
      </c>
    </row>
    <row r="697" spans="1:19" x14ac:dyDescent="0.3">
      <c r="A697" s="15" t="s">
        <v>995</v>
      </c>
      <c r="B697" s="16">
        <v>43087</v>
      </c>
      <c r="C697" s="17" t="s">
        <v>297</v>
      </c>
      <c r="D697" s="17" t="s">
        <v>30</v>
      </c>
      <c r="E697" s="17" t="s">
        <v>37</v>
      </c>
      <c r="F697" s="18">
        <v>12</v>
      </c>
      <c r="G697" s="19">
        <v>2284.6999999999998</v>
      </c>
      <c r="H697" s="19">
        <v>27416.399999999998</v>
      </c>
      <c r="I697" s="20">
        <v>1690.6780000000001</v>
      </c>
      <c r="J697" s="17" t="s">
        <v>54</v>
      </c>
      <c r="K697" s="17" t="s">
        <v>55</v>
      </c>
      <c r="L697" s="17" t="s">
        <v>56</v>
      </c>
      <c r="M697" s="19">
        <v>20288.135999999999</v>
      </c>
      <c r="N697" s="19">
        <v>7128.2639999999901</v>
      </c>
      <c r="O697" s="17">
        <v>25.999999999999901</v>
      </c>
      <c r="P697" s="17" t="s">
        <v>26</v>
      </c>
      <c r="Q697" s="17">
        <v>12</v>
      </c>
      <c r="R697" s="17" t="s">
        <v>27</v>
      </c>
      <c r="S697" s="14" t="str">
        <f t="shared" si="10"/>
        <v>Week 3</v>
      </c>
    </row>
    <row r="698" spans="1:19" x14ac:dyDescent="0.3">
      <c r="A698" s="8" t="s">
        <v>996</v>
      </c>
      <c r="B698" s="9">
        <v>43087</v>
      </c>
      <c r="C698" s="10" t="s">
        <v>402</v>
      </c>
      <c r="D698" s="10" t="s">
        <v>21</v>
      </c>
      <c r="E698" s="10" t="s">
        <v>22</v>
      </c>
      <c r="F698" s="11">
        <v>12</v>
      </c>
      <c r="G698" s="12">
        <v>3872.6</v>
      </c>
      <c r="H698" s="12">
        <v>46471.199999999997</v>
      </c>
      <c r="I698" s="13">
        <v>1549.04</v>
      </c>
      <c r="J698" s="10" t="s">
        <v>405</v>
      </c>
      <c r="K698" s="10" t="s">
        <v>406</v>
      </c>
      <c r="L698" s="10" t="s">
        <v>56</v>
      </c>
      <c r="M698" s="12">
        <v>18588.48</v>
      </c>
      <c r="N698" s="12">
        <v>27882.719999999899</v>
      </c>
      <c r="O698" s="10">
        <v>60</v>
      </c>
      <c r="P698" s="10" t="s">
        <v>26</v>
      </c>
      <c r="Q698" s="10">
        <v>12</v>
      </c>
      <c r="R698" s="10" t="s">
        <v>27</v>
      </c>
      <c r="S698" s="14" t="str">
        <f t="shared" si="10"/>
        <v>Week 3</v>
      </c>
    </row>
    <row r="699" spans="1:19" x14ac:dyDescent="0.3">
      <c r="A699" s="15" t="s">
        <v>997</v>
      </c>
      <c r="B699" s="16">
        <v>43087</v>
      </c>
      <c r="C699" s="17" t="s">
        <v>428</v>
      </c>
      <c r="D699" s="17" t="s">
        <v>43</v>
      </c>
      <c r="E699" s="17" t="s">
        <v>230</v>
      </c>
      <c r="F699" s="18">
        <v>12</v>
      </c>
      <c r="G699" s="19">
        <v>1072</v>
      </c>
      <c r="H699" s="19">
        <v>12864</v>
      </c>
      <c r="I699" s="20">
        <v>439.52</v>
      </c>
      <c r="J699" s="17" t="s">
        <v>54</v>
      </c>
      <c r="K699" s="17" t="s">
        <v>55</v>
      </c>
      <c r="L699" s="17" t="s">
        <v>56</v>
      </c>
      <c r="M699" s="19">
        <v>5274.24</v>
      </c>
      <c r="N699" s="19">
        <v>7589.76</v>
      </c>
      <c r="O699" s="17">
        <v>59</v>
      </c>
      <c r="P699" s="17" t="s">
        <v>26</v>
      </c>
      <c r="Q699" s="17">
        <v>12</v>
      </c>
      <c r="R699" s="17" t="s">
        <v>27</v>
      </c>
      <c r="S699" s="14" t="str">
        <f t="shared" si="10"/>
        <v>Week 3</v>
      </c>
    </row>
    <row r="700" spans="1:19" x14ac:dyDescent="0.3">
      <c r="A700" s="8" t="s">
        <v>998</v>
      </c>
      <c r="B700" s="9">
        <v>43087</v>
      </c>
      <c r="C700" s="10" t="s">
        <v>321</v>
      </c>
      <c r="D700" s="10" t="s">
        <v>30</v>
      </c>
      <c r="E700" s="10" t="s">
        <v>73</v>
      </c>
      <c r="F700" s="11">
        <v>10</v>
      </c>
      <c r="G700" s="12">
        <v>3718.5</v>
      </c>
      <c r="H700" s="12">
        <v>37185</v>
      </c>
      <c r="I700" s="13">
        <v>2417.0250000000001</v>
      </c>
      <c r="J700" s="10" t="s">
        <v>225</v>
      </c>
      <c r="K700" s="10" t="s">
        <v>226</v>
      </c>
      <c r="L700" s="10" t="s">
        <v>25</v>
      </c>
      <c r="M700" s="12">
        <v>24170.25</v>
      </c>
      <c r="N700" s="12">
        <v>13014.75</v>
      </c>
      <c r="O700" s="10">
        <v>35</v>
      </c>
      <c r="P700" s="10" t="s">
        <v>26</v>
      </c>
      <c r="Q700" s="10">
        <v>12</v>
      </c>
      <c r="R700" s="10" t="s">
        <v>27</v>
      </c>
      <c r="S700" s="14" t="str">
        <f t="shared" si="10"/>
        <v>Week 3</v>
      </c>
    </row>
    <row r="701" spans="1:19" x14ac:dyDescent="0.3">
      <c r="A701" s="15" t="s">
        <v>999</v>
      </c>
      <c r="B701" s="16">
        <v>43087</v>
      </c>
      <c r="C701" s="17" t="s">
        <v>48</v>
      </c>
      <c r="D701" s="17" t="s">
        <v>21</v>
      </c>
      <c r="E701" s="17" t="s">
        <v>49</v>
      </c>
      <c r="F701" s="18">
        <v>9</v>
      </c>
      <c r="G701" s="19">
        <v>1286.4000000000001</v>
      </c>
      <c r="H701" s="19">
        <v>11577.6</v>
      </c>
      <c r="I701" s="20">
        <v>771.84</v>
      </c>
      <c r="J701" s="17" t="s">
        <v>97</v>
      </c>
      <c r="K701" s="17" t="s">
        <v>98</v>
      </c>
      <c r="L701" s="17" t="s">
        <v>56</v>
      </c>
      <c r="M701" s="19">
        <v>6946.56</v>
      </c>
      <c r="N701" s="19">
        <v>4631.04</v>
      </c>
      <c r="O701" s="17">
        <v>40</v>
      </c>
      <c r="P701" s="17" t="s">
        <v>26</v>
      </c>
      <c r="Q701" s="17">
        <v>12</v>
      </c>
      <c r="R701" s="17" t="s">
        <v>27</v>
      </c>
      <c r="S701" s="14" t="str">
        <f t="shared" si="10"/>
        <v>Week 3</v>
      </c>
    </row>
    <row r="702" spans="1:19" x14ac:dyDescent="0.3">
      <c r="A702" s="8" t="s">
        <v>1000</v>
      </c>
      <c r="B702" s="9">
        <v>43087</v>
      </c>
      <c r="C702" s="10" t="s">
        <v>810</v>
      </c>
      <c r="D702" s="10" t="s">
        <v>21</v>
      </c>
      <c r="E702" s="10" t="s">
        <v>127</v>
      </c>
      <c r="F702" s="11">
        <v>7</v>
      </c>
      <c r="G702" s="12">
        <v>241.2</v>
      </c>
      <c r="H702" s="12">
        <v>1688.3999999999999</v>
      </c>
      <c r="I702" s="13">
        <v>113.364</v>
      </c>
      <c r="J702" s="10" t="s">
        <v>38</v>
      </c>
      <c r="K702" s="10" t="s">
        <v>39</v>
      </c>
      <c r="L702" s="10" t="s">
        <v>40</v>
      </c>
      <c r="M702" s="12">
        <v>793.548</v>
      </c>
      <c r="N702" s="12">
        <v>894.85199999999998</v>
      </c>
      <c r="O702" s="10">
        <v>53</v>
      </c>
      <c r="P702" s="10" t="s">
        <v>26</v>
      </c>
      <c r="Q702" s="10">
        <v>12</v>
      </c>
      <c r="R702" s="10" t="s">
        <v>27</v>
      </c>
      <c r="S702" s="14" t="str">
        <f t="shared" si="10"/>
        <v>Week 3</v>
      </c>
    </row>
    <row r="703" spans="1:19" x14ac:dyDescent="0.3">
      <c r="A703" s="15" t="s">
        <v>1001</v>
      </c>
      <c r="B703" s="16">
        <v>43087</v>
      </c>
      <c r="C703" s="17" t="s">
        <v>194</v>
      </c>
      <c r="D703" s="17" t="s">
        <v>21</v>
      </c>
      <c r="E703" s="17" t="s">
        <v>146</v>
      </c>
      <c r="F703" s="18">
        <v>8</v>
      </c>
      <c r="G703" s="19">
        <v>3966.4</v>
      </c>
      <c r="H703" s="19">
        <v>31731.200000000001</v>
      </c>
      <c r="I703" s="20">
        <v>2300.5119999999902</v>
      </c>
      <c r="J703" s="17" t="s">
        <v>204</v>
      </c>
      <c r="K703" s="17" t="s">
        <v>205</v>
      </c>
      <c r="L703" s="17" t="s">
        <v>34</v>
      </c>
      <c r="M703" s="19">
        <v>18404.0959999999</v>
      </c>
      <c r="N703" s="19">
        <v>13327.103999999999</v>
      </c>
      <c r="O703" s="17">
        <v>42</v>
      </c>
      <c r="P703" s="17" t="s">
        <v>26</v>
      </c>
      <c r="Q703" s="17">
        <v>12</v>
      </c>
      <c r="R703" s="17" t="s">
        <v>27</v>
      </c>
      <c r="S703" s="14" t="str">
        <f t="shared" si="10"/>
        <v>Week 3</v>
      </c>
    </row>
    <row r="704" spans="1:19" x14ac:dyDescent="0.3">
      <c r="A704" s="8" t="s">
        <v>1002</v>
      </c>
      <c r="B704" s="9">
        <v>43087</v>
      </c>
      <c r="C704" s="10" t="s">
        <v>107</v>
      </c>
      <c r="D704" s="10" t="s">
        <v>21</v>
      </c>
      <c r="E704" s="10" t="s">
        <v>306</v>
      </c>
      <c r="F704" s="11">
        <v>6</v>
      </c>
      <c r="G704" s="12">
        <v>2659.9</v>
      </c>
      <c r="H704" s="12">
        <v>15959.400000000001</v>
      </c>
      <c r="I704" s="13">
        <v>1649.1379999999999</v>
      </c>
      <c r="J704" s="10" t="s">
        <v>32</v>
      </c>
      <c r="K704" s="10" t="s">
        <v>33</v>
      </c>
      <c r="L704" s="10" t="s">
        <v>34</v>
      </c>
      <c r="M704" s="12">
        <v>9894.8279999999995</v>
      </c>
      <c r="N704" s="12">
        <v>6064.5720000000001</v>
      </c>
      <c r="O704" s="10">
        <v>37.999999999999901</v>
      </c>
      <c r="P704" s="10" t="s">
        <v>26</v>
      </c>
      <c r="Q704" s="10">
        <v>12</v>
      </c>
      <c r="R704" s="10" t="s">
        <v>27</v>
      </c>
      <c r="S704" s="14" t="str">
        <f t="shared" si="10"/>
        <v>Week 3</v>
      </c>
    </row>
    <row r="705" spans="1:19" x14ac:dyDescent="0.3">
      <c r="A705" s="15" t="s">
        <v>1003</v>
      </c>
      <c r="B705" s="16">
        <v>43087</v>
      </c>
      <c r="C705" s="17" t="s">
        <v>529</v>
      </c>
      <c r="D705" s="17" t="s">
        <v>21</v>
      </c>
      <c r="E705" s="17" t="s">
        <v>110</v>
      </c>
      <c r="F705" s="18">
        <v>12</v>
      </c>
      <c r="G705" s="19">
        <v>3959.7</v>
      </c>
      <c r="H705" s="19">
        <v>47516.399999999994</v>
      </c>
      <c r="I705" s="20">
        <v>1702.671</v>
      </c>
      <c r="J705" s="17" t="s">
        <v>23</v>
      </c>
      <c r="K705" s="17" t="s">
        <v>24</v>
      </c>
      <c r="L705" s="17" t="s">
        <v>25</v>
      </c>
      <c r="M705" s="19">
        <v>20432.052</v>
      </c>
      <c r="N705" s="19">
        <v>27084.348000000002</v>
      </c>
      <c r="O705" s="17">
        <v>57</v>
      </c>
      <c r="P705" s="17" t="s">
        <v>26</v>
      </c>
      <c r="Q705" s="17">
        <v>12</v>
      </c>
      <c r="R705" s="17" t="s">
        <v>27</v>
      </c>
      <c r="S705" s="14" t="str">
        <f t="shared" si="10"/>
        <v>Week 3</v>
      </c>
    </row>
    <row r="706" spans="1:19" x14ac:dyDescent="0.3">
      <c r="A706" s="8" t="s">
        <v>1004</v>
      </c>
      <c r="B706" s="9">
        <v>43087</v>
      </c>
      <c r="C706" s="10" t="s">
        <v>814</v>
      </c>
      <c r="D706" s="10" t="s">
        <v>21</v>
      </c>
      <c r="E706" s="10" t="s">
        <v>252</v>
      </c>
      <c r="F706" s="11">
        <v>9</v>
      </c>
      <c r="G706" s="12">
        <v>3839.1</v>
      </c>
      <c r="H706" s="12">
        <v>34551.9</v>
      </c>
      <c r="I706" s="13">
        <v>2956.107</v>
      </c>
      <c r="J706" s="10" t="s">
        <v>225</v>
      </c>
      <c r="K706" s="10" t="s">
        <v>226</v>
      </c>
      <c r="L706" s="10" t="s">
        <v>25</v>
      </c>
      <c r="M706" s="12">
        <v>26604.963</v>
      </c>
      <c r="N706" s="12">
        <v>7946.9369999999999</v>
      </c>
      <c r="O706" s="10">
        <v>23</v>
      </c>
      <c r="P706" s="10" t="s">
        <v>26</v>
      </c>
      <c r="Q706" s="10">
        <v>12</v>
      </c>
      <c r="R706" s="10" t="s">
        <v>27</v>
      </c>
      <c r="S706" s="14" t="str">
        <f t="shared" si="10"/>
        <v>Week 3</v>
      </c>
    </row>
    <row r="707" spans="1:19" x14ac:dyDescent="0.3">
      <c r="A707" s="15" t="s">
        <v>1005</v>
      </c>
      <c r="B707" s="16">
        <v>43087</v>
      </c>
      <c r="C707" s="17" t="s">
        <v>82</v>
      </c>
      <c r="D707" s="17" t="s">
        <v>21</v>
      </c>
      <c r="E707" s="17" t="s">
        <v>91</v>
      </c>
      <c r="F707" s="18">
        <v>12</v>
      </c>
      <c r="G707" s="19">
        <v>3879.3</v>
      </c>
      <c r="H707" s="19">
        <v>46551.600000000006</v>
      </c>
      <c r="I707" s="20">
        <v>3103.44</v>
      </c>
      <c r="J707" s="17" t="s">
        <v>614</v>
      </c>
      <c r="K707" s="17" t="s">
        <v>615</v>
      </c>
      <c r="L707" s="17" t="s">
        <v>34</v>
      </c>
      <c r="M707" s="19">
        <v>37241.279999999999</v>
      </c>
      <c r="N707" s="19">
        <v>9310.32</v>
      </c>
      <c r="O707" s="17">
        <v>19.999999999999901</v>
      </c>
      <c r="P707" s="17" t="s">
        <v>26</v>
      </c>
      <c r="Q707" s="17">
        <v>12</v>
      </c>
      <c r="R707" s="17" t="s">
        <v>27</v>
      </c>
      <c r="S707" s="14" t="str">
        <f t="shared" ref="S707:S770" si="11">"Week "&amp;INT((DAY(B707)-1)/7)+1</f>
        <v>Week 3</v>
      </c>
    </row>
    <row r="708" spans="1:19" x14ac:dyDescent="0.3">
      <c r="A708" s="8" t="s">
        <v>1006</v>
      </c>
      <c r="B708" s="9">
        <v>43087</v>
      </c>
      <c r="C708" s="10" t="s">
        <v>695</v>
      </c>
      <c r="D708" s="10" t="s">
        <v>21</v>
      </c>
      <c r="E708" s="10" t="s">
        <v>103</v>
      </c>
      <c r="F708" s="11">
        <v>7</v>
      </c>
      <c r="G708" s="12">
        <v>2211</v>
      </c>
      <c r="H708" s="12">
        <v>15477</v>
      </c>
      <c r="I708" s="13">
        <v>1392.93</v>
      </c>
      <c r="J708" s="10" t="s">
        <v>212</v>
      </c>
      <c r="K708" s="10" t="s">
        <v>213</v>
      </c>
      <c r="L708" s="10" t="s">
        <v>34</v>
      </c>
      <c r="M708" s="12">
        <v>9750.51</v>
      </c>
      <c r="N708" s="12">
        <v>5726.49</v>
      </c>
      <c r="O708" s="10">
        <v>37</v>
      </c>
      <c r="P708" s="10" t="s">
        <v>26</v>
      </c>
      <c r="Q708" s="10">
        <v>12</v>
      </c>
      <c r="R708" s="10" t="s">
        <v>27</v>
      </c>
      <c r="S708" s="14" t="str">
        <f t="shared" si="11"/>
        <v>Week 3</v>
      </c>
    </row>
    <row r="709" spans="1:19" x14ac:dyDescent="0.3">
      <c r="A709" s="15" t="s">
        <v>1007</v>
      </c>
      <c r="B709" s="16">
        <v>43087</v>
      </c>
      <c r="C709" s="17" t="s">
        <v>107</v>
      </c>
      <c r="D709" s="17" t="s">
        <v>21</v>
      </c>
      <c r="E709" s="17" t="s">
        <v>80</v>
      </c>
      <c r="F709" s="18">
        <v>5</v>
      </c>
      <c r="G709" s="19">
        <v>3839.1</v>
      </c>
      <c r="H709" s="19">
        <v>19195.5</v>
      </c>
      <c r="I709" s="20">
        <v>1689.204</v>
      </c>
      <c r="J709" s="17" t="s">
        <v>76</v>
      </c>
      <c r="K709" s="17" t="s">
        <v>77</v>
      </c>
      <c r="L709" s="17" t="s">
        <v>56</v>
      </c>
      <c r="M709" s="19">
        <v>8446.02</v>
      </c>
      <c r="N709" s="19">
        <v>10749.48</v>
      </c>
      <c r="O709" s="17">
        <v>55.999999999999901</v>
      </c>
      <c r="P709" s="17" t="s">
        <v>26</v>
      </c>
      <c r="Q709" s="17">
        <v>12</v>
      </c>
      <c r="R709" s="17" t="s">
        <v>27</v>
      </c>
      <c r="S709" s="14" t="str">
        <f t="shared" si="11"/>
        <v>Week 3</v>
      </c>
    </row>
    <row r="710" spans="1:19" x14ac:dyDescent="0.3">
      <c r="A710" s="8" t="s">
        <v>1008</v>
      </c>
      <c r="B710" s="9">
        <v>43087</v>
      </c>
      <c r="C710" s="10" t="s">
        <v>389</v>
      </c>
      <c r="D710" s="10" t="s">
        <v>21</v>
      </c>
      <c r="E710" s="10" t="s">
        <v>31</v>
      </c>
      <c r="F710" s="11">
        <v>12</v>
      </c>
      <c r="G710" s="12">
        <v>2572.8000000000002</v>
      </c>
      <c r="H710" s="12">
        <v>30873.600000000002</v>
      </c>
      <c r="I710" s="13">
        <v>1312.1279999999999</v>
      </c>
      <c r="J710" s="10" t="s">
        <v>54</v>
      </c>
      <c r="K710" s="10" t="s">
        <v>55</v>
      </c>
      <c r="L710" s="10" t="s">
        <v>56</v>
      </c>
      <c r="M710" s="12">
        <v>15745.536</v>
      </c>
      <c r="N710" s="12">
        <v>15128.064</v>
      </c>
      <c r="O710" s="10">
        <v>49</v>
      </c>
      <c r="P710" s="10" t="s">
        <v>26</v>
      </c>
      <c r="Q710" s="10">
        <v>12</v>
      </c>
      <c r="R710" s="10" t="s">
        <v>27</v>
      </c>
      <c r="S710" s="14" t="str">
        <f t="shared" si="11"/>
        <v>Week 3</v>
      </c>
    </row>
    <row r="711" spans="1:19" x14ac:dyDescent="0.3">
      <c r="A711" s="15" t="s">
        <v>1009</v>
      </c>
      <c r="B711" s="16">
        <v>43087</v>
      </c>
      <c r="C711" s="17" t="s">
        <v>199</v>
      </c>
      <c r="D711" s="17" t="s">
        <v>21</v>
      </c>
      <c r="E711" s="17" t="s">
        <v>31</v>
      </c>
      <c r="F711" s="18">
        <v>8</v>
      </c>
      <c r="G711" s="19">
        <v>750.4</v>
      </c>
      <c r="H711" s="19">
        <v>6003.2</v>
      </c>
      <c r="I711" s="20">
        <v>637.83999999999901</v>
      </c>
      <c r="J711" s="17" t="s">
        <v>104</v>
      </c>
      <c r="K711" s="17" t="s">
        <v>105</v>
      </c>
      <c r="L711" s="17" t="s">
        <v>25</v>
      </c>
      <c r="M711" s="19">
        <v>5102.7199999999903</v>
      </c>
      <c r="N711" s="19">
        <v>900.48</v>
      </c>
      <c r="O711" s="17">
        <v>15</v>
      </c>
      <c r="P711" s="17" t="s">
        <v>26</v>
      </c>
      <c r="Q711" s="17">
        <v>12</v>
      </c>
      <c r="R711" s="17" t="s">
        <v>27</v>
      </c>
      <c r="S711" s="14" t="str">
        <f t="shared" si="11"/>
        <v>Week 3</v>
      </c>
    </row>
    <row r="712" spans="1:19" x14ac:dyDescent="0.3">
      <c r="A712" s="8" t="s">
        <v>1010</v>
      </c>
      <c r="B712" s="9">
        <v>43087</v>
      </c>
      <c r="C712" s="10" t="s">
        <v>221</v>
      </c>
      <c r="D712" s="10" t="s">
        <v>30</v>
      </c>
      <c r="E712" s="10" t="s">
        <v>127</v>
      </c>
      <c r="F712" s="11">
        <v>5</v>
      </c>
      <c r="G712" s="12">
        <v>1721.9</v>
      </c>
      <c r="H712" s="12">
        <v>8609.5</v>
      </c>
      <c r="I712" s="13">
        <v>1050.3589999999999</v>
      </c>
      <c r="J712" s="10" t="s">
        <v>54</v>
      </c>
      <c r="K712" s="10" t="s">
        <v>55</v>
      </c>
      <c r="L712" s="10" t="s">
        <v>56</v>
      </c>
      <c r="M712" s="12">
        <v>5251.7950000000001</v>
      </c>
      <c r="N712" s="12">
        <v>3357.7049999999999</v>
      </c>
      <c r="O712" s="10">
        <v>39</v>
      </c>
      <c r="P712" s="10" t="s">
        <v>26</v>
      </c>
      <c r="Q712" s="10">
        <v>12</v>
      </c>
      <c r="R712" s="10" t="s">
        <v>27</v>
      </c>
      <c r="S712" s="14" t="str">
        <f t="shared" si="11"/>
        <v>Week 3</v>
      </c>
    </row>
    <row r="713" spans="1:19" x14ac:dyDescent="0.3">
      <c r="A713" s="15" t="s">
        <v>1011</v>
      </c>
      <c r="B713" s="16">
        <v>43087</v>
      </c>
      <c r="C713" s="17" t="s">
        <v>288</v>
      </c>
      <c r="D713" s="17" t="s">
        <v>21</v>
      </c>
      <c r="E713" s="17" t="s">
        <v>62</v>
      </c>
      <c r="F713" s="18">
        <v>11</v>
      </c>
      <c r="G713" s="19">
        <v>247.9</v>
      </c>
      <c r="H713" s="19">
        <v>2726.9</v>
      </c>
      <c r="I713" s="20">
        <v>146.261</v>
      </c>
      <c r="J713" s="17" t="s">
        <v>76</v>
      </c>
      <c r="K713" s="17" t="s">
        <v>77</v>
      </c>
      <c r="L713" s="17" t="s">
        <v>56</v>
      </c>
      <c r="M713" s="19">
        <v>1608.8709999999901</v>
      </c>
      <c r="N713" s="19">
        <v>1118.029</v>
      </c>
      <c r="O713" s="17">
        <v>41</v>
      </c>
      <c r="P713" s="17" t="s">
        <v>26</v>
      </c>
      <c r="Q713" s="17">
        <v>12</v>
      </c>
      <c r="R713" s="17" t="s">
        <v>27</v>
      </c>
      <c r="S713" s="14" t="str">
        <f t="shared" si="11"/>
        <v>Week 3</v>
      </c>
    </row>
    <row r="714" spans="1:19" x14ac:dyDescent="0.3">
      <c r="A714" s="8" t="s">
        <v>1012</v>
      </c>
      <c r="B714" s="9">
        <v>43088</v>
      </c>
      <c r="C714" s="10" t="s">
        <v>286</v>
      </c>
      <c r="D714" s="10" t="s">
        <v>30</v>
      </c>
      <c r="E714" s="10" t="s">
        <v>73</v>
      </c>
      <c r="F714" s="11">
        <v>11</v>
      </c>
      <c r="G714" s="12">
        <v>268</v>
      </c>
      <c r="H714" s="12">
        <v>2948</v>
      </c>
      <c r="I714" s="13">
        <v>160.79999999999899</v>
      </c>
      <c r="J714" s="10" t="s">
        <v>32</v>
      </c>
      <c r="K714" s="10" t="s">
        <v>33</v>
      </c>
      <c r="L714" s="10" t="s">
        <v>34</v>
      </c>
      <c r="M714" s="12">
        <v>1768.79999999999</v>
      </c>
      <c r="N714" s="12">
        <v>1179.2</v>
      </c>
      <c r="O714" s="10">
        <v>40</v>
      </c>
      <c r="P714" s="10" t="s">
        <v>26</v>
      </c>
      <c r="Q714" s="10">
        <v>12</v>
      </c>
      <c r="R714" s="10" t="s">
        <v>27</v>
      </c>
      <c r="S714" s="14" t="str">
        <f t="shared" si="11"/>
        <v>Week 3</v>
      </c>
    </row>
    <row r="715" spans="1:19" x14ac:dyDescent="0.3">
      <c r="A715" s="15" t="s">
        <v>1013</v>
      </c>
      <c r="B715" s="16">
        <v>43088</v>
      </c>
      <c r="C715" s="17" t="s">
        <v>843</v>
      </c>
      <c r="D715" s="17" t="s">
        <v>30</v>
      </c>
      <c r="E715" s="17" t="s">
        <v>326</v>
      </c>
      <c r="F715" s="18">
        <v>8</v>
      </c>
      <c r="G715" s="19">
        <v>6445.4</v>
      </c>
      <c r="H715" s="19">
        <v>51563.199999999997</v>
      </c>
      <c r="I715" s="20">
        <v>4705.1419999999998</v>
      </c>
      <c r="J715" s="17" t="s">
        <v>177</v>
      </c>
      <c r="K715" s="17" t="s">
        <v>178</v>
      </c>
      <c r="L715" s="17" t="s">
        <v>40</v>
      </c>
      <c r="M715" s="19">
        <v>37641.135999999999</v>
      </c>
      <c r="N715" s="19">
        <v>13922.0639999999</v>
      </c>
      <c r="O715" s="17">
        <v>26.999999999999901</v>
      </c>
      <c r="P715" s="17" t="s">
        <v>26</v>
      </c>
      <c r="Q715" s="17">
        <v>12</v>
      </c>
      <c r="R715" s="17" t="s">
        <v>27</v>
      </c>
      <c r="S715" s="14" t="str">
        <f t="shared" si="11"/>
        <v>Week 3</v>
      </c>
    </row>
    <row r="716" spans="1:19" x14ac:dyDescent="0.3">
      <c r="A716" s="8" t="s">
        <v>1014</v>
      </c>
      <c r="B716" s="9">
        <v>43088</v>
      </c>
      <c r="C716" s="10" t="s">
        <v>314</v>
      </c>
      <c r="D716" s="10" t="s">
        <v>21</v>
      </c>
      <c r="E716" s="10" t="s">
        <v>149</v>
      </c>
      <c r="F716" s="11">
        <v>12</v>
      </c>
      <c r="G716" s="12">
        <v>1011.7</v>
      </c>
      <c r="H716" s="12">
        <v>12140.400000000001</v>
      </c>
      <c r="I716" s="13">
        <v>414.796999999999</v>
      </c>
      <c r="J716" s="10" t="s">
        <v>177</v>
      </c>
      <c r="K716" s="10" t="s">
        <v>178</v>
      </c>
      <c r="L716" s="10" t="s">
        <v>40</v>
      </c>
      <c r="M716" s="12">
        <v>4977.5639999999903</v>
      </c>
      <c r="N716" s="12">
        <v>7162.8360000000002</v>
      </c>
      <c r="O716" s="10">
        <v>59</v>
      </c>
      <c r="P716" s="10" t="s">
        <v>26</v>
      </c>
      <c r="Q716" s="10">
        <v>12</v>
      </c>
      <c r="R716" s="10" t="s">
        <v>27</v>
      </c>
      <c r="S716" s="14" t="str">
        <f t="shared" si="11"/>
        <v>Week 3</v>
      </c>
    </row>
    <row r="717" spans="1:19" x14ac:dyDescent="0.3">
      <c r="A717" s="15" t="s">
        <v>1015</v>
      </c>
      <c r="B717" s="16">
        <v>43088</v>
      </c>
      <c r="C717" s="17" t="s">
        <v>806</v>
      </c>
      <c r="D717" s="17" t="s">
        <v>21</v>
      </c>
      <c r="E717" s="17" t="s">
        <v>284</v>
      </c>
      <c r="F717" s="18">
        <v>6</v>
      </c>
      <c r="G717" s="19">
        <v>254.6</v>
      </c>
      <c r="H717" s="19">
        <v>1527.6</v>
      </c>
      <c r="I717" s="20">
        <v>124.753999999999</v>
      </c>
      <c r="J717" s="17" t="s">
        <v>54</v>
      </c>
      <c r="K717" s="17" t="s">
        <v>55</v>
      </c>
      <c r="L717" s="17" t="s">
        <v>56</v>
      </c>
      <c r="M717" s="19">
        <v>748.52399999999898</v>
      </c>
      <c r="N717" s="19">
        <v>779.07600000000002</v>
      </c>
      <c r="O717" s="17">
        <v>51</v>
      </c>
      <c r="P717" s="17" t="s">
        <v>26</v>
      </c>
      <c r="Q717" s="17">
        <v>12</v>
      </c>
      <c r="R717" s="17" t="s">
        <v>27</v>
      </c>
      <c r="S717" s="14" t="str">
        <f t="shared" si="11"/>
        <v>Week 3</v>
      </c>
    </row>
    <row r="718" spans="1:19" x14ac:dyDescent="0.3">
      <c r="A718" s="8" t="s">
        <v>1016</v>
      </c>
      <c r="B718" s="9">
        <v>43088</v>
      </c>
      <c r="C718" s="10" t="s">
        <v>497</v>
      </c>
      <c r="D718" s="10" t="s">
        <v>21</v>
      </c>
      <c r="E718" s="10" t="s">
        <v>49</v>
      </c>
      <c r="F718" s="11">
        <v>5</v>
      </c>
      <c r="G718" s="12">
        <v>3845.8</v>
      </c>
      <c r="H718" s="12">
        <v>19229</v>
      </c>
      <c r="I718" s="13">
        <v>1730.61</v>
      </c>
      <c r="J718" s="10" t="s">
        <v>54</v>
      </c>
      <c r="K718" s="10" t="s">
        <v>55</v>
      </c>
      <c r="L718" s="10" t="s">
        <v>56</v>
      </c>
      <c r="M718" s="12">
        <v>8653.0499999999993</v>
      </c>
      <c r="N718" s="12">
        <v>10575.949999999901</v>
      </c>
      <c r="O718" s="10">
        <v>54.999999999999901</v>
      </c>
      <c r="P718" s="10" t="s">
        <v>26</v>
      </c>
      <c r="Q718" s="10">
        <v>12</v>
      </c>
      <c r="R718" s="10" t="s">
        <v>27</v>
      </c>
      <c r="S718" s="14" t="str">
        <f t="shared" si="11"/>
        <v>Week 3</v>
      </c>
    </row>
    <row r="719" spans="1:19" x14ac:dyDescent="0.3">
      <c r="A719" s="15" t="s">
        <v>1017</v>
      </c>
      <c r="B719" s="16">
        <v>43088</v>
      </c>
      <c r="C719" s="17" t="s">
        <v>48</v>
      </c>
      <c r="D719" s="17" t="s">
        <v>21</v>
      </c>
      <c r="E719" s="17" t="s">
        <v>49</v>
      </c>
      <c r="F719" s="18">
        <v>11</v>
      </c>
      <c r="G719" s="19">
        <v>5279.6</v>
      </c>
      <c r="H719" s="19">
        <v>58075.600000000006</v>
      </c>
      <c r="I719" s="20">
        <v>3167.76</v>
      </c>
      <c r="J719" s="17" t="s">
        <v>76</v>
      </c>
      <c r="K719" s="17" t="s">
        <v>77</v>
      </c>
      <c r="L719" s="17" t="s">
        <v>56</v>
      </c>
      <c r="M719" s="19">
        <v>34845.360000000001</v>
      </c>
      <c r="N719" s="19">
        <v>23230.240000000002</v>
      </c>
      <c r="O719" s="17">
        <v>40</v>
      </c>
      <c r="P719" s="17" t="s">
        <v>26</v>
      </c>
      <c r="Q719" s="17">
        <v>12</v>
      </c>
      <c r="R719" s="17" t="s">
        <v>27</v>
      </c>
      <c r="S719" s="14" t="str">
        <f t="shared" si="11"/>
        <v>Week 3</v>
      </c>
    </row>
    <row r="720" spans="1:19" x14ac:dyDescent="0.3">
      <c r="A720" s="8" t="s">
        <v>1018</v>
      </c>
      <c r="B720" s="9">
        <v>43088</v>
      </c>
      <c r="C720" s="10" t="s">
        <v>507</v>
      </c>
      <c r="D720" s="10" t="s">
        <v>21</v>
      </c>
      <c r="E720" s="10" t="s">
        <v>37</v>
      </c>
      <c r="F720" s="11">
        <v>12</v>
      </c>
      <c r="G720" s="12">
        <v>951.4</v>
      </c>
      <c r="H720" s="12">
        <v>11416.8</v>
      </c>
      <c r="I720" s="13">
        <v>447.15799999999899</v>
      </c>
      <c r="J720" s="10" t="s">
        <v>177</v>
      </c>
      <c r="K720" s="10" t="s">
        <v>178</v>
      </c>
      <c r="L720" s="10" t="s">
        <v>40</v>
      </c>
      <c r="M720" s="12">
        <v>5365.8959999999997</v>
      </c>
      <c r="N720" s="12">
        <v>6050.9039999999904</v>
      </c>
      <c r="O720" s="10">
        <v>53</v>
      </c>
      <c r="P720" s="10" t="s">
        <v>26</v>
      </c>
      <c r="Q720" s="10">
        <v>12</v>
      </c>
      <c r="R720" s="10" t="s">
        <v>27</v>
      </c>
      <c r="S720" s="14" t="str">
        <f t="shared" si="11"/>
        <v>Week 3</v>
      </c>
    </row>
    <row r="721" spans="1:19" x14ac:dyDescent="0.3">
      <c r="A721" s="15" t="s">
        <v>1019</v>
      </c>
      <c r="B721" s="16">
        <v>43088</v>
      </c>
      <c r="C721" s="17" t="s">
        <v>526</v>
      </c>
      <c r="D721" s="17" t="s">
        <v>21</v>
      </c>
      <c r="E721" s="17" t="s">
        <v>37</v>
      </c>
      <c r="F721" s="18">
        <v>6</v>
      </c>
      <c r="G721" s="19">
        <v>1273</v>
      </c>
      <c r="H721" s="19">
        <v>7638</v>
      </c>
      <c r="I721" s="20">
        <v>789.26</v>
      </c>
      <c r="J721" s="17" t="s">
        <v>45</v>
      </c>
      <c r="K721" s="17" t="s">
        <v>46</v>
      </c>
      <c r="L721" s="17" t="s">
        <v>34</v>
      </c>
      <c r="M721" s="19">
        <v>4735.5599999999904</v>
      </c>
      <c r="N721" s="19">
        <v>2902.44</v>
      </c>
      <c r="O721" s="17">
        <v>38</v>
      </c>
      <c r="P721" s="17" t="s">
        <v>26</v>
      </c>
      <c r="Q721" s="17">
        <v>12</v>
      </c>
      <c r="R721" s="17" t="s">
        <v>27</v>
      </c>
      <c r="S721" s="14" t="str">
        <f t="shared" si="11"/>
        <v>Week 3</v>
      </c>
    </row>
    <row r="722" spans="1:19" x14ac:dyDescent="0.3">
      <c r="A722" s="8" t="s">
        <v>1020</v>
      </c>
      <c r="B722" s="9">
        <v>43088</v>
      </c>
      <c r="C722" s="10" t="s">
        <v>618</v>
      </c>
      <c r="D722" s="10" t="s">
        <v>43</v>
      </c>
      <c r="E722" s="10" t="s">
        <v>146</v>
      </c>
      <c r="F722" s="11">
        <v>5</v>
      </c>
      <c r="G722" s="12">
        <v>3819</v>
      </c>
      <c r="H722" s="12">
        <v>19095</v>
      </c>
      <c r="I722" s="13">
        <v>2864.25</v>
      </c>
      <c r="J722" s="10" t="s">
        <v>54</v>
      </c>
      <c r="K722" s="10" t="s">
        <v>55</v>
      </c>
      <c r="L722" s="10" t="s">
        <v>56</v>
      </c>
      <c r="M722" s="12">
        <v>14321.25</v>
      </c>
      <c r="N722" s="12">
        <v>4773.75</v>
      </c>
      <c r="O722" s="10">
        <v>25</v>
      </c>
      <c r="P722" s="10" t="s">
        <v>26</v>
      </c>
      <c r="Q722" s="10">
        <v>12</v>
      </c>
      <c r="R722" s="10" t="s">
        <v>27</v>
      </c>
      <c r="S722" s="14" t="str">
        <f t="shared" si="11"/>
        <v>Week 3</v>
      </c>
    </row>
    <row r="723" spans="1:19" x14ac:dyDescent="0.3">
      <c r="A723" s="15" t="s">
        <v>1021</v>
      </c>
      <c r="B723" s="16">
        <v>43088</v>
      </c>
      <c r="C723" s="17" t="s">
        <v>374</v>
      </c>
      <c r="D723" s="17" t="s">
        <v>21</v>
      </c>
      <c r="E723" s="17" t="s">
        <v>110</v>
      </c>
      <c r="F723" s="18">
        <v>6</v>
      </c>
      <c r="G723" s="19">
        <v>1802.3</v>
      </c>
      <c r="H723" s="19">
        <v>10813.8</v>
      </c>
      <c r="I723" s="20">
        <v>1315.6789999999901</v>
      </c>
      <c r="J723" s="17" t="s">
        <v>54</v>
      </c>
      <c r="K723" s="17" t="s">
        <v>55</v>
      </c>
      <c r="L723" s="17" t="s">
        <v>56</v>
      </c>
      <c r="M723" s="19">
        <v>7894.0739999999896</v>
      </c>
      <c r="N723" s="19">
        <v>2919.7260000000001</v>
      </c>
      <c r="O723" s="17">
        <v>27</v>
      </c>
      <c r="P723" s="17" t="s">
        <v>26</v>
      </c>
      <c r="Q723" s="17">
        <v>12</v>
      </c>
      <c r="R723" s="17" t="s">
        <v>27</v>
      </c>
      <c r="S723" s="14" t="str">
        <f t="shared" si="11"/>
        <v>Week 3</v>
      </c>
    </row>
    <row r="724" spans="1:19" x14ac:dyDescent="0.3">
      <c r="A724" s="8" t="s">
        <v>1022</v>
      </c>
      <c r="B724" s="9">
        <v>43088</v>
      </c>
      <c r="C724" s="10" t="s">
        <v>843</v>
      </c>
      <c r="D724" s="10" t="s">
        <v>21</v>
      </c>
      <c r="E724" s="10" t="s">
        <v>31</v>
      </c>
      <c r="F724" s="11">
        <v>7</v>
      </c>
      <c r="G724" s="12">
        <v>3028.4</v>
      </c>
      <c r="H724" s="12">
        <v>21198.799999999999</v>
      </c>
      <c r="I724" s="13">
        <v>1756.472</v>
      </c>
      <c r="J724" s="10" t="s">
        <v>94</v>
      </c>
      <c r="K724" s="10" t="s">
        <v>95</v>
      </c>
      <c r="L724" s="10" t="s">
        <v>40</v>
      </c>
      <c r="M724" s="12">
        <v>12295.304</v>
      </c>
      <c r="N724" s="12">
        <v>8903.4959999999992</v>
      </c>
      <c r="O724" s="10">
        <v>42</v>
      </c>
      <c r="P724" s="10" t="s">
        <v>26</v>
      </c>
      <c r="Q724" s="10">
        <v>12</v>
      </c>
      <c r="R724" s="10" t="s">
        <v>27</v>
      </c>
      <c r="S724" s="14" t="str">
        <f t="shared" si="11"/>
        <v>Week 3</v>
      </c>
    </row>
    <row r="725" spans="1:19" x14ac:dyDescent="0.3">
      <c r="A725" s="15" t="s">
        <v>1023</v>
      </c>
      <c r="B725" s="16">
        <v>43088</v>
      </c>
      <c r="C725" s="17" t="s">
        <v>68</v>
      </c>
      <c r="D725" s="17" t="s">
        <v>21</v>
      </c>
      <c r="E725" s="17" t="s">
        <v>73</v>
      </c>
      <c r="F725" s="18">
        <v>5</v>
      </c>
      <c r="G725" s="19">
        <v>830.8</v>
      </c>
      <c r="H725" s="19">
        <v>4154</v>
      </c>
      <c r="I725" s="20">
        <v>440.32400000000001</v>
      </c>
      <c r="J725" s="17" t="s">
        <v>97</v>
      </c>
      <c r="K725" s="17" t="s">
        <v>98</v>
      </c>
      <c r="L725" s="17" t="s">
        <v>56</v>
      </c>
      <c r="M725" s="19">
        <v>2201.62</v>
      </c>
      <c r="N725" s="19">
        <v>1952.3799999999901</v>
      </c>
      <c r="O725" s="17">
        <v>46.999999999999901</v>
      </c>
      <c r="P725" s="17" t="s">
        <v>26</v>
      </c>
      <c r="Q725" s="17">
        <v>12</v>
      </c>
      <c r="R725" s="17" t="s">
        <v>27</v>
      </c>
      <c r="S725" s="14" t="str">
        <f t="shared" si="11"/>
        <v>Week 3</v>
      </c>
    </row>
    <row r="726" spans="1:19" x14ac:dyDescent="0.3">
      <c r="A726" s="8" t="s">
        <v>1024</v>
      </c>
      <c r="B726" s="9">
        <v>43088</v>
      </c>
      <c r="C726" s="10" t="s">
        <v>273</v>
      </c>
      <c r="D726" s="10" t="s">
        <v>43</v>
      </c>
      <c r="E726" s="10" t="s">
        <v>197</v>
      </c>
      <c r="F726" s="11">
        <v>7</v>
      </c>
      <c r="G726" s="12">
        <v>991.6</v>
      </c>
      <c r="H726" s="12">
        <v>6941.2</v>
      </c>
      <c r="I726" s="13">
        <v>664.37199999999996</v>
      </c>
      <c r="J726" s="10" t="s">
        <v>32</v>
      </c>
      <c r="K726" s="10" t="s">
        <v>33</v>
      </c>
      <c r="L726" s="10" t="s">
        <v>34</v>
      </c>
      <c r="M726" s="12">
        <v>4650.6040000000003</v>
      </c>
      <c r="N726" s="12">
        <v>2290.59599999999</v>
      </c>
      <c r="O726" s="10">
        <v>32.999999999999901</v>
      </c>
      <c r="P726" s="10" t="s">
        <v>26</v>
      </c>
      <c r="Q726" s="10">
        <v>12</v>
      </c>
      <c r="R726" s="10" t="s">
        <v>27</v>
      </c>
      <c r="S726" s="14" t="str">
        <f t="shared" si="11"/>
        <v>Week 3</v>
      </c>
    </row>
    <row r="727" spans="1:19" x14ac:dyDescent="0.3">
      <c r="A727" s="15" t="s">
        <v>1025</v>
      </c>
      <c r="B727" s="16">
        <v>43088</v>
      </c>
      <c r="C727" s="17" t="s">
        <v>299</v>
      </c>
      <c r="D727" s="17" t="s">
        <v>43</v>
      </c>
      <c r="E727" s="17" t="s">
        <v>103</v>
      </c>
      <c r="F727" s="18">
        <v>9</v>
      </c>
      <c r="G727" s="19">
        <v>2237.8000000000002</v>
      </c>
      <c r="H727" s="19">
        <v>20140.2</v>
      </c>
      <c r="I727" s="20">
        <v>984.63199999999995</v>
      </c>
      <c r="J727" s="17" t="s">
        <v>45</v>
      </c>
      <c r="K727" s="17" t="s">
        <v>46</v>
      </c>
      <c r="L727" s="17" t="s">
        <v>34</v>
      </c>
      <c r="M727" s="19">
        <v>8861.6880000000001</v>
      </c>
      <c r="N727" s="19">
        <v>11278.512000000001</v>
      </c>
      <c r="O727" s="17">
        <v>56</v>
      </c>
      <c r="P727" s="17" t="s">
        <v>26</v>
      </c>
      <c r="Q727" s="17">
        <v>12</v>
      </c>
      <c r="R727" s="17" t="s">
        <v>27</v>
      </c>
      <c r="S727" s="14" t="str">
        <f t="shared" si="11"/>
        <v>Week 3</v>
      </c>
    </row>
    <row r="728" spans="1:19" x14ac:dyDescent="0.3">
      <c r="A728" s="8" t="s">
        <v>1026</v>
      </c>
      <c r="B728" s="9">
        <v>43088</v>
      </c>
      <c r="C728" s="10" t="s">
        <v>380</v>
      </c>
      <c r="D728" s="10" t="s">
        <v>30</v>
      </c>
      <c r="E728" s="10" t="s">
        <v>326</v>
      </c>
      <c r="F728" s="11">
        <v>11</v>
      </c>
      <c r="G728" s="12">
        <v>2639.8</v>
      </c>
      <c r="H728" s="12">
        <v>29037.800000000003</v>
      </c>
      <c r="I728" s="13">
        <v>1689.472</v>
      </c>
      <c r="J728" s="10" t="s">
        <v>411</v>
      </c>
      <c r="K728" s="10" t="s">
        <v>412</v>
      </c>
      <c r="L728" s="10" t="s">
        <v>56</v>
      </c>
      <c r="M728" s="12">
        <v>18584.191999999999</v>
      </c>
      <c r="N728" s="12">
        <v>10453.608</v>
      </c>
      <c r="O728" s="10">
        <v>36</v>
      </c>
      <c r="P728" s="10" t="s">
        <v>26</v>
      </c>
      <c r="Q728" s="10">
        <v>12</v>
      </c>
      <c r="R728" s="10" t="s">
        <v>27</v>
      </c>
      <c r="S728" s="14" t="str">
        <f t="shared" si="11"/>
        <v>Week 3</v>
      </c>
    </row>
    <row r="729" spans="1:19" x14ac:dyDescent="0.3">
      <c r="A729" s="15" t="s">
        <v>527</v>
      </c>
      <c r="B729" s="16">
        <v>43088</v>
      </c>
      <c r="C729" s="17" t="s">
        <v>36</v>
      </c>
      <c r="D729" s="17" t="s">
        <v>30</v>
      </c>
      <c r="E729" s="17" t="s">
        <v>149</v>
      </c>
      <c r="F729" s="18">
        <v>5</v>
      </c>
      <c r="G729" s="19">
        <v>1038.5</v>
      </c>
      <c r="H729" s="19">
        <v>5192.5</v>
      </c>
      <c r="I729" s="20">
        <v>446.55500000000001</v>
      </c>
      <c r="J729" s="17" t="s">
        <v>177</v>
      </c>
      <c r="K729" s="17" t="s">
        <v>178</v>
      </c>
      <c r="L729" s="17" t="s">
        <v>40</v>
      </c>
      <c r="M729" s="19">
        <v>2232.7750000000001</v>
      </c>
      <c r="N729" s="19">
        <v>2959.7249999999999</v>
      </c>
      <c r="O729" s="17">
        <v>56.999999999999901</v>
      </c>
      <c r="P729" s="17" t="s">
        <v>26</v>
      </c>
      <c r="Q729" s="17">
        <v>12</v>
      </c>
      <c r="R729" s="17" t="s">
        <v>27</v>
      </c>
      <c r="S729" s="14" t="str">
        <f t="shared" si="11"/>
        <v>Week 3</v>
      </c>
    </row>
    <row r="730" spans="1:19" x14ac:dyDescent="0.3">
      <c r="A730" s="8" t="s">
        <v>1027</v>
      </c>
      <c r="B730" s="9">
        <v>43088</v>
      </c>
      <c r="C730" s="10" t="s">
        <v>640</v>
      </c>
      <c r="D730" s="10" t="s">
        <v>21</v>
      </c>
      <c r="E730" s="10" t="s">
        <v>31</v>
      </c>
      <c r="F730" s="11">
        <v>12</v>
      </c>
      <c r="G730" s="12">
        <v>2465.6</v>
      </c>
      <c r="H730" s="12">
        <v>29587.199999999997</v>
      </c>
      <c r="I730" s="13">
        <v>1799.8879999999999</v>
      </c>
      <c r="J730" s="10" t="s">
        <v>50</v>
      </c>
      <c r="K730" s="10" t="s">
        <v>51</v>
      </c>
      <c r="L730" s="10" t="s">
        <v>40</v>
      </c>
      <c r="M730" s="12">
        <v>21598.655999999999</v>
      </c>
      <c r="N730" s="12">
        <v>7988.5439999999899</v>
      </c>
      <c r="O730" s="10">
        <v>26.999999999999901</v>
      </c>
      <c r="P730" s="10" t="s">
        <v>26</v>
      </c>
      <c r="Q730" s="10">
        <v>12</v>
      </c>
      <c r="R730" s="10" t="s">
        <v>27</v>
      </c>
      <c r="S730" s="14" t="str">
        <f t="shared" si="11"/>
        <v>Week 3</v>
      </c>
    </row>
    <row r="731" spans="1:19" x14ac:dyDescent="0.3">
      <c r="A731" s="15" t="s">
        <v>1028</v>
      </c>
      <c r="B731" s="16">
        <v>43088</v>
      </c>
      <c r="C731" s="17" t="s">
        <v>356</v>
      </c>
      <c r="D731" s="17" t="s">
        <v>30</v>
      </c>
      <c r="E731" s="17" t="s">
        <v>22</v>
      </c>
      <c r="F731" s="18">
        <v>8</v>
      </c>
      <c r="G731" s="19">
        <v>1045.2</v>
      </c>
      <c r="H731" s="19">
        <v>8361.6</v>
      </c>
      <c r="I731" s="20">
        <v>710.73599999999999</v>
      </c>
      <c r="J731" s="17" t="s">
        <v>54</v>
      </c>
      <c r="K731" s="17" t="s">
        <v>55</v>
      </c>
      <c r="L731" s="17" t="s">
        <v>56</v>
      </c>
      <c r="M731" s="19">
        <v>5685.8879999999999</v>
      </c>
      <c r="N731" s="19">
        <v>2675.71199999999</v>
      </c>
      <c r="O731" s="17">
        <v>31.999999999999901</v>
      </c>
      <c r="P731" s="17" t="s">
        <v>26</v>
      </c>
      <c r="Q731" s="17">
        <v>12</v>
      </c>
      <c r="R731" s="17" t="s">
        <v>27</v>
      </c>
      <c r="S731" s="14" t="str">
        <f t="shared" si="11"/>
        <v>Week 3</v>
      </c>
    </row>
    <row r="732" spans="1:19" x14ac:dyDescent="0.3">
      <c r="A732" s="8" t="s">
        <v>1029</v>
      </c>
      <c r="B732" s="9">
        <v>43088</v>
      </c>
      <c r="C732" s="10" t="s">
        <v>209</v>
      </c>
      <c r="D732" s="10" t="s">
        <v>30</v>
      </c>
      <c r="E732" s="10" t="s">
        <v>103</v>
      </c>
      <c r="F732" s="11">
        <v>12</v>
      </c>
      <c r="G732" s="12">
        <v>5219.3</v>
      </c>
      <c r="H732" s="12">
        <v>62631.600000000006</v>
      </c>
      <c r="I732" s="13">
        <v>3444.7379999999998</v>
      </c>
      <c r="J732" s="10" t="s">
        <v>405</v>
      </c>
      <c r="K732" s="10" t="s">
        <v>406</v>
      </c>
      <c r="L732" s="10" t="s">
        <v>56</v>
      </c>
      <c r="M732" s="12">
        <v>41336.856</v>
      </c>
      <c r="N732" s="12">
        <v>21294.743999999999</v>
      </c>
      <c r="O732" s="10">
        <v>34</v>
      </c>
      <c r="P732" s="10" t="s">
        <v>26</v>
      </c>
      <c r="Q732" s="10">
        <v>12</v>
      </c>
      <c r="R732" s="10" t="s">
        <v>27</v>
      </c>
      <c r="S732" s="14" t="str">
        <f t="shared" si="11"/>
        <v>Week 3</v>
      </c>
    </row>
    <row r="733" spans="1:19" x14ac:dyDescent="0.3">
      <c r="A733" s="15" t="s">
        <v>1030</v>
      </c>
      <c r="B733" s="16">
        <v>43088</v>
      </c>
      <c r="C733" s="17" t="s">
        <v>952</v>
      </c>
      <c r="D733" s="17" t="s">
        <v>43</v>
      </c>
      <c r="E733" s="17" t="s">
        <v>103</v>
      </c>
      <c r="F733" s="18">
        <v>10</v>
      </c>
      <c r="G733" s="19">
        <v>2546</v>
      </c>
      <c r="H733" s="19">
        <v>25460</v>
      </c>
      <c r="I733" s="20">
        <v>1782.19999999999</v>
      </c>
      <c r="J733" s="17" t="s">
        <v>405</v>
      </c>
      <c r="K733" s="17" t="s">
        <v>406</v>
      </c>
      <c r="L733" s="17" t="s">
        <v>56</v>
      </c>
      <c r="M733" s="19">
        <v>17822</v>
      </c>
      <c r="N733" s="19">
        <v>7638</v>
      </c>
      <c r="O733" s="17">
        <v>30</v>
      </c>
      <c r="P733" s="17" t="s">
        <v>26</v>
      </c>
      <c r="Q733" s="17">
        <v>12</v>
      </c>
      <c r="R733" s="17" t="s">
        <v>27</v>
      </c>
      <c r="S733" s="14" t="str">
        <f t="shared" si="11"/>
        <v>Week 3</v>
      </c>
    </row>
    <row r="734" spans="1:19" x14ac:dyDescent="0.3">
      <c r="A734" s="8" t="s">
        <v>1031</v>
      </c>
      <c r="B734" s="9">
        <v>43088</v>
      </c>
      <c r="C734" s="10" t="s">
        <v>151</v>
      </c>
      <c r="D734" s="10" t="s">
        <v>30</v>
      </c>
      <c r="E734" s="10" t="s">
        <v>149</v>
      </c>
      <c r="F734" s="11">
        <v>6</v>
      </c>
      <c r="G734" s="12">
        <v>5447.1</v>
      </c>
      <c r="H734" s="12">
        <v>32682.600000000002</v>
      </c>
      <c r="I734" s="13">
        <v>2614.6080000000002</v>
      </c>
      <c r="J734" s="10" t="s">
        <v>54</v>
      </c>
      <c r="K734" s="10" t="s">
        <v>55</v>
      </c>
      <c r="L734" s="10" t="s">
        <v>56</v>
      </c>
      <c r="M734" s="12">
        <v>15687.647999999999</v>
      </c>
      <c r="N734" s="12">
        <v>16994.952000000001</v>
      </c>
      <c r="O734" s="10">
        <v>52</v>
      </c>
      <c r="P734" s="10" t="s">
        <v>26</v>
      </c>
      <c r="Q734" s="10">
        <v>12</v>
      </c>
      <c r="R734" s="10" t="s">
        <v>27</v>
      </c>
      <c r="S734" s="14" t="str">
        <f t="shared" si="11"/>
        <v>Week 3</v>
      </c>
    </row>
    <row r="735" spans="1:19" x14ac:dyDescent="0.3">
      <c r="A735" s="15" t="s">
        <v>1032</v>
      </c>
      <c r="B735" s="16">
        <v>43088</v>
      </c>
      <c r="C735" s="17" t="s">
        <v>354</v>
      </c>
      <c r="D735" s="17" t="s">
        <v>21</v>
      </c>
      <c r="E735" s="17" t="s">
        <v>167</v>
      </c>
      <c r="F735" s="18">
        <v>9</v>
      </c>
      <c r="G735" s="19">
        <v>5460.5</v>
      </c>
      <c r="H735" s="19">
        <v>49144.5</v>
      </c>
      <c r="I735" s="20">
        <v>4586.82</v>
      </c>
      <c r="J735" s="17" t="s">
        <v>54</v>
      </c>
      <c r="K735" s="17" t="s">
        <v>55</v>
      </c>
      <c r="L735" s="17" t="s">
        <v>56</v>
      </c>
      <c r="M735" s="19">
        <v>41281.379999999997</v>
      </c>
      <c r="N735" s="19">
        <v>7863.12</v>
      </c>
      <c r="O735" s="17">
        <v>16</v>
      </c>
      <c r="P735" s="17" t="s">
        <v>26</v>
      </c>
      <c r="Q735" s="17">
        <v>12</v>
      </c>
      <c r="R735" s="17" t="s">
        <v>27</v>
      </c>
      <c r="S735" s="14" t="str">
        <f t="shared" si="11"/>
        <v>Week 3</v>
      </c>
    </row>
    <row r="736" spans="1:19" x14ac:dyDescent="0.3">
      <c r="A736" s="8" t="s">
        <v>1033</v>
      </c>
      <c r="B736" s="9">
        <v>43088</v>
      </c>
      <c r="C736" s="10" t="s">
        <v>358</v>
      </c>
      <c r="D736" s="10" t="s">
        <v>30</v>
      </c>
      <c r="E736" s="10" t="s">
        <v>37</v>
      </c>
      <c r="F736" s="11">
        <v>11</v>
      </c>
      <c r="G736" s="12">
        <v>3899.4</v>
      </c>
      <c r="H736" s="12">
        <v>42893.4</v>
      </c>
      <c r="I736" s="13">
        <v>2456.6219999999998</v>
      </c>
      <c r="J736" s="10" t="s">
        <v>436</v>
      </c>
      <c r="K736" s="10" t="s">
        <v>437</v>
      </c>
      <c r="L736" s="10" t="s">
        <v>25</v>
      </c>
      <c r="M736" s="12">
        <v>27022.842000000001</v>
      </c>
      <c r="N736" s="12">
        <v>15870.557999999901</v>
      </c>
      <c r="O736" s="10">
        <v>36.999999999999901</v>
      </c>
      <c r="P736" s="10" t="s">
        <v>26</v>
      </c>
      <c r="Q736" s="10">
        <v>12</v>
      </c>
      <c r="R736" s="10" t="s">
        <v>27</v>
      </c>
      <c r="S736" s="14" t="str">
        <f t="shared" si="11"/>
        <v>Week 3</v>
      </c>
    </row>
    <row r="737" spans="1:19" x14ac:dyDescent="0.3">
      <c r="A737" s="15" t="s">
        <v>1034</v>
      </c>
      <c r="B737" s="16">
        <v>43088</v>
      </c>
      <c r="C737" s="17" t="s">
        <v>211</v>
      </c>
      <c r="D737" s="17" t="s">
        <v>21</v>
      </c>
      <c r="E737" s="17" t="s">
        <v>149</v>
      </c>
      <c r="F737" s="18">
        <v>5</v>
      </c>
      <c r="G737" s="19">
        <v>5601.2</v>
      </c>
      <c r="H737" s="19">
        <v>28006</v>
      </c>
      <c r="I737" s="20">
        <v>4032.86399999999</v>
      </c>
      <c r="J737" s="17" t="s">
        <v>54</v>
      </c>
      <c r="K737" s="17" t="s">
        <v>55</v>
      </c>
      <c r="L737" s="17" t="s">
        <v>56</v>
      </c>
      <c r="M737" s="19">
        <v>20164.32</v>
      </c>
      <c r="N737" s="19">
        <v>7841.68</v>
      </c>
      <c r="O737" s="17">
        <v>28</v>
      </c>
      <c r="P737" s="17" t="s">
        <v>26</v>
      </c>
      <c r="Q737" s="17">
        <v>12</v>
      </c>
      <c r="R737" s="17" t="s">
        <v>27</v>
      </c>
      <c r="S737" s="14" t="str">
        <f t="shared" si="11"/>
        <v>Week 3</v>
      </c>
    </row>
    <row r="738" spans="1:19" x14ac:dyDescent="0.3">
      <c r="A738" s="8" t="s">
        <v>1035</v>
      </c>
      <c r="B738" s="9">
        <v>43088</v>
      </c>
      <c r="C738" s="10" t="s">
        <v>316</v>
      </c>
      <c r="D738" s="10" t="s">
        <v>21</v>
      </c>
      <c r="E738" s="10" t="s">
        <v>37</v>
      </c>
      <c r="F738" s="11">
        <v>5</v>
      </c>
      <c r="G738" s="12">
        <v>1025.0999999999999</v>
      </c>
      <c r="H738" s="12">
        <v>5125.5</v>
      </c>
      <c r="I738" s="13">
        <v>563.80499999999995</v>
      </c>
      <c r="J738" s="10" t="s">
        <v>436</v>
      </c>
      <c r="K738" s="10" t="s">
        <v>437</v>
      </c>
      <c r="L738" s="10" t="s">
        <v>25</v>
      </c>
      <c r="M738" s="12">
        <v>2819.0250000000001</v>
      </c>
      <c r="N738" s="12">
        <v>2306.4749999999999</v>
      </c>
      <c r="O738" s="10">
        <v>44.999999999999901</v>
      </c>
      <c r="P738" s="10" t="s">
        <v>26</v>
      </c>
      <c r="Q738" s="10">
        <v>12</v>
      </c>
      <c r="R738" s="10" t="s">
        <v>27</v>
      </c>
      <c r="S738" s="14" t="str">
        <f t="shared" si="11"/>
        <v>Week 3</v>
      </c>
    </row>
    <row r="739" spans="1:19" x14ac:dyDescent="0.3">
      <c r="A739" s="15" t="s">
        <v>1036</v>
      </c>
      <c r="B739" s="16">
        <v>43088</v>
      </c>
      <c r="C739" s="17" t="s">
        <v>414</v>
      </c>
      <c r="D739" s="17" t="s">
        <v>21</v>
      </c>
      <c r="E739" s="17" t="s">
        <v>115</v>
      </c>
      <c r="F739" s="18">
        <v>5</v>
      </c>
      <c r="G739" s="19">
        <v>174.2</v>
      </c>
      <c r="H739" s="19">
        <v>871</v>
      </c>
      <c r="I739" s="20">
        <v>81.873999999999995</v>
      </c>
      <c r="J739" s="17" t="s">
        <v>23</v>
      </c>
      <c r="K739" s="17" t="s">
        <v>24</v>
      </c>
      <c r="L739" s="17" t="s">
        <v>25</v>
      </c>
      <c r="M739" s="19">
        <v>409.37</v>
      </c>
      <c r="N739" s="19">
        <v>461.63</v>
      </c>
      <c r="O739" s="17">
        <v>53</v>
      </c>
      <c r="P739" s="17" t="s">
        <v>26</v>
      </c>
      <c r="Q739" s="17">
        <v>12</v>
      </c>
      <c r="R739" s="17" t="s">
        <v>27</v>
      </c>
      <c r="S739" s="14" t="str">
        <f t="shared" si="11"/>
        <v>Week 3</v>
      </c>
    </row>
    <row r="740" spans="1:19" x14ac:dyDescent="0.3">
      <c r="A740" s="8" t="s">
        <v>1037</v>
      </c>
      <c r="B740" s="9">
        <v>43088</v>
      </c>
      <c r="C740" s="10" t="s">
        <v>314</v>
      </c>
      <c r="D740" s="10" t="s">
        <v>30</v>
      </c>
      <c r="E740" s="10" t="s">
        <v>91</v>
      </c>
      <c r="F740" s="11">
        <v>10</v>
      </c>
      <c r="G740" s="12">
        <v>2827.4</v>
      </c>
      <c r="H740" s="12">
        <v>28274</v>
      </c>
      <c r="I740" s="13">
        <v>2261.92</v>
      </c>
      <c r="J740" s="10" t="s">
        <v>218</v>
      </c>
      <c r="K740" s="10" t="s">
        <v>219</v>
      </c>
      <c r="L740" s="10" t="s">
        <v>34</v>
      </c>
      <c r="M740" s="12">
        <v>22619.200000000001</v>
      </c>
      <c r="N740" s="12">
        <v>5654.7999999999902</v>
      </c>
      <c r="O740" s="10">
        <v>20</v>
      </c>
      <c r="P740" s="10" t="s">
        <v>26</v>
      </c>
      <c r="Q740" s="10">
        <v>12</v>
      </c>
      <c r="R740" s="10" t="s">
        <v>27</v>
      </c>
      <c r="S740" s="14" t="str">
        <f t="shared" si="11"/>
        <v>Week 3</v>
      </c>
    </row>
    <row r="741" spans="1:19" x14ac:dyDescent="0.3">
      <c r="A741" s="15" t="s">
        <v>1038</v>
      </c>
      <c r="B741" s="16">
        <v>43088</v>
      </c>
      <c r="C741" s="17" t="s">
        <v>626</v>
      </c>
      <c r="D741" s="17" t="s">
        <v>43</v>
      </c>
      <c r="E741" s="17" t="s">
        <v>120</v>
      </c>
      <c r="F741" s="18">
        <v>11</v>
      </c>
      <c r="G741" s="19">
        <v>2311.5</v>
      </c>
      <c r="H741" s="19">
        <v>25426.5</v>
      </c>
      <c r="I741" s="20">
        <v>1502.4749999999999</v>
      </c>
      <c r="J741" s="17" t="s">
        <v>54</v>
      </c>
      <c r="K741" s="17" t="s">
        <v>55</v>
      </c>
      <c r="L741" s="17" t="s">
        <v>56</v>
      </c>
      <c r="M741" s="19">
        <v>16527.224999999999</v>
      </c>
      <c r="N741" s="19">
        <v>8899.2749999999905</v>
      </c>
      <c r="O741" s="17">
        <v>34.999999999999901</v>
      </c>
      <c r="P741" s="17" t="s">
        <v>26</v>
      </c>
      <c r="Q741" s="17">
        <v>12</v>
      </c>
      <c r="R741" s="17" t="s">
        <v>27</v>
      </c>
      <c r="S741" s="14" t="str">
        <f t="shared" si="11"/>
        <v>Week 3</v>
      </c>
    </row>
    <row r="742" spans="1:19" x14ac:dyDescent="0.3">
      <c r="A742" s="8" t="s">
        <v>1039</v>
      </c>
      <c r="B742" s="9">
        <v>43088</v>
      </c>
      <c r="C742" s="10" t="s">
        <v>138</v>
      </c>
      <c r="D742" s="10" t="s">
        <v>21</v>
      </c>
      <c r="E742" s="10" t="s">
        <v>103</v>
      </c>
      <c r="F742" s="11">
        <v>11</v>
      </c>
      <c r="G742" s="12">
        <v>1112.2</v>
      </c>
      <c r="H742" s="12">
        <v>12234.2</v>
      </c>
      <c r="I742" s="13">
        <v>567.22199999999998</v>
      </c>
      <c r="J742" s="10" t="s">
        <v>32</v>
      </c>
      <c r="K742" s="10" t="s">
        <v>33</v>
      </c>
      <c r="L742" s="10" t="s">
        <v>34</v>
      </c>
      <c r="M742" s="12">
        <v>6239.442</v>
      </c>
      <c r="N742" s="12">
        <v>5994.7579999999998</v>
      </c>
      <c r="O742" s="10">
        <v>49</v>
      </c>
      <c r="P742" s="10" t="s">
        <v>26</v>
      </c>
      <c r="Q742" s="10">
        <v>12</v>
      </c>
      <c r="R742" s="10" t="s">
        <v>27</v>
      </c>
      <c r="S742" s="14" t="str">
        <f t="shared" si="11"/>
        <v>Week 3</v>
      </c>
    </row>
    <row r="743" spans="1:19" x14ac:dyDescent="0.3">
      <c r="A743" s="15" t="s">
        <v>1040</v>
      </c>
      <c r="B743" s="16">
        <v>43088</v>
      </c>
      <c r="C743" s="17" t="s">
        <v>509</v>
      </c>
      <c r="D743" s="17" t="s">
        <v>21</v>
      </c>
      <c r="E743" s="17" t="s">
        <v>91</v>
      </c>
      <c r="F743" s="18">
        <v>8</v>
      </c>
      <c r="G743" s="19">
        <v>871</v>
      </c>
      <c r="H743" s="19">
        <v>6968</v>
      </c>
      <c r="I743" s="20">
        <v>600.99</v>
      </c>
      <c r="J743" s="17" t="s">
        <v>257</v>
      </c>
      <c r="K743" s="17" t="s">
        <v>258</v>
      </c>
      <c r="L743" s="17" t="s">
        <v>25</v>
      </c>
      <c r="M743" s="19">
        <v>4807.92</v>
      </c>
      <c r="N743" s="19">
        <v>2160.08</v>
      </c>
      <c r="O743" s="17">
        <v>31</v>
      </c>
      <c r="P743" s="17" t="s">
        <v>26</v>
      </c>
      <c r="Q743" s="17">
        <v>12</v>
      </c>
      <c r="R743" s="17" t="s">
        <v>27</v>
      </c>
      <c r="S743" s="14" t="str">
        <f t="shared" si="11"/>
        <v>Week 3</v>
      </c>
    </row>
    <row r="744" spans="1:19" x14ac:dyDescent="0.3">
      <c r="A744" s="8" t="s">
        <v>1041</v>
      </c>
      <c r="B744" s="9">
        <v>43088</v>
      </c>
      <c r="C744" s="10" t="s">
        <v>48</v>
      </c>
      <c r="D744" s="10" t="s">
        <v>21</v>
      </c>
      <c r="E744" s="10" t="s">
        <v>146</v>
      </c>
      <c r="F744" s="11">
        <v>10</v>
      </c>
      <c r="G744" s="12">
        <v>3932.9</v>
      </c>
      <c r="H744" s="12">
        <v>39329</v>
      </c>
      <c r="I744" s="13">
        <v>1612.489</v>
      </c>
      <c r="J744" s="10" t="s">
        <v>94</v>
      </c>
      <c r="K744" s="10" t="s">
        <v>95</v>
      </c>
      <c r="L744" s="10" t="s">
        <v>40</v>
      </c>
      <c r="M744" s="12">
        <v>16124.89</v>
      </c>
      <c r="N744" s="12">
        <v>23204.11</v>
      </c>
      <c r="O744" s="10">
        <v>59</v>
      </c>
      <c r="P744" s="10" t="s">
        <v>26</v>
      </c>
      <c r="Q744" s="10">
        <v>12</v>
      </c>
      <c r="R744" s="10" t="s">
        <v>27</v>
      </c>
      <c r="S744" s="14" t="str">
        <f t="shared" si="11"/>
        <v>Week 3</v>
      </c>
    </row>
    <row r="745" spans="1:19" x14ac:dyDescent="0.3">
      <c r="A745" s="15" t="s">
        <v>1042</v>
      </c>
      <c r="B745" s="16">
        <v>43088</v>
      </c>
      <c r="C745" s="17" t="s">
        <v>714</v>
      </c>
      <c r="D745" s="17" t="s">
        <v>21</v>
      </c>
      <c r="E745" s="17" t="s">
        <v>252</v>
      </c>
      <c r="F745" s="18">
        <v>6</v>
      </c>
      <c r="G745" s="19">
        <v>234.5</v>
      </c>
      <c r="H745" s="19">
        <v>1407</v>
      </c>
      <c r="I745" s="20">
        <v>140.69999999999999</v>
      </c>
      <c r="J745" s="17" t="s">
        <v>32</v>
      </c>
      <c r="K745" s="17" t="s">
        <v>33</v>
      </c>
      <c r="L745" s="17" t="s">
        <v>34</v>
      </c>
      <c r="M745" s="19">
        <v>844.19999999999902</v>
      </c>
      <c r="N745" s="19">
        <v>562.79999999999995</v>
      </c>
      <c r="O745" s="17">
        <v>40</v>
      </c>
      <c r="P745" s="17" t="s">
        <v>26</v>
      </c>
      <c r="Q745" s="17">
        <v>12</v>
      </c>
      <c r="R745" s="17" t="s">
        <v>27</v>
      </c>
      <c r="S745" s="14" t="str">
        <f t="shared" si="11"/>
        <v>Week 3</v>
      </c>
    </row>
    <row r="746" spans="1:19" x14ac:dyDescent="0.3">
      <c r="A746" s="8" t="s">
        <v>1043</v>
      </c>
      <c r="B746" s="9">
        <v>43088</v>
      </c>
      <c r="C746" s="10" t="s">
        <v>941</v>
      </c>
      <c r="D746" s="10" t="s">
        <v>30</v>
      </c>
      <c r="E746" s="10" t="s">
        <v>93</v>
      </c>
      <c r="F746" s="11">
        <v>10</v>
      </c>
      <c r="G746" s="12">
        <v>3899.4</v>
      </c>
      <c r="H746" s="12">
        <v>38994</v>
      </c>
      <c r="I746" s="13">
        <v>3119.52</v>
      </c>
      <c r="J746" s="10" t="s">
        <v>54</v>
      </c>
      <c r="K746" s="10" t="s">
        <v>55</v>
      </c>
      <c r="L746" s="10" t="s">
        <v>56</v>
      </c>
      <c r="M746" s="12">
        <v>31195.200000000001</v>
      </c>
      <c r="N746" s="12">
        <v>7798.7999999999902</v>
      </c>
      <c r="O746" s="10">
        <v>19.999999999999901</v>
      </c>
      <c r="P746" s="10" t="s">
        <v>26</v>
      </c>
      <c r="Q746" s="10">
        <v>12</v>
      </c>
      <c r="R746" s="10" t="s">
        <v>27</v>
      </c>
      <c r="S746" s="14" t="str">
        <f t="shared" si="11"/>
        <v>Week 3</v>
      </c>
    </row>
    <row r="747" spans="1:19" x14ac:dyDescent="0.3">
      <c r="A747" s="15" t="s">
        <v>1044</v>
      </c>
      <c r="B747" s="16">
        <v>43088</v>
      </c>
      <c r="C747" s="17" t="s">
        <v>453</v>
      </c>
      <c r="D747" s="17" t="s">
        <v>43</v>
      </c>
      <c r="E747" s="17" t="s">
        <v>115</v>
      </c>
      <c r="F747" s="18">
        <v>11</v>
      </c>
      <c r="G747" s="19">
        <v>1782.2</v>
      </c>
      <c r="H747" s="19">
        <v>19604.2</v>
      </c>
      <c r="I747" s="20">
        <v>1514.87</v>
      </c>
      <c r="J747" s="17" t="s">
        <v>614</v>
      </c>
      <c r="K747" s="17" t="s">
        <v>615</v>
      </c>
      <c r="L747" s="17" t="s">
        <v>34</v>
      </c>
      <c r="M747" s="19">
        <v>16663.57</v>
      </c>
      <c r="N747" s="19">
        <v>2940.63</v>
      </c>
      <c r="O747" s="17">
        <v>15</v>
      </c>
      <c r="P747" s="17" t="s">
        <v>26</v>
      </c>
      <c r="Q747" s="17">
        <v>12</v>
      </c>
      <c r="R747" s="17" t="s">
        <v>27</v>
      </c>
      <c r="S747" s="14" t="str">
        <f t="shared" si="11"/>
        <v>Week 3</v>
      </c>
    </row>
    <row r="748" spans="1:19" x14ac:dyDescent="0.3">
      <c r="A748" s="8" t="s">
        <v>1045</v>
      </c>
      <c r="B748" s="9">
        <v>43088</v>
      </c>
      <c r="C748" s="10" t="s">
        <v>172</v>
      </c>
      <c r="D748" s="10" t="s">
        <v>43</v>
      </c>
      <c r="E748" s="10" t="s">
        <v>326</v>
      </c>
      <c r="F748" s="11">
        <v>12</v>
      </c>
      <c r="G748" s="12">
        <v>6365</v>
      </c>
      <c r="H748" s="12">
        <v>76380</v>
      </c>
      <c r="I748" s="13">
        <v>4582.8</v>
      </c>
      <c r="J748" s="10" t="s">
        <v>218</v>
      </c>
      <c r="K748" s="10" t="s">
        <v>219</v>
      </c>
      <c r="L748" s="10" t="s">
        <v>34</v>
      </c>
      <c r="M748" s="12">
        <v>54993.599999999999</v>
      </c>
      <c r="N748" s="12">
        <v>21386.3999999999</v>
      </c>
      <c r="O748" s="10">
        <v>27.999999999999901</v>
      </c>
      <c r="P748" s="10" t="s">
        <v>26</v>
      </c>
      <c r="Q748" s="10">
        <v>12</v>
      </c>
      <c r="R748" s="10" t="s">
        <v>27</v>
      </c>
      <c r="S748" s="14" t="str">
        <f t="shared" si="11"/>
        <v>Week 3</v>
      </c>
    </row>
    <row r="749" spans="1:19" x14ac:dyDescent="0.3">
      <c r="A749" s="15" t="s">
        <v>1046</v>
      </c>
      <c r="B749" s="16">
        <v>43088</v>
      </c>
      <c r="C749" s="17" t="s">
        <v>239</v>
      </c>
      <c r="D749" s="17" t="s">
        <v>30</v>
      </c>
      <c r="E749" s="17" t="s">
        <v>37</v>
      </c>
      <c r="F749" s="18">
        <v>6</v>
      </c>
      <c r="G749" s="19">
        <v>1936.3</v>
      </c>
      <c r="H749" s="19">
        <v>11617.8</v>
      </c>
      <c r="I749" s="20">
        <v>1142.4169999999999</v>
      </c>
      <c r="J749" s="17" t="s">
        <v>38</v>
      </c>
      <c r="K749" s="17" t="s">
        <v>39</v>
      </c>
      <c r="L749" s="17" t="s">
        <v>40</v>
      </c>
      <c r="M749" s="19">
        <v>6854.5019999999904</v>
      </c>
      <c r="N749" s="19">
        <v>4763.2979999999998</v>
      </c>
      <c r="O749" s="17">
        <v>41</v>
      </c>
      <c r="P749" s="17" t="s">
        <v>26</v>
      </c>
      <c r="Q749" s="17">
        <v>12</v>
      </c>
      <c r="R749" s="17" t="s">
        <v>27</v>
      </c>
      <c r="S749" s="14" t="str">
        <f t="shared" si="11"/>
        <v>Week 3</v>
      </c>
    </row>
    <row r="750" spans="1:19" x14ac:dyDescent="0.3">
      <c r="A750" s="8" t="s">
        <v>1047</v>
      </c>
      <c r="B750" s="9">
        <v>43088</v>
      </c>
      <c r="C750" s="10" t="s">
        <v>1048</v>
      </c>
      <c r="D750" s="10" t="s">
        <v>21</v>
      </c>
      <c r="E750" s="10" t="s">
        <v>93</v>
      </c>
      <c r="F750" s="11">
        <v>5</v>
      </c>
      <c r="G750" s="12">
        <v>1098.8</v>
      </c>
      <c r="H750" s="12">
        <v>5494</v>
      </c>
      <c r="I750" s="13">
        <v>933.979999999999</v>
      </c>
      <c r="J750" s="10" t="s">
        <v>23</v>
      </c>
      <c r="K750" s="10" t="s">
        <v>24</v>
      </c>
      <c r="L750" s="10" t="s">
        <v>25</v>
      </c>
      <c r="M750" s="12">
        <v>4669.8999999999996</v>
      </c>
      <c r="N750" s="12">
        <v>824.1</v>
      </c>
      <c r="O750" s="10">
        <v>15</v>
      </c>
      <c r="P750" s="10" t="s">
        <v>26</v>
      </c>
      <c r="Q750" s="10">
        <v>12</v>
      </c>
      <c r="R750" s="10" t="s">
        <v>27</v>
      </c>
      <c r="S750" s="14" t="str">
        <f t="shared" si="11"/>
        <v>Week 3</v>
      </c>
    </row>
    <row r="751" spans="1:19" x14ac:dyDescent="0.3">
      <c r="A751" s="15" t="s">
        <v>1049</v>
      </c>
      <c r="B751" s="16">
        <v>43088</v>
      </c>
      <c r="C751" s="17" t="s">
        <v>249</v>
      </c>
      <c r="D751" s="17" t="s">
        <v>30</v>
      </c>
      <c r="E751" s="17" t="s">
        <v>62</v>
      </c>
      <c r="F751" s="18">
        <v>6</v>
      </c>
      <c r="G751" s="19">
        <v>3926.2</v>
      </c>
      <c r="H751" s="19">
        <v>23557.199999999997</v>
      </c>
      <c r="I751" s="20">
        <v>1845.3140000000001</v>
      </c>
      <c r="J751" s="17" t="s">
        <v>23</v>
      </c>
      <c r="K751" s="17" t="s">
        <v>24</v>
      </c>
      <c r="L751" s="17" t="s">
        <v>25</v>
      </c>
      <c r="M751" s="19">
        <v>11071.884</v>
      </c>
      <c r="N751" s="19">
        <v>12485.316000000001</v>
      </c>
      <c r="O751" s="17">
        <v>53</v>
      </c>
      <c r="P751" s="17" t="s">
        <v>26</v>
      </c>
      <c r="Q751" s="17">
        <v>12</v>
      </c>
      <c r="R751" s="17" t="s">
        <v>27</v>
      </c>
      <c r="S751" s="14" t="str">
        <f t="shared" si="11"/>
        <v>Week 3</v>
      </c>
    </row>
    <row r="752" spans="1:19" x14ac:dyDescent="0.3">
      <c r="A752" s="8" t="s">
        <v>1050</v>
      </c>
      <c r="B752" s="9">
        <v>43088</v>
      </c>
      <c r="C752" s="10" t="s">
        <v>843</v>
      </c>
      <c r="D752" s="10" t="s">
        <v>30</v>
      </c>
      <c r="E752" s="10" t="s">
        <v>31</v>
      </c>
      <c r="F752" s="11">
        <v>12</v>
      </c>
      <c r="G752" s="12">
        <v>864.3</v>
      </c>
      <c r="H752" s="12">
        <v>10371.599999999999</v>
      </c>
      <c r="I752" s="13">
        <v>535.86599999999999</v>
      </c>
      <c r="J752" s="10" t="s">
        <v>23</v>
      </c>
      <c r="K752" s="10" t="s">
        <v>24</v>
      </c>
      <c r="L752" s="10" t="s">
        <v>25</v>
      </c>
      <c r="M752" s="12">
        <v>6430.3919999999998</v>
      </c>
      <c r="N752" s="12">
        <v>3941.2080000000001</v>
      </c>
      <c r="O752" s="10">
        <v>38</v>
      </c>
      <c r="P752" s="10" t="s">
        <v>26</v>
      </c>
      <c r="Q752" s="10">
        <v>12</v>
      </c>
      <c r="R752" s="10" t="s">
        <v>27</v>
      </c>
      <c r="S752" s="14" t="str">
        <f t="shared" si="11"/>
        <v>Week 3</v>
      </c>
    </row>
    <row r="753" spans="1:19" x14ac:dyDescent="0.3">
      <c r="A753" s="15" t="s">
        <v>1051</v>
      </c>
      <c r="B753" s="16">
        <v>43088</v>
      </c>
      <c r="C753" s="17" t="s">
        <v>170</v>
      </c>
      <c r="D753" s="17" t="s">
        <v>21</v>
      </c>
      <c r="E753" s="17" t="s">
        <v>22</v>
      </c>
      <c r="F753" s="18">
        <v>8</v>
      </c>
      <c r="G753" s="19">
        <v>3993.2</v>
      </c>
      <c r="H753" s="19">
        <v>31945.599999999999</v>
      </c>
      <c r="I753" s="20">
        <v>2795.24</v>
      </c>
      <c r="J753" s="17" t="s">
        <v>266</v>
      </c>
      <c r="K753" s="17" t="s">
        <v>267</v>
      </c>
      <c r="L753" s="17" t="s">
        <v>34</v>
      </c>
      <c r="M753" s="19">
        <v>22361.919999999998</v>
      </c>
      <c r="N753" s="19">
        <v>9583.68</v>
      </c>
      <c r="O753" s="17">
        <v>30</v>
      </c>
      <c r="P753" s="17" t="s">
        <v>26</v>
      </c>
      <c r="Q753" s="17">
        <v>12</v>
      </c>
      <c r="R753" s="17" t="s">
        <v>27</v>
      </c>
      <c r="S753" s="14" t="str">
        <f t="shared" si="11"/>
        <v>Week 3</v>
      </c>
    </row>
    <row r="754" spans="1:19" x14ac:dyDescent="0.3">
      <c r="A754" s="8" t="s">
        <v>1052</v>
      </c>
      <c r="B754" s="9">
        <v>43088</v>
      </c>
      <c r="C754" s="10" t="s">
        <v>36</v>
      </c>
      <c r="D754" s="10" t="s">
        <v>21</v>
      </c>
      <c r="E754" s="10" t="s">
        <v>93</v>
      </c>
      <c r="F754" s="11">
        <v>12</v>
      </c>
      <c r="G754" s="12">
        <v>3852.5</v>
      </c>
      <c r="H754" s="12">
        <v>46230</v>
      </c>
      <c r="I754" s="13">
        <v>3082</v>
      </c>
      <c r="J754" s="10" t="s">
        <v>23</v>
      </c>
      <c r="K754" s="10" t="s">
        <v>24</v>
      </c>
      <c r="L754" s="10" t="s">
        <v>25</v>
      </c>
      <c r="M754" s="12">
        <v>36984</v>
      </c>
      <c r="N754" s="12">
        <v>9246</v>
      </c>
      <c r="O754" s="10">
        <v>20</v>
      </c>
      <c r="P754" s="10" t="s">
        <v>26</v>
      </c>
      <c r="Q754" s="10">
        <v>12</v>
      </c>
      <c r="R754" s="10" t="s">
        <v>27</v>
      </c>
      <c r="S754" s="14" t="str">
        <f t="shared" si="11"/>
        <v>Week 3</v>
      </c>
    </row>
    <row r="755" spans="1:19" x14ac:dyDescent="0.3">
      <c r="A755" s="15" t="s">
        <v>1053</v>
      </c>
      <c r="B755" s="16">
        <v>43088</v>
      </c>
      <c r="C755" s="17" t="s">
        <v>282</v>
      </c>
      <c r="D755" s="17" t="s">
        <v>21</v>
      </c>
      <c r="E755" s="17" t="s">
        <v>22</v>
      </c>
      <c r="F755" s="18">
        <v>8</v>
      </c>
      <c r="G755" s="19">
        <v>917.9</v>
      </c>
      <c r="H755" s="19">
        <v>7343.2</v>
      </c>
      <c r="I755" s="20">
        <v>670.06700000000001</v>
      </c>
      <c r="J755" s="17" t="s">
        <v>177</v>
      </c>
      <c r="K755" s="17" t="s">
        <v>178</v>
      </c>
      <c r="L755" s="17" t="s">
        <v>40</v>
      </c>
      <c r="M755" s="19">
        <v>5360.5360000000001</v>
      </c>
      <c r="N755" s="19">
        <v>1982.66399999999</v>
      </c>
      <c r="O755" s="17">
        <v>26.999999999999901</v>
      </c>
      <c r="P755" s="17" t="s">
        <v>26</v>
      </c>
      <c r="Q755" s="17">
        <v>12</v>
      </c>
      <c r="R755" s="17" t="s">
        <v>27</v>
      </c>
      <c r="S755" s="14" t="str">
        <f t="shared" si="11"/>
        <v>Week 3</v>
      </c>
    </row>
    <row r="756" spans="1:19" x14ac:dyDescent="0.3">
      <c r="A756" s="8" t="s">
        <v>1054</v>
      </c>
      <c r="B756" s="9">
        <v>43088</v>
      </c>
      <c r="C756" s="10" t="s">
        <v>806</v>
      </c>
      <c r="D756" s="10" t="s">
        <v>43</v>
      </c>
      <c r="E756" s="10" t="s">
        <v>284</v>
      </c>
      <c r="F756" s="11">
        <v>7</v>
      </c>
      <c r="G756" s="12">
        <v>1152.4000000000001</v>
      </c>
      <c r="H756" s="12">
        <v>8066.8000000000011</v>
      </c>
      <c r="I756" s="13">
        <v>898.87199999999996</v>
      </c>
      <c r="J756" s="10" t="s">
        <v>69</v>
      </c>
      <c r="K756" s="10" t="s">
        <v>70</v>
      </c>
      <c r="L756" s="10" t="s">
        <v>25</v>
      </c>
      <c r="M756" s="12">
        <v>6292.1040000000003</v>
      </c>
      <c r="N756" s="12">
        <v>1774.6959999999999</v>
      </c>
      <c r="O756" s="10">
        <v>22</v>
      </c>
      <c r="P756" s="10" t="s">
        <v>26</v>
      </c>
      <c r="Q756" s="10">
        <v>12</v>
      </c>
      <c r="R756" s="10" t="s">
        <v>27</v>
      </c>
      <c r="S756" s="14" t="str">
        <f t="shared" si="11"/>
        <v>Week 3</v>
      </c>
    </row>
    <row r="757" spans="1:19" x14ac:dyDescent="0.3">
      <c r="A757" s="15" t="s">
        <v>983</v>
      </c>
      <c r="B757" s="16">
        <v>43088</v>
      </c>
      <c r="C757" s="17" t="s">
        <v>264</v>
      </c>
      <c r="D757" s="17" t="s">
        <v>21</v>
      </c>
      <c r="E757" s="17" t="s">
        <v>306</v>
      </c>
      <c r="F757" s="18">
        <v>6</v>
      </c>
      <c r="G757" s="19">
        <v>6009.9</v>
      </c>
      <c r="H757" s="19">
        <v>36059.399999999994</v>
      </c>
      <c r="I757" s="20">
        <v>4928.1180000000004</v>
      </c>
      <c r="J757" s="17" t="s">
        <v>766</v>
      </c>
      <c r="K757" s="17" t="s">
        <v>767</v>
      </c>
      <c r="L757" s="17" t="s">
        <v>56</v>
      </c>
      <c r="M757" s="19">
        <v>29568.707999999999</v>
      </c>
      <c r="N757" s="19">
        <v>6490.69199999999</v>
      </c>
      <c r="O757" s="17">
        <v>17.999999999999901</v>
      </c>
      <c r="P757" s="17" t="s">
        <v>26</v>
      </c>
      <c r="Q757" s="17">
        <v>12</v>
      </c>
      <c r="R757" s="17" t="s">
        <v>27</v>
      </c>
      <c r="S757" s="14" t="str">
        <f t="shared" si="11"/>
        <v>Week 3</v>
      </c>
    </row>
    <row r="758" spans="1:19" x14ac:dyDescent="0.3">
      <c r="A758" s="8" t="s">
        <v>1055</v>
      </c>
      <c r="B758" s="9">
        <v>43088</v>
      </c>
      <c r="C758" s="10" t="s">
        <v>107</v>
      </c>
      <c r="D758" s="10" t="s">
        <v>30</v>
      </c>
      <c r="E758" s="10" t="s">
        <v>103</v>
      </c>
      <c r="F758" s="11">
        <v>12</v>
      </c>
      <c r="G758" s="12">
        <v>247.9</v>
      </c>
      <c r="H758" s="12">
        <v>2974.8</v>
      </c>
      <c r="I758" s="13">
        <v>123.95</v>
      </c>
      <c r="J758" s="10" t="s">
        <v>411</v>
      </c>
      <c r="K758" s="10" t="s">
        <v>412</v>
      </c>
      <c r="L758" s="10" t="s">
        <v>56</v>
      </c>
      <c r="M758" s="12">
        <v>1487.4</v>
      </c>
      <c r="N758" s="12">
        <v>1487.4</v>
      </c>
      <c r="O758" s="10">
        <v>50</v>
      </c>
      <c r="P758" s="10" t="s">
        <v>26</v>
      </c>
      <c r="Q758" s="10">
        <v>12</v>
      </c>
      <c r="R758" s="10" t="s">
        <v>27</v>
      </c>
      <c r="S758" s="14" t="str">
        <f t="shared" si="11"/>
        <v>Week 3</v>
      </c>
    </row>
    <row r="759" spans="1:19" x14ac:dyDescent="0.3">
      <c r="A759" s="15" t="s">
        <v>1056</v>
      </c>
      <c r="B759" s="16">
        <v>43088</v>
      </c>
      <c r="C759" s="17" t="s">
        <v>389</v>
      </c>
      <c r="D759" s="17" t="s">
        <v>21</v>
      </c>
      <c r="E759" s="17" t="s">
        <v>265</v>
      </c>
      <c r="F759" s="18">
        <v>12</v>
      </c>
      <c r="G759" s="19">
        <v>1728.6</v>
      </c>
      <c r="H759" s="19">
        <v>20743.199999999997</v>
      </c>
      <c r="I759" s="20">
        <v>1331.0219999999999</v>
      </c>
      <c r="J759" s="17" t="s">
        <v>411</v>
      </c>
      <c r="K759" s="17" t="s">
        <v>412</v>
      </c>
      <c r="L759" s="17" t="s">
        <v>56</v>
      </c>
      <c r="M759" s="19">
        <v>15972.263999999999</v>
      </c>
      <c r="N759" s="19">
        <v>4770.9359999999897</v>
      </c>
      <c r="O759" s="17">
        <v>22.999999999999901</v>
      </c>
      <c r="P759" s="17" t="s">
        <v>26</v>
      </c>
      <c r="Q759" s="17">
        <v>12</v>
      </c>
      <c r="R759" s="17" t="s">
        <v>27</v>
      </c>
      <c r="S759" s="14" t="str">
        <f t="shared" si="11"/>
        <v>Week 3</v>
      </c>
    </row>
    <row r="760" spans="1:19" x14ac:dyDescent="0.3">
      <c r="A760" s="8" t="s">
        <v>1057</v>
      </c>
      <c r="B760" s="9">
        <v>43088</v>
      </c>
      <c r="C760" s="10" t="s">
        <v>308</v>
      </c>
      <c r="D760" s="10" t="s">
        <v>21</v>
      </c>
      <c r="E760" s="10" t="s">
        <v>103</v>
      </c>
      <c r="F760" s="11">
        <v>6</v>
      </c>
      <c r="G760" s="12">
        <v>1688.4</v>
      </c>
      <c r="H760" s="12">
        <v>10130.400000000001</v>
      </c>
      <c r="I760" s="13">
        <v>1401.3720000000001</v>
      </c>
      <c r="J760" s="10" t="s">
        <v>54</v>
      </c>
      <c r="K760" s="10" t="s">
        <v>55</v>
      </c>
      <c r="L760" s="10" t="s">
        <v>56</v>
      </c>
      <c r="M760" s="12">
        <v>8408.232</v>
      </c>
      <c r="N760" s="12">
        <v>1722.1679999999999</v>
      </c>
      <c r="O760" s="10">
        <v>17</v>
      </c>
      <c r="P760" s="10" t="s">
        <v>26</v>
      </c>
      <c r="Q760" s="10">
        <v>12</v>
      </c>
      <c r="R760" s="10" t="s">
        <v>27</v>
      </c>
      <c r="S760" s="14" t="str">
        <f t="shared" si="11"/>
        <v>Week 3</v>
      </c>
    </row>
    <row r="761" spans="1:19" x14ac:dyDescent="0.3">
      <c r="A761" s="15" t="s">
        <v>1058</v>
      </c>
      <c r="B761" s="16">
        <v>43088</v>
      </c>
      <c r="C761" s="17" t="s">
        <v>487</v>
      </c>
      <c r="D761" s="17" t="s">
        <v>21</v>
      </c>
      <c r="E761" s="17" t="s">
        <v>44</v>
      </c>
      <c r="F761" s="18">
        <v>5</v>
      </c>
      <c r="G761" s="19">
        <v>1051.9000000000001</v>
      </c>
      <c r="H761" s="19">
        <v>5259.5</v>
      </c>
      <c r="I761" s="20">
        <v>610.10199999999998</v>
      </c>
      <c r="J761" s="17" t="s">
        <v>104</v>
      </c>
      <c r="K761" s="17" t="s">
        <v>105</v>
      </c>
      <c r="L761" s="17" t="s">
        <v>25</v>
      </c>
      <c r="M761" s="19">
        <v>3050.5099999999902</v>
      </c>
      <c r="N761" s="19">
        <v>2208.9899999999998</v>
      </c>
      <c r="O761" s="17">
        <v>42</v>
      </c>
      <c r="P761" s="17" t="s">
        <v>26</v>
      </c>
      <c r="Q761" s="17">
        <v>12</v>
      </c>
      <c r="R761" s="17" t="s">
        <v>27</v>
      </c>
      <c r="S761" s="14" t="str">
        <f t="shared" si="11"/>
        <v>Week 3</v>
      </c>
    </row>
    <row r="762" spans="1:19" x14ac:dyDescent="0.3">
      <c r="A762" s="8" t="s">
        <v>1059</v>
      </c>
      <c r="B762" s="9">
        <v>43088</v>
      </c>
      <c r="C762" s="10" t="s">
        <v>275</v>
      </c>
      <c r="D762" s="10" t="s">
        <v>30</v>
      </c>
      <c r="E762" s="10" t="s">
        <v>265</v>
      </c>
      <c r="F762" s="11">
        <v>9</v>
      </c>
      <c r="G762" s="12">
        <v>194.3</v>
      </c>
      <c r="H762" s="12">
        <v>1748.7</v>
      </c>
      <c r="I762" s="13">
        <v>89.378</v>
      </c>
      <c r="J762" s="10" t="s">
        <v>50</v>
      </c>
      <c r="K762" s="10" t="s">
        <v>51</v>
      </c>
      <c r="L762" s="10" t="s">
        <v>40</v>
      </c>
      <c r="M762" s="12">
        <v>804.40200000000004</v>
      </c>
      <c r="N762" s="12">
        <v>944.29799999999898</v>
      </c>
      <c r="O762" s="10">
        <v>53.999999999999901</v>
      </c>
      <c r="P762" s="10" t="s">
        <v>26</v>
      </c>
      <c r="Q762" s="10">
        <v>12</v>
      </c>
      <c r="R762" s="10" t="s">
        <v>27</v>
      </c>
      <c r="S762" s="14" t="str">
        <f t="shared" si="11"/>
        <v>Week 3</v>
      </c>
    </row>
    <row r="763" spans="1:19" x14ac:dyDescent="0.3">
      <c r="A763" s="15" t="s">
        <v>1060</v>
      </c>
      <c r="B763" s="16">
        <v>43088</v>
      </c>
      <c r="C763" s="17" t="s">
        <v>695</v>
      </c>
      <c r="D763" s="17" t="s">
        <v>30</v>
      </c>
      <c r="E763" s="17" t="s">
        <v>326</v>
      </c>
      <c r="F763" s="18">
        <v>12</v>
      </c>
      <c r="G763" s="19">
        <v>2546</v>
      </c>
      <c r="H763" s="19">
        <v>30552</v>
      </c>
      <c r="I763" s="20">
        <v>1654.9</v>
      </c>
      <c r="J763" s="17" t="s">
        <v>32</v>
      </c>
      <c r="K763" s="17" t="s">
        <v>33</v>
      </c>
      <c r="L763" s="17" t="s">
        <v>34</v>
      </c>
      <c r="M763" s="19">
        <v>19858.8</v>
      </c>
      <c r="N763" s="19">
        <v>10693.199999999901</v>
      </c>
      <c r="O763" s="17">
        <v>34.999999999999901</v>
      </c>
      <c r="P763" s="17" t="s">
        <v>26</v>
      </c>
      <c r="Q763" s="17">
        <v>12</v>
      </c>
      <c r="R763" s="17" t="s">
        <v>27</v>
      </c>
      <c r="S763" s="14" t="str">
        <f t="shared" si="11"/>
        <v>Week 3</v>
      </c>
    </row>
    <row r="764" spans="1:19" x14ac:dyDescent="0.3">
      <c r="A764" s="8" t="s">
        <v>1061</v>
      </c>
      <c r="B764" s="9">
        <v>43088</v>
      </c>
      <c r="C764" s="10" t="s">
        <v>162</v>
      </c>
      <c r="D764" s="10" t="s">
        <v>30</v>
      </c>
      <c r="E764" s="10" t="s">
        <v>115</v>
      </c>
      <c r="F764" s="11">
        <v>7</v>
      </c>
      <c r="G764" s="12">
        <v>991.6</v>
      </c>
      <c r="H764" s="12">
        <v>6941.2</v>
      </c>
      <c r="I764" s="13">
        <v>485.88400000000001</v>
      </c>
      <c r="J764" s="10" t="s">
        <v>23</v>
      </c>
      <c r="K764" s="10" t="s">
        <v>24</v>
      </c>
      <c r="L764" s="10" t="s">
        <v>25</v>
      </c>
      <c r="M764" s="12">
        <v>3401.1880000000001</v>
      </c>
      <c r="N764" s="12">
        <v>3540.0119999999902</v>
      </c>
      <c r="O764" s="10">
        <v>51</v>
      </c>
      <c r="P764" s="10" t="s">
        <v>26</v>
      </c>
      <c r="Q764" s="10">
        <v>12</v>
      </c>
      <c r="R764" s="10" t="s">
        <v>27</v>
      </c>
      <c r="S764" s="14" t="str">
        <f t="shared" si="11"/>
        <v>Week 3</v>
      </c>
    </row>
    <row r="765" spans="1:19" x14ac:dyDescent="0.3">
      <c r="A765" s="15" t="s">
        <v>1062</v>
      </c>
      <c r="B765" s="16">
        <v>43088</v>
      </c>
      <c r="C765" s="17" t="s">
        <v>129</v>
      </c>
      <c r="D765" s="17" t="s">
        <v>21</v>
      </c>
      <c r="E765" s="17" t="s">
        <v>127</v>
      </c>
      <c r="F765" s="18">
        <v>12</v>
      </c>
      <c r="G765" s="19">
        <v>1319.9</v>
      </c>
      <c r="H765" s="19">
        <v>15838.800000000001</v>
      </c>
      <c r="I765" s="20">
        <v>1042.721</v>
      </c>
      <c r="J765" s="17" t="s">
        <v>159</v>
      </c>
      <c r="K765" s="17" t="s">
        <v>160</v>
      </c>
      <c r="L765" s="17" t="s">
        <v>25</v>
      </c>
      <c r="M765" s="19">
        <v>12512.652</v>
      </c>
      <c r="N765" s="19">
        <v>3326.1479999999901</v>
      </c>
      <c r="O765" s="17">
        <v>20.999999999999901</v>
      </c>
      <c r="P765" s="17" t="s">
        <v>26</v>
      </c>
      <c r="Q765" s="17">
        <v>12</v>
      </c>
      <c r="R765" s="17" t="s">
        <v>27</v>
      </c>
      <c r="S765" s="14" t="str">
        <f t="shared" si="11"/>
        <v>Week 3</v>
      </c>
    </row>
    <row r="766" spans="1:19" x14ac:dyDescent="0.3">
      <c r="A766" s="8" t="s">
        <v>1063</v>
      </c>
      <c r="B766" s="9">
        <v>43088</v>
      </c>
      <c r="C766" s="10" t="s">
        <v>509</v>
      </c>
      <c r="D766" s="10" t="s">
        <v>21</v>
      </c>
      <c r="E766" s="10" t="s">
        <v>146</v>
      </c>
      <c r="F766" s="11">
        <v>5</v>
      </c>
      <c r="G766" s="12">
        <v>221.1</v>
      </c>
      <c r="H766" s="12">
        <v>1105.5</v>
      </c>
      <c r="I766" s="13">
        <v>145.92599999999999</v>
      </c>
      <c r="J766" s="10" t="s">
        <v>177</v>
      </c>
      <c r="K766" s="10" t="s">
        <v>178</v>
      </c>
      <c r="L766" s="10" t="s">
        <v>40</v>
      </c>
      <c r="M766" s="12">
        <v>729.63</v>
      </c>
      <c r="N766" s="12">
        <v>375.86999999999898</v>
      </c>
      <c r="O766" s="10">
        <v>33.999999999999901</v>
      </c>
      <c r="P766" s="10" t="s">
        <v>26</v>
      </c>
      <c r="Q766" s="10">
        <v>12</v>
      </c>
      <c r="R766" s="10" t="s">
        <v>27</v>
      </c>
      <c r="S766" s="14" t="str">
        <f t="shared" si="11"/>
        <v>Week 3</v>
      </c>
    </row>
    <row r="767" spans="1:19" x14ac:dyDescent="0.3">
      <c r="A767" s="15" t="s">
        <v>1064</v>
      </c>
      <c r="B767" s="16">
        <v>43089</v>
      </c>
      <c r="C767" s="17" t="s">
        <v>369</v>
      </c>
      <c r="D767" s="17" t="s">
        <v>43</v>
      </c>
      <c r="E767" s="17" t="s">
        <v>167</v>
      </c>
      <c r="F767" s="18">
        <v>5</v>
      </c>
      <c r="G767" s="19">
        <v>1118.9000000000001</v>
      </c>
      <c r="H767" s="19">
        <v>5594.5</v>
      </c>
      <c r="I767" s="20">
        <v>570.63900000000001</v>
      </c>
      <c r="J767" s="17" t="s">
        <v>225</v>
      </c>
      <c r="K767" s="17" t="s">
        <v>226</v>
      </c>
      <c r="L767" s="17" t="s">
        <v>25</v>
      </c>
      <c r="M767" s="19">
        <v>2853.1950000000002</v>
      </c>
      <c r="N767" s="19">
        <v>2741.3049999999998</v>
      </c>
      <c r="O767" s="17">
        <v>49</v>
      </c>
      <c r="P767" s="17" t="s">
        <v>26</v>
      </c>
      <c r="Q767" s="17">
        <v>12</v>
      </c>
      <c r="R767" s="17" t="s">
        <v>27</v>
      </c>
      <c r="S767" s="14" t="str">
        <f t="shared" si="11"/>
        <v>Week 3</v>
      </c>
    </row>
    <row r="768" spans="1:19" x14ac:dyDescent="0.3">
      <c r="A768" s="8" t="s">
        <v>1065</v>
      </c>
      <c r="B768" s="9">
        <v>43089</v>
      </c>
      <c r="C768" s="10" t="s">
        <v>102</v>
      </c>
      <c r="D768" s="10" t="s">
        <v>43</v>
      </c>
      <c r="E768" s="10" t="s">
        <v>326</v>
      </c>
      <c r="F768" s="11">
        <v>12</v>
      </c>
      <c r="G768" s="12">
        <v>2814</v>
      </c>
      <c r="H768" s="12">
        <v>33768</v>
      </c>
      <c r="I768" s="13">
        <v>1885.38</v>
      </c>
      <c r="J768" s="10" t="s">
        <v>50</v>
      </c>
      <c r="K768" s="10" t="s">
        <v>51</v>
      </c>
      <c r="L768" s="10" t="s">
        <v>40</v>
      </c>
      <c r="M768" s="12">
        <v>22624.560000000001</v>
      </c>
      <c r="N768" s="12">
        <v>11143.4399999999</v>
      </c>
      <c r="O768" s="10">
        <v>32.999999999999901</v>
      </c>
      <c r="P768" s="10" t="s">
        <v>26</v>
      </c>
      <c r="Q768" s="10">
        <v>12</v>
      </c>
      <c r="R768" s="10" t="s">
        <v>27</v>
      </c>
      <c r="S768" s="14" t="str">
        <f t="shared" si="11"/>
        <v>Week 3</v>
      </c>
    </row>
    <row r="769" spans="1:19" x14ac:dyDescent="0.3">
      <c r="A769" s="15" t="s">
        <v>1066</v>
      </c>
      <c r="B769" s="16">
        <v>43089</v>
      </c>
      <c r="C769" s="17" t="s">
        <v>102</v>
      </c>
      <c r="D769" s="17" t="s">
        <v>21</v>
      </c>
      <c r="E769" s="17" t="s">
        <v>91</v>
      </c>
      <c r="F769" s="18">
        <v>8</v>
      </c>
      <c r="G769" s="19">
        <v>703.5</v>
      </c>
      <c r="H769" s="19">
        <v>5628</v>
      </c>
      <c r="I769" s="20">
        <v>302.505</v>
      </c>
      <c r="J769" s="17" t="s">
        <v>32</v>
      </c>
      <c r="K769" s="17" t="s">
        <v>33</v>
      </c>
      <c r="L769" s="17" t="s">
        <v>34</v>
      </c>
      <c r="M769" s="19">
        <v>2420.04</v>
      </c>
      <c r="N769" s="19">
        <v>3207.96</v>
      </c>
      <c r="O769" s="17">
        <v>56.999999999999901</v>
      </c>
      <c r="P769" s="17" t="s">
        <v>26</v>
      </c>
      <c r="Q769" s="17">
        <v>12</v>
      </c>
      <c r="R769" s="17" t="s">
        <v>27</v>
      </c>
      <c r="S769" s="14" t="str">
        <f t="shared" si="11"/>
        <v>Week 3</v>
      </c>
    </row>
    <row r="770" spans="1:19" x14ac:dyDescent="0.3">
      <c r="A770" s="8" t="s">
        <v>1067</v>
      </c>
      <c r="B770" s="9">
        <v>43089</v>
      </c>
      <c r="C770" s="10" t="s">
        <v>718</v>
      </c>
      <c r="D770" s="10" t="s">
        <v>21</v>
      </c>
      <c r="E770" s="10" t="s">
        <v>120</v>
      </c>
      <c r="F770" s="11">
        <v>10</v>
      </c>
      <c r="G770" s="12">
        <v>207.7</v>
      </c>
      <c r="H770" s="12">
        <v>2077</v>
      </c>
      <c r="I770" s="13">
        <v>122.54300000000001</v>
      </c>
      <c r="J770" s="10" t="s">
        <v>54</v>
      </c>
      <c r="K770" s="10" t="s">
        <v>55</v>
      </c>
      <c r="L770" s="10" t="s">
        <v>56</v>
      </c>
      <c r="M770" s="12">
        <v>1225.43</v>
      </c>
      <c r="N770" s="12">
        <v>851.56999999999903</v>
      </c>
      <c r="O770" s="10">
        <v>41</v>
      </c>
      <c r="P770" s="10" t="s">
        <v>26</v>
      </c>
      <c r="Q770" s="10">
        <v>12</v>
      </c>
      <c r="R770" s="10" t="s">
        <v>27</v>
      </c>
      <c r="S770" s="14" t="str">
        <f t="shared" si="11"/>
        <v>Week 3</v>
      </c>
    </row>
    <row r="771" spans="1:19" x14ac:dyDescent="0.3">
      <c r="A771" s="15" t="s">
        <v>1068</v>
      </c>
      <c r="B771" s="16">
        <v>43089</v>
      </c>
      <c r="C771" s="17" t="s">
        <v>367</v>
      </c>
      <c r="D771" s="17" t="s">
        <v>21</v>
      </c>
      <c r="E771" s="17" t="s">
        <v>149</v>
      </c>
      <c r="F771" s="18">
        <v>12</v>
      </c>
      <c r="G771" s="19">
        <v>1159.0999999999999</v>
      </c>
      <c r="H771" s="19">
        <v>13909.199999999999</v>
      </c>
      <c r="I771" s="20">
        <v>869.32500000000005</v>
      </c>
      <c r="J771" s="17" t="s">
        <v>45</v>
      </c>
      <c r="K771" s="17" t="s">
        <v>46</v>
      </c>
      <c r="L771" s="17" t="s">
        <v>34</v>
      </c>
      <c r="M771" s="19">
        <v>10431.9</v>
      </c>
      <c r="N771" s="19">
        <v>3477.2999999999902</v>
      </c>
      <c r="O771" s="17">
        <v>24.999999999999901</v>
      </c>
      <c r="P771" s="17" t="s">
        <v>26</v>
      </c>
      <c r="Q771" s="17">
        <v>12</v>
      </c>
      <c r="R771" s="17" t="s">
        <v>27</v>
      </c>
      <c r="S771" s="14" t="str">
        <f t="shared" ref="S771:S834" si="12">"Week "&amp;INT((DAY(B771)-1)/7)+1</f>
        <v>Week 3</v>
      </c>
    </row>
    <row r="772" spans="1:19" x14ac:dyDescent="0.3">
      <c r="A772" s="8" t="s">
        <v>1069</v>
      </c>
      <c r="B772" s="9">
        <v>43089</v>
      </c>
      <c r="C772" s="10" t="s">
        <v>207</v>
      </c>
      <c r="D772" s="10" t="s">
        <v>30</v>
      </c>
      <c r="E772" s="10" t="s">
        <v>127</v>
      </c>
      <c r="F772" s="11">
        <v>12</v>
      </c>
      <c r="G772" s="12">
        <v>234.5</v>
      </c>
      <c r="H772" s="12">
        <v>2814</v>
      </c>
      <c r="I772" s="13">
        <v>126.63</v>
      </c>
      <c r="J772" s="10" t="s">
        <v>225</v>
      </c>
      <c r="K772" s="10" t="s">
        <v>226</v>
      </c>
      <c r="L772" s="10" t="s">
        <v>25</v>
      </c>
      <c r="M772" s="12">
        <v>1519.56</v>
      </c>
      <c r="N772" s="12">
        <v>1294.4399999999901</v>
      </c>
      <c r="O772" s="10">
        <v>46</v>
      </c>
      <c r="P772" s="10" t="s">
        <v>26</v>
      </c>
      <c r="Q772" s="10">
        <v>12</v>
      </c>
      <c r="R772" s="10" t="s">
        <v>27</v>
      </c>
      <c r="S772" s="14" t="str">
        <f t="shared" si="12"/>
        <v>Week 3</v>
      </c>
    </row>
    <row r="773" spans="1:19" x14ac:dyDescent="0.3">
      <c r="A773" s="15" t="s">
        <v>1070</v>
      </c>
      <c r="B773" s="16">
        <v>43089</v>
      </c>
      <c r="C773" s="17" t="s">
        <v>273</v>
      </c>
      <c r="D773" s="17" t="s">
        <v>30</v>
      </c>
      <c r="E773" s="17" t="s">
        <v>103</v>
      </c>
      <c r="F773" s="18">
        <v>9</v>
      </c>
      <c r="G773" s="19">
        <v>1072</v>
      </c>
      <c r="H773" s="19">
        <v>9648</v>
      </c>
      <c r="I773" s="20">
        <v>621.76</v>
      </c>
      <c r="J773" s="17" t="s">
        <v>104</v>
      </c>
      <c r="K773" s="17" t="s">
        <v>105</v>
      </c>
      <c r="L773" s="17" t="s">
        <v>25</v>
      </c>
      <c r="M773" s="19">
        <v>5595.84</v>
      </c>
      <c r="N773" s="19">
        <v>4052.16</v>
      </c>
      <c r="O773" s="17">
        <v>42</v>
      </c>
      <c r="P773" s="17" t="s">
        <v>26</v>
      </c>
      <c r="Q773" s="17">
        <v>12</v>
      </c>
      <c r="R773" s="17" t="s">
        <v>27</v>
      </c>
      <c r="S773" s="14" t="str">
        <f t="shared" si="12"/>
        <v>Week 3</v>
      </c>
    </row>
    <row r="774" spans="1:19" x14ac:dyDescent="0.3">
      <c r="A774" s="8" t="s">
        <v>1071</v>
      </c>
      <c r="B774" s="9">
        <v>43089</v>
      </c>
      <c r="C774" s="10" t="s">
        <v>217</v>
      </c>
      <c r="D774" s="10" t="s">
        <v>30</v>
      </c>
      <c r="E774" s="10" t="s">
        <v>197</v>
      </c>
      <c r="F774" s="11">
        <v>9</v>
      </c>
      <c r="G774" s="12">
        <v>2345</v>
      </c>
      <c r="H774" s="12">
        <v>21105</v>
      </c>
      <c r="I774" s="13">
        <v>1922.8999999999901</v>
      </c>
      <c r="J774" s="10" t="s">
        <v>257</v>
      </c>
      <c r="K774" s="10" t="s">
        <v>258</v>
      </c>
      <c r="L774" s="10" t="s">
        <v>25</v>
      </c>
      <c r="M774" s="12">
        <v>17306.099999999999</v>
      </c>
      <c r="N774" s="12">
        <v>3798.9</v>
      </c>
      <c r="O774" s="10">
        <v>18</v>
      </c>
      <c r="P774" s="10" t="s">
        <v>26</v>
      </c>
      <c r="Q774" s="10">
        <v>12</v>
      </c>
      <c r="R774" s="10" t="s">
        <v>27</v>
      </c>
      <c r="S774" s="14" t="str">
        <f t="shared" si="12"/>
        <v>Week 3</v>
      </c>
    </row>
    <row r="775" spans="1:19" x14ac:dyDescent="0.3">
      <c r="A775" s="15" t="s">
        <v>1072</v>
      </c>
      <c r="B775" s="16">
        <v>43089</v>
      </c>
      <c r="C775" s="17" t="s">
        <v>354</v>
      </c>
      <c r="D775" s="17" t="s">
        <v>30</v>
      </c>
      <c r="E775" s="17" t="s">
        <v>73</v>
      </c>
      <c r="F775" s="18">
        <v>6</v>
      </c>
      <c r="G775" s="19">
        <v>2881</v>
      </c>
      <c r="H775" s="19">
        <v>17286</v>
      </c>
      <c r="I775" s="20">
        <v>1584.55</v>
      </c>
      <c r="J775" s="17" t="s">
        <v>32</v>
      </c>
      <c r="K775" s="17" t="s">
        <v>33</v>
      </c>
      <c r="L775" s="17" t="s">
        <v>34</v>
      </c>
      <c r="M775" s="19">
        <v>9507.2999999999993</v>
      </c>
      <c r="N775" s="19">
        <v>7778.6999999999898</v>
      </c>
      <c r="O775" s="17">
        <v>44.999999999999901</v>
      </c>
      <c r="P775" s="17" t="s">
        <v>26</v>
      </c>
      <c r="Q775" s="17">
        <v>12</v>
      </c>
      <c r="R775" s="17" t="s">
        <v>27</v>
      </c>
      <c r="S775" s="14" t="str">
        <f t="shared" si="12"/>
        <v>Week 3</v>
      </c>
    </row>
    <row r="776" spans="1:19" x14ac:dyDescent="0.3">
      <c r="A776" s="8" t="s">
        <v>1061</v>
      </c>
      <c r="B776" s="9">
        <v>43089</v>
      </c>
      <c r="C776" s="10" t="s">
        <v>162</v>
      </c>
      <c r="D776" s="10" t="s">
        <v>30</v>
      </c>
      <c r="E776" s="10" t="s">
        <v>115</v>
      </c>
      <c r="F776" s="11">
        <v>7</v>
      </c>
      <c r="G776" s="12">
        <v>991.6</v>
      </c>
      <c r="H776" s="12">
        <v>6941.2</v>
      </c>
      <c r="I776" s="13">
        <v>485.88400000000001</v>
      </c>
      <c r="J776" s="10" t="s">
        <v>76</v>
      </c>
      <c r="K776" s="10" t="s">
        <v>77</v>
      </c>
      <c r="L776" s="10" t="s">
        <v>56</v>
      </c>
      <c r="M776" s="12">
        <v>3401.1880000000001</v>
      </c>
      <c r="N776" s="12">
        <v>3540.0119999999902</v>
      </c>
      <c r="O776" s="10">
        <v>51</v>
      </c>
      <c r="P776" s="10" t="s">
        <v>26</v>
      </c>
      <c r="Q776" s="10">
        <v>12</v>
      </c>
      <c r="R776" s="10" t="s">
        <v>27</v>
      </c>
      <c r="S776" s="14" t="str">
        <f t="shared" si="12"/>
        <v>Week 3</v>
      </c>
    </row>
    <row r="777" spans="1:19" x14ac:dyDescent="0.3">
      <c r="A777" s="15" t="s">
        <v>1073</v>
      </c>
      <c r="B777" s="16">
        <v>43089</v>
      </c>
      <c r="C777" s="17" t="s">
        <v>199</v>
      </c>
      <c r="D777" s="17" t="s">
        <v>30</v>
      </c>
      <c r="E777" s="17" t="s">
        <v>103</v>
      </c>
      <c r="F777" s="18">
        <v>9</v>
      </c>
      <c r="G777" s="19">
        <v>951.4</v>
      </c>
      <c r="H777" s="19">
        <v>8562.6</v>
      </c>
      <c r="I777" s="20">
        <v>704.03599999999994</v>
      </c>
      <c r="J777" s="17" t="s">
        <v>69</v>
      </c>
      <c r="K777" s="17" t="s">
        <v>70</v>
      </c>
      <c r="L777" s="17" t="s">
        <v>25</v>
      </c>
      <c r="M777" s="19">
        <v>6336.3239999999996</v>
      </c>
      <c r="N777" s="19">
        <v>2226.2759999999998</v>
      </c>
      <c r="O777" s="17">
        <v>26</v>
      </c>
      <c r="P777" s="17" t="s">
        <v>26</v>
      </c>
      <c r="Q777" s="17">
        <v>12</v>
      </c>
      <c r="R777" s="17" t="s">
        <v>27</v>
      </c>
      <c r="S777" s="14" t="str">
        <f t="shared" si="12"/>
        <v>Week 3</v>
      </c>
    </row>
    <row r="778" spans="1:19" x14ac:dyDescent="0.3">
      <c r="A778" s="8" t="s">
        <v>959</v>
      </c>
      <c r="B778" s="9">
        <v>43089</v>
      </c>
      <c r="C778" s="10" t="s">
        <v>354</v>
      </c>
      <c r="D778" s="10" t="s">
        <v>21</v>
      </c>
      <c r="E778" s="10" t="s">
        <v>103</v>
      </c>
      <c r="F778" s="11">
        <v>5</v>
      </c>
      <c r="G778" s="12">
        <v>5212.6000000000004</v>
      </c>
      <c r="H778" s="12">
        <v>26063</v>
      </c>
      <c r="I778" s="13">
        <v>3283.9380000000001</v>
      </c>
      <c r="J778" s="10" t="s">
        <v>32</v>
      </c>
      <c r="K778" s="10" t="s">
        <v>33</v>
      </c>
      <c r="L778" s="10" t="s">
        <v>34</v>
      </c>
      <c r="M778" s="12">
        <v>16419.689999999999</v>
      </c>
      <c r="N778" s="12">
        <v>9643.3099999999904</v>
      </c>
      <c r="O778" s="10">
        <v>36.999999999999901</v>
      </c>
      <c r="P778" s="10" t="s">
        <v>26</v>
      </c>
      <c r="Q778" s="10">
        <v>12</v>
      </c>
      <c r="R778" s="10" t="s">
        <v>27</v>
      </c>
      <c r="S778" s="14" t="str">
        <f t="shared" si="12"/>
        <v>Week 3</v>
      </c>
    </row>
    <row r="779" spans="1:19" x14ac:dyDescent="0.3">
      <c r="A779" s="15" t="s">
        <v>1074</v>
      </c>
      <c r="B779" s="16">
        <v>43089</v>
      </c>
      <c r="C779" s="17" t="s">
        <v>136</v>
      </c>
      <c r="D779" s="17" t="s">
        <v>43</v>
      </c>
      <c r="E779" s="17" t="s">
        <v>91</v>
      </c>
      <c r="F779" s="18">
        <v>5</v>
      </c>
      <c r="G779" s="19">
        <v>2257.9</v>
      </c>
      <c r="H779" s="19">
        <v>11289.5</v>
      </c>
      <c r="I779" s="20">
        <v>925.73900000000003</v>
      </c>
      <c r="J779" s="17" t="s">
        <v>54</v>
      </c>
      <c r="K779" s="17" t="s">
        <v>55</v>
      </c>
      <c r="L779" s="17" t="s">
        <v>56</v>
      </c>
      <c r="M779" s="19">
        <v>4628.6949999999997</v>
      </c>
      <c r="N779" s="19">
        <v>6660.8050000000003</v>
      </c>
      <c r="O779" s="17">
        <v>59</v>
      </c>
      <c r="P779" s="17" t="s">
        <v>26</v>
      </c>
      <c r="Q779" s="17">
        <v>12</v>
      </c>
      <c r="R779" s="17" t="s">
        <v>27</v>
      </c>
      <c r="S779" s="14" t="str">
        <f t="shared" si="12"/>
        <v>Week 3</v>
      </c>
    </row>
    <row r="780" spans="1:19" x14ac:dyDescent="0.3">
      <c r="A780" s="8" t="s">
        <v>1075</v>
      </c>
      <c r="B780" s="9">
        <v>43089</v>
      </c>
      <c r="C780" s="10" t="s">
        <v>190</v>
      </c>
      <c r="D780" s="10" t="s">
        <v>21</v>
      </c>
      <c r="E780" s="10" t="s">
        <v>110</v>
      </c>
      <c r="F780" s="11">
        <v>11</v>
      </c>
      <c r="G780" s="12">
        <v>1011.7</v>
      </c>
      <c r="H780" s="12">
        <v>11128.7</v>
      </c>
      <c r="I780" s="13">
        <v>586.78599999999994</v>
      </c>
      <c r="J780" s="10" t="s">
        <v>38</v>
      </c>
      <c r="K780" s="10" t="s">
        <v>39</v>
      </c>
      <c r="L780" s="10" t="s">
        <v>40</v>
      </c>
      <c r="M780" s="12">
        <v>6454.6459999999997</v>
      </c>
      <c r="N780" s="12">
        <v>4674.0540000000001</v>
      </c>
      <c r="O780" s="10">
        <v>42</v>
      </c>
      <c r="P780" s="10" t="s">
        <v>26</v>
      </c>
      <c r="Q780" s="10">
        <v>12</v>
      </c>
      <c r="R780" s="10" t="s">
        <v>27</v>
      </c>
      <c r="S780" s="14" t="str">
        <f t="shared" si="12"/>
        <v>Week 3</v>
      </c>
    </row>
    <row r="781" spans="1:19" x14ac:dyDescent="0.3">
      <c r="A781" s="15" t="s">
        <v>1076</v>
      </c>
      <c r="B781" s="16">
        <v>43089</v>
      </c>
      <c r="C781" s="17" t="s">
        <v>151</v>
      </c>
      <c r="D781" s="17" t="s">
        <v>30</v>
      </c>
      <c r="E781" s="17" t="s">
        <v>228</v>
      </c>
      <c r="F781" s="18">
        <v>11</v>
      </c>
      <c r="G781" s="19">
        <v>1842.5</v>
      </c>
      <c r="H781" s="19">
        <v>20267.5</v>
      </c>
      <c r="I781" s="20">
        <v>1123.925</v>
      </c>
      <c r="J781" s="17" t="s">
        <v>45</v>
      </c>
      <c r="K781" s="17" t="s">
        <v>46</v>
      </c>
      <c r="L781" s="17" t="s">
        <v>34</v>
      </c>
      <c r="M781" s="19">
        <v>12363.174999999999</v>
      </c>
      <c r="N781" s="19">
        <v>7904.3249999999998</v>
      </c>
      <c r="O781" s="17">
        <v>39</v>
      </c>
      <c r="P781" s="17" t="s">
        <v>26</v>
      </c>
      <c r="Q781" s="17">
        <v>12</v>
      </c>
      <c r="R781" s="17" t="s">
        <v>27</v>
      </c>
      <c r="S781" s="14" t="str">
        <f t="shared" si="12"/>
        <v>Week 3</v>
      </c>
    </row>
    <row r="782" spans="1:19" x14ac:dyDescent="0.3">
      <c r="A782" s="8" t="s">
        <v>1077</v>
      </c>
      <c r="B782" s="9">
        <v>43089</v>
      </c>
      <c r="C782" s="10" t="s">
        <v>618</v>
      </c>
      <c r="D782" s="10" t="s">
        <v>21</v>
      </c>
      <c r="E782" s="10" t="s">
        <v>62</v>
      </c>
      <c r="F782" s="11">
        <v>5</v>
      </c>
      <c r="G782" s="12">
        <v>904.5</v>
      </c>
      <c r="H782" s="12">
        <v>4522.5</v>
      </c>
      <c r="I782" s="13">
        <v>506.52</v>
      </c>
      <c r="J782" s="10" t="s">
        <v>54</v>
      </c>
      <c r="K782" s="10" t="s">
        <v>55</v>
      </c>
      <c r="L782" s="10" t="s">
        <v>56</v>
      </c>
      <c r="M782" s="12">
        <v>2532.6</v>
      </c>
      <c r="N782" s="12">
        <v>1989.8999999999901</v>
      </c>
      <c r="O782" s="10">
        <v>43.999999999999901</v>
      </c>
      <c r="P782" s="10" t="s">
        <v>26</v>
      </c>
      <c r="Q782" s="10">
        <v>12</v>
      </c>
      <c r="R782" s="10" t="s">
        <v>27</v>
      </c>
      <c r="S782" s="14" t="str">
        <f t="shared" si="12"/>
        <v>Week 3</v>
      </c>
    </row>
    <row r="783" spans="1:19" x14ac:dyDescent="0.3">
      <c r="A783" s="15" t="s">
        <v>1078</v>
      </c>
      <c r="B783" s="16">
        <v>43089</v>
      </c>
      <c r="C783" s="17" t="s">
        <v>402</v>
      </c>
      <c r="D783" s="17" t="s">
        <v>21</v>
      </c>
      <c r="E783" s="17" t="s">
        <v>91</v>
      </c>
      <c r="F783" s="18">
        <v>11</v>
      </c>
      <c r="G783" s="19">
        <v>3979.8</v>
      </c>
      <c r="H783" s="19">
        <v>43777.8</v>
      </c>
      <c r="I783" s="20">
        <v>3343.0320000000002</v>
      </c>
      <c r="J783" s="17" t="s">
        <v>45</v>
      </c>
      <c r="K783" s="17" t="s">
        <v>46</v>
      </c>
      <c r="L783" s="17" t="s">
        <v>34</v>
      </c>
      <c r="M783" s="19">
        <v>36773.351999999999</v>
      </c>
      <c r="N783" s="19">
        <v>7004.4480000000003</v>
      </c>
      <c r="O783" s="17">
        <v>16</v>
      </c>
      <c r="P783" s="17" t="s">
        <v>26</v>
      </c>
      <c r="Q783" s="17">
        <v>12</v>
      </c>
      <c r="R783" s="17" t="s">
        <v>27</v>
      </c>
      <c r="S783" s="14" t="str">
        <f t="shared" si="12"/>
        <v>Week 3</v>
      </c>
    </row>
    <row r="784" spans="1:19" x14ac:dyDescent="0.3">
      <c r="A784" s="8" t="s">
        <v>1079</v>
      </c>
      <c r="B784" s="9">
        <v>43089</v>
      </c>
      <c r="C784" s="10" t="s">
        <v>643</v>
      </c>
      <c r="D784" s="10" t="s">
        <v>21</v>
      </c>
      <c r="E784" s="10" t="s">
        <v>73</v>
      </c>
      <c r="F784" s="11">
        <v>8</v>
      </c>
      <c r="G784" s="12">
        <v>891.1</v>
      </c>
      <c r="H784" s="12">
        <v>7128.8</v>
      </c>
      <c r="I784" s="13">
        <v>739.61299999999903</v>
      </c>
      <c r="J784" s="10" t="s">
        <v>436</v>
      </c>
      <c r="K784" s="10" t="s">
        <v>437</v>
      </c>
      <c r="L784" s="10" t="s">
        <v>25</v>
      </c>
      <c r="M784" s="12">
        <v>5916.9039999999904</v>
      </c>
      <c r="N784" s="12">
        <v>1211.896</v>
      </c>
      <c r="O784" s="10">
        <v>17</v>
      </c>
      <c r="P784" s="10" t="s">
        <v>26</v>
      </c>
      <c r="Q784" s="10">
        <v>12</v>
      </c>
      <c r="R784" s="10" t="s">
        <v>27</v>
      </c>
      <c r="S784" s="14" t="str">
        <f t="shared" si="12"/>
        <v>Week 3</v>
      </c>
    </row>
    <row r="785" spans="1:19" x14ac:dyDescent="0.3">
      <c r="A785" s="15" t="s">
        <v>1080</v>
      </c>
      <c r="B785" s="16">
        <v>43089</v>
      </c>
      <c r="C785" s="17" t="s">
        <v>856</v>
      </c>
      <c r="D785" s="17" t="s">
        <v>21</v>
      </c>
      <c r="E785" s="17" t="s">
        <v>31</v>
      </c>
      <c r="F785" s="18">
        <v>7</v>
      </c>
      <c r="G785" s="19">
        <v>1118.9000000000001</v>
      </c>
      <c r="H785" s="19">
        <v>7832.3000000000011</v>
      </c>
      <c r="I785" s="20">
        <v>906.30899999999997</v>
      </c>
      <c r="J785" s="17" t="s">
        <v>45</v>
      </c>
      <c r="K785" s="17" t="s">
        <v>46</v>
      </c>
      <c r="L785" s="17" t="s">
        <v>34</v>
      </c>
      <c r="M785" s="19">
        <v>6344.1629999999996</v>
      </c>
      <c r="N785" s="19">
        <v>1488.1369999999999</v>
      </c>
      <c r="O785" s="17">
        <v>19</v>
      </c>
      <c r="P785" s="17" t="s">
        <v>26</v>
      </c>
      <c r="Q785" s="17">
        <v>12</v>
      </c>
      <c r="R785" s="17" t="s">
        <v>27</v>
      </c>
      <c r="S785" s="14" t="str">
        <f t="shared" si="12"/>
        <v>Week 3</v>
      </c>
    </row>
    <row r="786" spans="1:19" x14ac:dyDescent="0.3">
      <c r="A786" s="8" t="s">
        <v>1081</v>
      </c>
      <c r="B786" s="9">
        <v>43089</v>
      </c>
      <c r="C786" s="10" t="s">
        <v>36</v>
      </c>
      <c r="D786" s="10" t="s">
        <v>21</v>
      </c>
      <c r="E786" s="10" t="s">
        <v>265</v>
      </c>
      <c r="F786" s="11">
        <v>7</v>
      </c>
      <c r="G786" s="12">
        <v>2907.8</v>
      </c>
      <c r="H786" s="12">
        <v>20354.600000000002</v>
      </c>
      <c r="I786" s="13">
        <v>2239.0059999999999</v>
      </c>
      <c r="J786" s="10" t="s">
        <v>38</v>
      </c>
      <c r="K786" s="10" t="s">
        <v>39</v>
      </c>
      <c r="L786" s="10" t="s">
        <v>40</v>
      </c>
      <c r="M786" s="12">
        <v>15673.041999999999</v>
      </c>
      <c r="N786" s="12">
        <v>4681.558</v>
      </c>
      <c r="O786" s="10">
        <v>23</v>
      </c>
      <c r="P786" s="10" t="s">
        <v>26</v>
      </c>
      <c r="Q786" s="10">
        <v>12</v>
      </c>
      <c r="R786" s="10" t="s">
        <v>27</v>
      </c>
      <c r="S786" s="14" t="str">
        <f t="shared" si="12"/>
        <v>Week 3</v>
      </c>
    </row>
    <row r="787" spans="1:19" x14ac:dyDescent="0.3">
      <c r="A787" s="15" t="s">
        <v>1082</v>
      </c>
      <c r="B787" s="16">
        <v>43089</v>
      </c>
      <c r="C787" s="17" t="s">
        <v>367</v>
      </c>
      <c r="D787" s="17" t="s">
        <v>21</v>
      </c>
      <c r="E787" s="17" t="s">
        <v>31</v>
      </c>
      <c r="F787" s="18">
        <v>11</v>
      </c>
      <c r="G787" s="19">
        <v>857.6</v>
      </c>
      <c r="H787" s="19">
        <v>9433.6</v>
      </c>
      <c r="I787" s="20">
        <v>420.22399999999999</v>
      </c>
      <c r="J787" s="17" t="s">
        <v>32</v>
      </c>
      <c r="K787" s="17" t="s">
        <v>33</v>
      </c>
      <c r="L787" s="17" t="s">
        <v>34</v>
      </c>
      <c r="M787" s="19">
        <v>4622.4639999999999</v>
      </c>
      <c r="N787" s="19">
        <v>4811.1360000000004</v>
      </c>
      <c r="O787" s="17">
        <v>51</v>
      </c>
      <c r="P787" s="17" t="s">
        <v>26</v>
      </c>
      <c r="Q787" s="17">
        <v>12</v>
      </c>
      <c r="R787" s="17" t="s">
        <v>27</v>
      </c>
      <c r="S787" s="14" t="str">
        <f t="shared" si="12"/>
        <v>Week 3</v>
      </c>
    </row>
    <row r="788" spans="1:19" x14ac:dyDescent="0.3">
      <c r="A788" s="8" t="s">
        <v>1083</v>
      </c>
      <c r="B788" s="9">
        <v>43089</v>
      </c>
      <c r="C788" s="10" t="s">
        <v>142</v>
      </c>
      <c r="D788" s="10" t="s">
        <v>21</v>
      </c>
      <c r="E788" s="10" t="s">
        <v>22</v>
      </c>
      <c r="F788" s="11">
        <v>7</v>
      </c>
      <c r="G788" s="12">
        <v>1969.8</v>
      </c>
      <c r="H788" s="12">
        <v>13788.6</v>
      </c>
      <c r="I788" s="13">
        <v>1634.934</v>
      </c>
      <c r="J788" s="10" t="s">
        <v>289</v>
      </c>
      <c r="K788" s="10" t="s">
        <v>290</v>
      </c>
      <c r="L788" s="10" t="s">
        <v>34</v>
      </c>
      <c r="M788" s="12">
        <v>11444.538</v>
      </c>
      <c r="N788" s="12">
        <v>2344.0619999999999</v>
      </c>
      <c r="O788" s="10">
        <v>17</v>
      </c>
      <c r="P788" s="10" t="s">
        <v>26</v>
      </c>
      <c r="Q788" s="10">
        <v>12</v>
      </c>
      <c r="R788" s="10" t="s">
        <v>27</v>
      </c>
      <c r="S788" s="14" t="str">
        <f t="shared" si="12"/>
        <v>Week 3</v>
      </c>
    </row>
    <row r="789" spans="1:19" x14ac:dyDescent="0.3">
      <c r="A789" s="15" t="s">
        <v>1084</v>
      </c>
      <c r="B789" s="16">
        <v>43089</v>
      </c>
      <c r="C789" s="17" t="s">
        <v>378</v>
      </c>
      <c r="D789" s="17" t="s">
        <v>21</v>
      </c>
      <c r="E789" s="17" t="s">
        <v>31</v>
      </c>
      <c r="F789" s="18">
        <v>11</v>
      </c>
      <c r="G789" s="19">
        <v>1092.0999999999999</v>
      </c>
      <c r="H789" s="19">
        <v>12013.099999999999</v>
      </c>
      <c r="I789" s="20">
        <v>436.84</v>
      </c>
      <c r="J789" s="17" t="s">
        <v>50</v>
      </c>
      <c r="K789" s="17" t="s">
        <v>51</v>
      </c>
      <c r="L789" s="17" t="s">
        <v>40</v>
      </c>
      <c r="M789" s="19">
        <v>4805.24</v>
      </c>
      <c r="N789" s="19">
        <v>7207.86</v>
      </c>
      <c r="O789" s="17">
        <v>60</v>
      </c>
      <c r="P789" s="17" t="s">
        <v>26</v>
      </c>
      <c r="Q789" s="17">
        <v>12</v>
      </c>
      <c r="R789" s="17" t="s">
        <v>27</v>
      </c>
      <c r="S789" s="14" t="str">
        <f t="shared" si="12"/>
        <v>Week 3</v>
      </c>
    </row>
    <row r="790" spans="1:19" x14ac:dyDescent="0.3">
      <c r="A790" s="8" t="s">
        <v>1085</v>
      </c>
      <c r="B790" s="9">
        <v>43089</v>
      </c>
      <c r="C790" s="10" t="s">
        <v>275</v>
      </c>
      <c r="D790" s="10" t="s">
        <v>21</v>
      </c>
      <c r="E790" s="10" t="s">
        <v>93</v>
      </c>
      <c r="F790" s="11">
        <v>11</v>
      </c>
      <c r="G790" s="12">
        <v>1721.9</v>
      </c>
      <c r="H790" s="12">
        <v>18940.900000000001</v>
      </c>
      <c r="I790" s="13">
        <v>947.04499999999996</v>
      </c>
      <c r="J790" s="10" t="s">
        <v>54</v>
      </c>
      <c r="K790" s="10" t="s">
        <v>55</v>
      </c>
      <c r="L790" s="10" t="s">
        <v>56</v>
      </c>
      <c r="M790" s="12">
        <v>10417.495000000001</v>
      </c>
      <c r="N790" s="12">
        <v>8523.4050000000007</v>
      </c>
      <c r="O790" s="10">
        <v>45</v>
      </c>
      <c r="P790" s="10" t="s">
        <v>26</v>
      </c>
      <c r="Q790" s="10">
        <v>12</v>
      </c>
      <c r="R790" s="10" t="s">
        <v>27</v>
      </c>
      <c r="S790" s="14" t="str">
        <f t="shared" si="12"/>
        <v>Week 3</v>
      </c>
    </row>
    <row r="791" spans="1:19" x14ac:dyDescent="0.3">
      <c r="A791" s="15" t="s">
        <v>1086</v>
      </c>
      <c r="B791" s="16">
        <v>43089</v>
      </c>
      <c r="C791" s="17" t="s">
        <v>578</v>
      </c>
      <c r="D791" s="17" t="s">
        <v>21</v>
      </c>
      <c r="E791" s="17" t="s">
        <v>149</v>
      </c>
      <c r="F791" s="18">
        <v>11</v>
      </c>
      <c r="G791" s="19">
        <v>6177.4</v>
      </c>
      <c r="H791" s="19">
        <v>67951.399999999994</v>
      </c>
      <c r="I791" s="20">
        <v>5065.4679999999998</v>
      </c>
      <c r="J791" s="17" t="s">
        <v>104</v>
      </c>
      <c r="K791" s="17" t="s">
        <v>105</v>
      </c>
      <c r="L791" s="17" t="s">
        <v>25</v>
      </c>
      <c r="M791" s="19">
        <v>55720.148000000001</v>
      </c>
      <c r="N791" s="19">
        <v>12231.252</v>
      </c>
      <c r="O791" s="17">
        <v>18</v>
      </c>
      <c r="P791" s="17" t="s">
        <v>26</v>
      </c>
      <c r="Q791" s="17">
        <v>12</v>
      </c>
      <c r="R791" s="17" t="s">
        <v>27</v>
      </c>
      <c r="S791" s="14" t="str">
        <f t="shared" si="12"/>
        <v>Week 3</v>
      </c>
    </row>
    <row r="792" spans="1:19" x14ac:dyDescent="0.3">
      <c r="A792" s="8" t="s">
        <v>1087</v>
      </c>
      <c r="B792" s="9">
        <v>43089</v>
      </c>
      <c r="C792" s="10" t="s">
        <v>109</v>
      </c>
      <c r="D792" s="10" t="s">
        <v>21</v>
      </c>
      <c r="E792" s="10" t="s">
        <v>31</v>
      </c>
      <c r="F792" s="11">
        <v>6</v>
      </c>
      <c r="G792" s="12">
        <v>3879.3</v>
      </c>
      <c r="H792" s="12">
        <v>23275.800000000003</v>
      </c>
      <c r="I792" s="13">
        <v>1862.0640000000001</v>
      </c>
      <c r="J792" s="10" t="s">
        <v>23</v>
      </c>
      <c r="K792" s="10" t="s">
        <v>24</v>
      </c>
      <c r="L792" s="10" t="s">
        <v>25</v>
      </c>
      <c r="M792" s="12">
        <v>11172.384</v>
      </c>
      <c r="N792" s="12">
        <v>12103.415999999999</v>
      </c>
      <c r="O792" s="10">
        <v>52</v>
      </c>
      <c r="P792" s="10" t="s">
        <v>26</v>
      </c>
      <c r="Q792" s="10">
        <v>12</v>
      </c>
      <c r="R792" s="10" t="s">
        <v>27</v>
      </c>
      <c r="S792" s="14" t="str">
        <f t="shared" si="12"/>
        <v>Week 3</v>
      </c>
    </row>
    <row r="793" spans="1:19" x14ac:dyDescent="0.3">
      <c r="A793" s="15" t="s">
        <v>1088</v>
      </c>
      <c r="B793" s="16">
        <v>43089</v>
      </c>
      <c r="C793" s="17" t="s">
        <v>640</v>
      </c>
      <c r="D793" s="17" t="s">
        <v>30</v>
      </c>
      <c r="E793" s="17" t="s">
        <v>120</v>
      </c>
      <c r="F793" s="18">
        <v>5</v>
      </c>
      <c r="G793" s="19">
        <v>911.2</v>
      </c>
      <c r="H793" s="19">
        <v>4556</v>
      </c>
      <c r="I793" s="20">
        <v>446.488</v>
      </c>
      <c r="J793" s="17" t="s">
        <v>116</v>
      </c>
      <c r="K793" s="17" t="s">
        <v>117</v>
      </c>
      <c r="L793" s="17" t="s">
        <v>40</v>
      </c>
      <c r="M793" s="19">
        <v>2232.44</v>
      </c>
      <c r="N793" s="19">
        <v>2323.56</v>
      </c>
      <c r="O793" s="17">
        <v>51</v>
      </c>
      <c r="P793" s="17" t="s">
        <v>26</v>
      </c>
      <c r="Q793" s="17">
        <v>12</v>
      </c>
      <c r="R793" s="17" t="s">
        <v>27</v>
      </c>
      <c r="S793" s="14" t="str">
        <f t="shared" si="12"/>
        <v>Week 3</v>
      </c>
    </row>
    <row r="794" spans="1:19" x14ac:dyDescent="0.3">
      <c r="A794" s="8" t="s">
        <v>1089</v>
      </c>
      <c r="B794" s="9">
        <v>43089</v>
      </c>
      <c r="C794" s="10" t="s">
        <v>53</v>
      </c>
      <c r="D794" s="10" t="s">
        <v>30</v>
      </c>
      <c r="E794" s="10" t="s">
        <v>230</v>
      </c>
      <c r="F794" s="11">
        <v>5</v>
      </c>
      <c r="G794" s="12">
        <v>2546</v>
      </c>
      <c r="H794" s="12">
        <v>12730</v>
      </c>
      <c r="I794" s="13">
        <v>1909.5</v>
      </c>
      <c r="J794" s="10" t="s">
        <v>54</v>
      </c>
      <c r="K794" s="10" t="s">
        <v>55</v>
      </c>
      <c r="L794" s="10" t="s">
        <v>56</v>
      </c>
      <c r="M794" s="12">
        <v>9547.5</v>
      </c>
      <c r="N794" s="12">
        <v>3182.5</v>
      </c>
      <c r="O794" s="10">
        <v>25</v>
      </c>
      <c r="P794" s="10" t="s">
        <v>26</v>
      </c>
      <c r="Q794" s="10">
        <v>12</v>
      </c>
      <c r="R794" s="10" t="s">
        <v>27</v>
      </c>
      <c r="S794" s="14" t="str">
        <f t="shared" si="12"/>
        <v>Week 3</v>
      </c>
    </row>
    <row r="795" spans="1:19" x14ac:dyDescent="0.3">
      <c r="A795" s="15" t="s">
        <v>1090</v>
      </c>
      <c r="B795" s="16">
        <v>43089</v>
      </c>
      <c r="C795" s="17" t="s">
        <v>497</v>
      </c>
      <c r="D795" s="17" t="s">
        <v>21</v>
      </c>
      <c r="E795" s="17" t="s">
        <v>191</v>
      </c>
      <c r="F795" s="18">
        <v>6</v>
      </c>
      <c r="G795" s="19">
        <v>1735.3</v>
      </c>
      <c r="H795" s="19">
        <v>10411.799999999999</v>
      </c>
      <c r="I795" s="20">
        <v>780.88499999999999</v>
      </c>
      <c r="J795" s="17" t="s">
        <v>54</v>
      </c>
      <c r="K795" s="17" t="s">
        <v>55</v>
      </c>
      <c r="L795" s="17" t="s">
        <v>56</v>
      </c>
      <c r="M795" s="19">
        <v>4685.3099999999904</v>
      </c>
      <c r="N795" s="19">
        <v>5726.49</v>
      </c>
      <c r="O795" s="17">
        <v>55</v>
      </c>
      <c r="P795" s="17" t="s">
        <v>26</v>
      </c>
      <c r="Q795" s="17">
        <v>12</v>
      </c>
      <c r="R795" s="17" t="s">
        <v>27</v>
      </c>
      <c r="S795" s="14" t="str">
        <f t="shared" si="12"/>
        <v>Week 3</v>
      </c>
    </row>
    <row r="796" spans="1:19" x14ac:dyDescent="0.3">
      <c r="A796" s="8" t="s">
        <v>1091</v>
      </c>
      <c r="B796" s="9">
        <v>43089</v>
      </c>
      <c r="C796" s="10" t="s">
        <v>380</v>
      </c>
      <c r="D796" s="10" t="s">
        <v>21</v>
      </c>
      <c r="E796" s="10" t="s">
        <v>120</v>
      </c>
      <c r="F796" s="11">
        <v>5</v>
      </c>
      <c r="G796" s="12">
        <v>944.7</v>
      </c>
      <c r="H796" s="12">
        <v>4723.5</v>
      </c>
      <c r="I796" s="13">
        <v>755.76</v>
      </c>
      <c r="J796" s="10" t="s">
        <v>50</v>
      </c>
      <c r="K796" s="10" t="s">
        <v>51</v>
      </c>
      <c r="L796" s="10" t="s">
        <v>40</v>
      </c>
      <c r="M796" s="12">
        <v>3778.8</v>
      </c>
      <c r="N796" s="12">
        <v>944.69999999999902</v>
      </c>
      <c r="O796" s="10">
        <v>19.999999999999901</v>
      </c>
      <c r="P796" s="10" t="s">
        <v>26</v>
      </c>
      <c r="Q796" s="10">
        <v>12</v>
      </c>
      <c r="R796" s="10" t="s">
        <v>27</v>
      </c>
      <c r="S796" s="14" t="str">
        <f t="shared" si="12"/>
        <v>Week 3</v>
      </c>
    </row>
    <row r="797" spans="1:19" x14ac:dyDescent="0.3">
      <c r="A797" s="15" t="s">
        <v>1092</v>
      </c>
      <c r="B797" s="16">
        <v>43089</v>
      </c>
      <c r="C797" s="17" t="s">
        <v>166</v>
      </c>
      <c r="D797" s="17" t="s">
        <v>43</v>
      </c>
      <c r="E797" s="17" t="s">
        <v>167</v>
      </c>
      <c r="F797" s="18">
        <v>12</v>
      </c>
      <c r="G797" s="19">
        <v>1132.3</v>
      </c>
      <c r="H797" s="19">
        <v>13587.599999999999</v>
      </c>
      <c r="I797" s="20">
        <v>951.13199999999995</v>
      </c>
      <c r="J797" s="17" t="s">
        <v>76</v>
      </c>
      <c r="K797" s="17" t="s">
        <v>77</v>
      </c>
      <c r="L797" s="17" t="s">
        <v>56</v>
      </c>
      <c r="M797" s="19">
        <v>11413.583999999901</v>
      </c>
      <c r="N797" s="19">
        <v>2174.0159999999901</v>
      </c>
      <c r="O797" s="17">
        <v>15.999999999999901</v>
      </c>
      <c r="P797" s="17" t="s">
        <v>26</v>
      </c>
      <c r="Q797" s="17">
        <v>12</v>
      </c>
      <c r="R797" s="17" t="s">
        <v>27</v>
      </c>
      <c r="S797" s="14" t="str">
        <f t="shared" si="12"/>
        <v>Week 3</v>
      </c>
    </row>
    <row r="798" spans="1:19" x14ac:dyDescent="0.3">
      <c r="A798" s="8" t="s">
        <v>1093</v>
      </c>
      <c r="B798" s="9">
        <v>43089</v>
      </c>
      <c r="C798" s="10" t="s">
        <v>1094</v>
      </c>
      <c r="D798" s="10" t="s">
        <v>30</v>
      </c>
      <c r="E798" s="10" t="s">
        <v>91</v>
      </c>
      <c r="F798" s="11">
        <v>9</v>
      </c>
      <c r="G798" s="12">
        <v>2345</v>
      </c>
      <c r="H798" s="12">
        <v>21105</v>
      </c>
      <c r="I798" s="13">
        <v>1876</v>
      </c>
      <c r="J798" s="10" t="s">
        <v>97</v>
      </c>
      <c r="K798" s="10" t="s">
        <v>98</v>
      </c>
      <c r="L798" s="10" t="s">
        <v>56</v>
      </c>
      <c r="M798" s="12">
        <v>16884</v>
      </c>
      <c r="N798" s="12">
        <v>4221</v>
      </c>
      <c r="O798" s="10">
        <v>20</v>
      </c>
      <c r="P798" s="10" t="s">
        <v>26</v>
      </c>
      <c r="Q798" s="10">
        <v>12</v>
      </c>
      <c r="R798" s="10" t="s">
        <v>27</v>
      </c>
      <c r="S798" s="14" t="str">
        <f t="shared" si="12"/>
        <v>Week 3</v>
      </c>
    </row>
    <row r="799" spans="1:19" x14ac:dyDescent="0.3">
      <c r="A799" s="15" t="s">
        <v>1095</v>
      </c>
      <c r="B799" s="16">
        <v>43089</v>
      </c>
      <c r="C799" s="17" t="s">
        <v>384</v>
      </c>
      <c r="D799" s="17" t="s">
        <v>43</v>
      </c>
      <c r="E799" s="17" t="s">
        <v>115</v>
      </c>
      <c r="F799" s="18">
        <v>10</v>
      </c>
      <c r="G799" s="19">
        <v>1185.9000000000001</v>
      </c>
      <c r="H799" s="19">
        <v>11859</v>
      </c>
      <c r="I799" s="20">
        <v>640.38599999999997</v>
      </c>
      <c r="J799" s="17" t="s">
        <v>212</v>
      </c>
      <c r="K799" s="17" t="s">
        <v>213</v>
      </c>
      <c r="L799" s="17" t="s">
        <v>34</v>
      </c>
      <c r="M799" s="19">
        <v>6403.86</v>
      </c>
      <c r="N799" s="19">
        <v>5455.1399999999903</v>
      </c>
      <c r="O799" s="17">
        <v>46</v>
      </c>
      <c r="P799" s="17" t="s">
        <v>26</v>
      </c>
      <c r="Q799" s="17">
        <v>12</v>
      </c>
      <c r="R799" s="17" t="s">
        <v>27</v>
      </c>
      <c r="S799" s="14" t="str">
        <f t="shared" si="12"/>
        <v>Week 3</v>
      </c>
    </row>
    <row r="800" spans="1:19" x14ac:dyDescent="0.3">
      <c r="A800" s="8" t="s">
        <v>1096</v>
      </c>
      <c r="B800" s="9">
        <v>43089</v>
      </c>
      <c r="C800" s="10" t="s">
        <v>162</v>
      </c>
      <c r="D800" s="10" t="s">
        <v>30</v>
      </c>
      <c r="E800" s="10" t="s">
        <v>265</v>
      </c>
      <c r="F800" s="11">
        <v>6</v>
      </c>
      <c r="G800" s="12">
        <v>3926.2</v>
      </c>
      <c r="H800" s="12">
        <v>23557.199999999997</v>
      </c>
      <c r="I800" s="13">
        <v>2552.0300000000002</v>
      </c>
      <c r="J800" s="10" t="s">
        <v>218</v>
      </c>
      <c r="K800" s="10" t="s">
        <v>219</v>
      </c>
      <c r="L800" s="10" t="s">
        <v>34</v>
      </c>
      <c r="M800" s="12">
        <v>15312.18</v>
      </c>
      <c r="N800" s="12">
        <v>8245.02</v>
      </c>
      <c r="O800" s="10">
        <v>35</v>
      </c>
      <c r="P800" s="10" t="s">
        <v>26</v>
      </c>
      <c r="Q800" s="10">
        <v>12</v>
      </c>
      <c r="R800" s="10" t="s">
        <v>27</v>
      </c>
      <c r="S800" s="14" t="str">
        <f t="shared" si="12"/>
        <v>Week 3</v>
      </c>
    </row>
    <row r="801" spans="1:19" x14ac:dyDescent="0.3">
      <c r="A801" s="15" t="s">
        <v>1097</v>
      </c>
      <c r="B801" s="16">
        <v>43089</v>
      </c>
      <c r="C801" s="17" t="s">
        <v>374</v>
      </c>
      <c r="D801" s="17" t="s">
        <v>21</v>
      </c>
      <c r="E801" s="17" t="s">
        <v>31</v>
      </c>
      <c r="F801" s="18">
        <v>8</v>
      </c>
      <c r="G801" s="19">
        <v>3946.3</v>
      </c>
      <c r="H801" s="19">
        <v>31570.400000000001</v>
      </c>
      <c r="I801" s="20">
        <v>3038.6509999999998</v>
      </c>
      <c r="J801" s="17" t="s">
        <v>54</v>
      </c>
      <c r="K801" s="17" t="s">
        <v>55</v>
      </c>
      <c r="L801" s="17" t="s">
        <v>56</v>
      </c>
      <c r="M801" s="19">
        <v>24309.207999999999</v>
      </c>
      <c r="N801" s="19">
        <v>7261.19199999999</v>
      </c>
      <c r="O801" s="17">
        <v>22.999999999999901</v>
      </c>
      <c r="P801" s="17" t="s">
        <v>26</v>
      </c>
      <c r="Q801" s="17">
        <v>12</v>
      </c>
      <c r="R801" s="17" t="s">
        <v>27</v>
      </c>
      <c r="S801" s="14" t="str">
        <f t="shared" si="12"/>
        <v>Week 3</v>
      </c>
    </row>
    <row r="802" spans="1:19" x14ac:dyDescent="0.3">
      <c r="A802" s="8" t="s">
        <v>1098</v>
      </c>
      <c r="B802" s="9">
        <v>43089</v>
      </c>
      <c r="C802" s="10" t="s">
        <v>236</v>
      </c>
      <c r="D802" s="10" t="s">
        <v>30</v>
      </c>
      <c r="E802" s="10" t="s">
        <v>62</v>
      </c>
      <c r="F802" s="11">
        <v>6</v>
      </c>
      <c r="G802" s="12">
        <v>2003.3</v>
      </c>
      <c r="H802" s="12">
        <v>12019.8</v>
      </c>
      <c r="I802" s="13">
        <v>1522.508</v>
      </c>
      <c r="J802" s="10" t="s">
        <v>766</v>
      </c>
      <c r="K802" s="10" t="s">
        <v>767</v>
      </c>
      <c r="L802" s="10" t="s">
        <v>56</v>
      </c>
      <c r="M802" s="12">
        <v>9135.0480000000007</v>
      </c>
      <c r="N802" s="12">
        <v>2884.7519999999899</v>
      </c>
      <c r="O802" s="10">
        <v>23.999999999999901</v>
      </c>
      <c r="P802" s="10" t="s">
        <v>26</v>
      </c>
      <c r="Q802" s="10">
        <v>12</v>
      </c>
      <c r="R802" s="10" t="s">
        <v>27</v>
      </c>
      <c r="S802" s="14" t="str">
        <f t="shared" si="12"/>
        <v>Week 3</v>
      </c>
    </row>
    <row r="803" spans="1:19" x14ac:dyDescent="0.3">
      <c r="A803" s="15" t="s">
        <v>1099</v>
      </c>
      <c r="B803" s="16">
        <v>43089</v>
      </c>
      <c r="C803" s="17" t="s">
        <v>791</v>
      </c>
      <c r="D803" s="17" t="s">
        <v>21</v>
      </c>
      <c r="E803" s="17" t="s">
        <v>62</v>
      </c>
      <c r="F803" s="18">
        <v>9</v>
      </c>
      <c r="G803" s="19">
        <v>5661.5</v>
      </c>
      <c r="H803" s="19">
        <v>50953.5</v>
      </c>
      <c r="I803" s="20">
        <v>3623.36</v>
      </c>
      <c r="J803" s="17" t="s">
        <v>225</v>
      </c>
      <c r="K803" s="17" t="s">
        <v>226</v>
      </c>
      <c r="L803" s="17" t="s">
        <v>25</v>
      </c>
      <c r="M803" s="19">
        <v>32610.240000000002</v>
      </c>
      <c r="N803" s="19">
        <v>18343.259999999998</v>
      </c>
      <c r="O803" s="17">
        <v>36</v>
      </c>
      <c r="P803" s="17" t="s">
        <v>26</v>
      </c>
      <c r="Q803" s="17">
        <v>12</v>
      </c>
      <c r="R803" s="17" t="s">
        <v>27</v>
      </c>
      <c r="S803" s="14" t="str">
        <f t="shared" si="12"/>
        <v>Week 3</v>
      </c>
    </row>
    <row r="804" spans="1:19" x14ac:dyDescent="0.3">
      <c r="A804" s="8" t="s">
        <v>1100</v>
      </c>
      <c r="B804" s="9">
        <v>43089</v>
      </c>
      <c r="C804" s="10" t="s">
        <v>714</v>
      </c>
      <c r="D804" s="10" t="s">
        <v>30</v>
      </c>
      <c r="E804" s="10" t="s">
        <v>418</v>
      </c>
      <c r="F804" s="11">
        <v>5</v>
      </c>
      <c r="G804" s="12">
        <v>1246.2</v>
      </c>
      <c r="H804" s="12">
        <v>6231</v>
      </c>
      <c r="I804" s="13">
        <v>598.17600000000004</v>
      </c>
      <c r="J804" s="10" t="s">
        <v>45</v>
      </c>
      <c r="K804" s="10" t="s">
        <v>46</v>
      </c>
      <c r="L804" s="10" t="s">
        <v>34</v>
      </c>
      <c r="M804" s="12">
        <v>2990.88</v>
      </c>
      <c r="N804" s="12">
        <v>3240.12</v>
      </c>
      <c r="O804" s="10">
        <v>52</v>
      </c>
      <c r="P804" s="10" t="s">
        <v>26</v>
      </c>
      <c r="Q804" s="10">
        <v>12</v>
      </c>
      <c r="R804" s="10" t="s">
        <v>27</v>
      </c>
      <c r="S804" s="14" t="str">
        <f t="shared" si="12"/>
        <v>Week 3</v>
      </c>
    </row>
    <row r="805" spans="1:19" x14ac:dyDescent="0.3">
      <c r="A805" s="15" t="s">
        <v>1101</v>
      </c>
      <c r="B805" s="16">
        <v>43089</v>
      </c>
      <c r="C805" s="17" t="s">
        <v>474</v>
      </c>
      <c r="D805" s="17" t="s">
        <v>21</v>
      </c>
      <c r="E805" s="17" t="s">
        <v>93</v>
      </c>
      <c r="F805" s="18">
        <v>10</v>
      </c>
      <c r="G805" s="19">
        <v>1735.3</v>
      </c>
      <c r="H805" s="19">
        <v>17353</v>
      </c>
      <c r="I805" s="20">
        <v>1145.298</v>
      </c>
      <c r="J805" s="17" t="s">
        <v>54</v>
      </c>
      <c r="K805" s="17" t="s">
        <v>55</v>
      </c>
      <c r="L805" s="17" t="s">
        <v>56</v>
      </c>
      <c r="M805" s="19">
        <v>11452.98</v>
      </c>
      <c r="N805" s="19">
        <v>5900.02</v>
      </c>
      <c r="O805" s="17">
        <v>34</v>
      </c>
      <c r="P805" s="17" t="s">
        <v>26</v>
      </c>
      <c r="Q805" s="17">
        <v>12</v>
      </c>
      <c r="R805" s="17" t="s">
        <v>27</v>
      </c>
      <c r="S805" s="14" t="str">
        <f t="shared" si="12"/>
        <v>Week 3</v>
      </c>
    </row>
    <row r="806" spans="1:19" x14ac:dyDescent="0.3">
      <c r="A806" s="8" t="s">
        <v>1102</v>
      </c>
      <c r="B806" s="9">
        <v>43089</v>
      </c>
      <c r="C806" s="10" t="s">
        <v>321</v>
      </c>
      <c r="D806" s="10" t="s">
        <v>21</v>
      </c>
      <c r="E806" s="10" t="s">
        <v>31</v>
      </c>
      <c r="F806" s="11">
        <v>9</v>
      </c>
      <c r="G806" s="12">
        <v>817.4</v>
      </c>
      <c r="H806" s="12">
        <v>7356.5999999999995</v>
      </c>
      <c r="I806" s="13">
        <v>678.44199999999898</v>
      </c>
      <c r="J806" s="10" t="s">
        <v>50</v>
      </c>
      <c r="K806" s="10" t="s">
        <v>51</v>
      </c>
      <c r="L806" s="10" t="s">
        <v>40</v>
      </c>
      <c r="M806" s="12">
        <v>6105.9779999999901</v>
      </c>
      <c r="N806" s="12">
        <v>1250.6220000000001</v>
      </c>
      <c r="O806" s="10">
        <v>17</v>
      </c>
      <c r="P806" s="10" t="s">
        <v>26</v>
      </c>
      <c r="Q806" s="10">
        <v>12</v>
      </c>
      <c r="R806" s="10" t="s">
        <v>27</v>
      </c>
      <c r="S806" s="14" t="str">
        <f t="shared" si="12"/>
        <v>Week 3</v>
      </c>
    </row>
    <row r="807" spans="1:19" x14ac:dyDescent="0.3">
      <c r="A807" s="15" t="s">
        <v>1103</v>
      </c>
      <c r="B807" s="16">
        <v>43089</v>
      </c>
      <c r="C807" s="17" t="s">
        <v>61</v>
      </c>
      <c r="D807" s="17" t="s">
        <v>30</v>
      </c>
      <c r="E807" s="17" t="s">
        <v>37</v>
      </c>
      <c r="F807" s="18">
        <v>12</v>
      </c>
      <c r="G807" s="19">
        <v>1005</v>
      </c>
      <c r="H807" s="19">
        <v>12060</v>
      </c>
      <c r="I807" s="20">
        <v>492.45</v>
      </c>
      <c r="J807" s="17" t="s">
        <v>386</v>
      </c>
      <c r="K807" s="17" t="s">
        <v>387</v>
      </c>
      <c r="L807" s="17" t="s">
        <v>56</v>
      </c>
      <c r="M807" s="19">
        <v>5909.4</v>
      </c>
      <c r="N807" s="19">
        <v>6150.6</v>
      </c>
      <c r="O807" s="17">
        <v>51</v>
      </c>
      <c r="P807" s="17" t="s">
        <v>26</v>
      </c>
      <c r="Q807" s="17">
        <v>12</v>
      </c>
      <c r="R807" s="17" t="s">
        <v>27</v>
      </c>
      <c r="S807" s="14" t="str">
        <f t="shared" si="12"/>
        <v>Week 3</v>
      </c>
    </row>
    <row r="808" spans="1:19" x14ac:dyDescent="0.3">
      <c r="A808" s="8" t="s">
        <v>1104</v>
      </c>
      <c r="B808" s="9">
        <v>43089</v>
      </c>
      <c r="C808" s="10" t="s">
        <v>299</v>
      </c>
      <c r="D808" s="10" t="s">
        <v>43</v>
      </c>
      <c r="E808" s="10" t="s">
        <v>31</v>
      </c>
      <c r="F808" s="11">
        <v>7</v>
      </c>
      <c r="G808" s="12">
        <v>201</v>
      </c>
      <c r="H808" s="12">
        <v>1407</v>
      </c>
      <c r="I808" s="13">
        <v>98.49</v>
      </c>
      <c r="J808" s="10" t="s">
        <v>54</v>
      </c>
      <c r="K808" s="10" t="s">
        <v>55</v>
      </c>
      <c r="L808" s="10" t="s">
        <v>56</v>
      </c>
      <c r="M808" s="12">
        <v>689.43</v>
      </c>
      <c r="N808" s="12">
        <v>717.57</v>
      </c>
      <c r="O808" s="10">
        <v>51</v>
      </c>
      <c r="P808" s="10" t="s">
        <v>26</v>
      </c>
      <c r="Q808" s="10">
        <v>12</v>
      </c>
      <c r="R808" s="10" t="s">
        <v>27</v>
      </c>
      <c r="S808" s="14" t="str">
        <f t="shared" si="12"/>
        <v>Week 3</v>
      </c>
    </row>
    <row r="809" spans="1:19" x14ac:dyDescent="0.3">
      <c r="A809" s="15" t="s">
        <v>1105</v>
      </c>
      <c r="B809" s="16">
        <v>43089</v>
      </c>
      <c r="C809" s="17" t="s">
        <v>408</v>
      </c>
      <c r="D809" s="17" t="s">
        <v>21</v>
      </c>
      <c r="E809" s="17" t="s">
        <v>62</v>
      </c>
      <c r="F809" s="18">
        <v>6</v>
      </c>
      <c r="G809" s="19">
        <v>1051.9000000000001</v>
      </c>
      <c r="H809" s="19">
        <v>6311.4000000000005</v>
      </c>
      <c r="I809" s="20">
        <v>483.87400000000002</v>
      </c>
      <c r="J809" s="17" t="s">
        <v>54</v>
      </c>
      <c r="K809" s="17" t="s">
        <v>55</v>
      </c>
      <c r="L809" s="17" t="s">
        <v>56</v>
      </c>
      <c r="M809" s="19">
        <v>2903.2440000000001</v>
      </c>
      <c r="N809" s="19">
        <v>3408.1559999999999</v>
      </c>
      <c r="O809" s="17">
        <v>53.999999999999901</v>
      </c>
      <c r="P809" s="17" t="s">
        <v>26</v>
      </c>
      <c r="Q809" s="17">
        <v>12</v>
      </c>
      <c r="R809" s="17" t="s">
        <v>27</v>
      </c>
      <c r="S809" s="14" t="str">
        <f t="shared" si="12"/>
        <v>Week 3</v>
      </c>
    </row>
    <row r="810" spans="1:19" x14ac:dyDescent="0.3">
      <c r="A810" s="8" t="s">
        <v>1106</v>
      </c>
      <c r="B810" s="9">
        <v>43089</v>
      </c>
      <c r="C810" s="10" t="s">
        <v>671</v>
      </c>
      <c r="D810" s="10" t="s">
        <v>43</v>
      </c>
      <c r="E810" s="10" t="s">
        <v>127</v>
      </c>
      <c r="F810" s="11">
        <v>7</v>
      </c>
      <c r="G810" s="12">
        <v>2398.6</v>
      </c>
      <c r="H810" s="12">
        <v>16790.2</v>
      </c>
      <c r="I810" s="13">
        <v>1990.83799999999</v>
      </c>
      <c r="J810" s="10" t="s">
        <v>45</v>
      </c>
      <c r="K810" s="10" t="s">
        <v>46</v>
      </c>
      <c r="L810" s="10" t="s">
        <v>34</v>
      </c>
      <c r="M810" s="12">
        <v>13935.8659999999</v>
      </c>
      <c r="N810" s="12">
        <v>2854.3339999999998</v>
      </c>
      <c r="O810" s="10">
        <v>17</v>
      </c>
      <c r="P810" s="10" t="s">
        <v>26</v>
      </c>
      <c r="Q810" s="10">
        <v>12</v>
      </c>
      <c r="R810" s="10" t="s">
        <v>27</v>
      </c>
      <c r="S810" s="14" t="str">
        <f t="shared" si="12"/>
        <v>Week 3</v>
      </c>
    </row>
    <row r="811" spans="1:19" x14ac:dyDescent="0.3">
      <c r="A811" s="15" t="s">
        <v>1107</v>
      </c>
      <c r="B811" s="16">
        <v>43089</v>
      </c>
      <c r="C811" s="17" t="s">
        <v>66</v>
      </c>
      <c r="D811" s="17" t="s">
        <v>21</v>
      </c>
      <c r="E811" s="17" t="s">
        <v>49</v>
      </c>
      <c r="F811" s="18">
        <v>5</v>
      </c>
      <c r="G811" s="19">
        <v>971.5</v>
      </c>
      <c r="H811" s="19">
        <v>4857.5</v>
      </c>
      <c r="I811" s="20">
        <v>650.90499999999997</v>
      </c>
      <c r="J811" s="17" t="s">
        <v>225</v>
      </c>
      <c r="K811" s="17" t="s">
        <v>226</v>
      </c>
      <c r="L811" s="17" t="s">
        <v>25</v>
      </c>
      <c r="M811" s="19">
        <v>3254.5250000000001</v>
      </c>
      <c r="N811" s="19">
        <v>1602.9749999999899</v>
      </c>
      <c r="O811" s="17">
        <v>32.999999999999901</v>
      </c>
      <c r="P811" s="17" t="s">
        <v>26</v>
      </c>
      <c r="Q811" s="17">
        <v>12</v>
      </c>
      <c r="R811" s="17" t="s">
        <v>27</v>
      </c>
      <c r="S811" s="14" t="str">
        <f t="shared" si="12"/>
        <v>Week 3</v>
      </c>
    </row>
    <row r="812" spans="1:19" x14ac:dyDescent="0.3">
      <c r="A812" s="8" t="s">
        <v>1108</v>
      </c>
      <c r="B812" s="9">
        <v>43089</v>
      </c>
      <c r="C812" s="10" t="s">
        <v>703</v>
      </c>
      <c r="D812" s="10" t="s">
        <v>21</v>
      </c>
      <c r="E812" s="10" t="s">
        <v>191</v>
      </c>
      <c r="F812" s="11">
        <v>7</v>
      </c>
      <c r="G812" s="12">
        <v>2519.1999999999998</v>
      </c>
      <c r="H812" s="12">
        <v>17634.399999999998</v>
      </c>
      <c r="I812" s="13">
        <v>1662.672</v>
      </c>
      <c r="J812" s="10" t="s">
        <v>212</v>
      </c>
      <c r="K812" s="10" t="s">
        <v>213</v>
      </c>
      <c r="L812" s="10" t="s">
        <v>34</v>
      </c>
      <c r="M812" s="12">
        <v>11638.704</v>
      </c>
      <c r="N812" s="12">
        <v>5995.6959999999999</v>
      </c>
      <c r="O812" s="10">
        <v>34</v>
      </c>
      <c r="P812" s="10" t="s">
        <v>26</v>
      </c>
      <c r="Q812" s="10">
        <v>12</v>
      </c>
      <c r="R812" s="10" t="s">
        <v>27</v>
      </c>
      <c r="S812" s="14" t="str">
        <f t="shared" si="12"/>
        <v>Week 3</v>
      </c>
    </row>
    <row r="813" spans="1:19" x14ac:dyDescent="0.3">
      <c r="A813" s="15" t="s">
        <v>1109</v>
      </c>
      <c r="B813" s="16">
        <v>43089</v>
      </c>
      <c r="C813" s="17" t="s">
        <v>194</v>
      </c>
      <c r="D813" s="17" t="s">
        <v>30</v>
      </c>
      <c r="E813" s="17" t="s">
        <v>103</v>
      </c>
      <c r="F813" s="18">
        <v>8</v>
      </c>
      <c r="G813" s="19">
        <v>1788.9</v>
      </c>
      <c r="H813" s="19">
        <v>14311.2</v>
      </c>
      <c r="I813" s="20">
        <v>966.00599999999997</v>
      </c>
      <c r="J813" s="17" t="s">
        <v>54</v>
      </c>
      <c r="K813" s="17" t="s">
        <v>55</v>
      </c>
      <c r="L813" s="17" t="s">
        <v>56</v>
      </c>
      <c r="M813" s="19">
        <v>7728.0479999999998</v>
      </c>
      <c r="N813" s="19">
        <v>6583.152</v>
      </c>
      <c r="O813" s="17">
        <v>46</v>
      </c>
      <c r="P813" s="17" t="s">
        <v>26</v>
      </c>
      <c r="Q813" s="17">
        <v>12</v>
      </c>
      <c r="R813" s="17" t="s">
        <v>27</v>
      </c>
      <c r="S813" s="14" t="str">
        <f t="shared" si="12"/>
        <v>Week 3</v>
      </c>
    </row>
    <row r="814" spans="1:19" x14ac:dyDescent="0.3">
      <c r="A814" s="8" t="s">
        <v>1110</v>
      </c>
      <c r="B814" s="9">
        <v>43090</v>
      </c>
      <c r="C814" s="10" t="s">
        <v>185</v>
      </c>
      <c r="D814" s="10" t="s">
        <v>21</v>
      </c>
      <c r="E814" s="10" t="s">
        <v>31</v>
      </c>
      <c r="F814" s="11">
        <v>6</v>
      </c>
      <c r="G814" s="12">
        <v>1018.4</v>
      </c>
      <c r="H814" s="12">
        <v>6110.4</v>
      </c>
      <c r="I814" s="13">
        <v>661.96</v>
      </c>
      <c r="J814" s="10" t="s">
        <v>63</v>
      </c>
      <c r="K814" s="10" t="s">
        <v>64</v>
      </c>
      <c r="L814" s="10" t="s">
        <v>34</v>
      </c>
      <c r="M814" s="12">
        <v>3971.76</v>
      </c>
      <c r="N814" s="12">
        <v>2138.6399999999899</v>
      </c>
      <c r="O814" s="10">
        <v>34.999999999999901</v>
      </c>
      <c r="P814" s="10" t="s">
        <v>26</v>
      </c>
      <c r="Q814" s="10">
        <v>12</v>
      </c>
      <c r="R814" s="10" t="s">
        <v>27</v>
      </c>
      <c r="S814" s="14" t="str">
        <f t="shared" si="12"/>
        <v>Week 3</v>
      </c>
    </row>
    <row r="815" spans="1:19" x14ac:dyDescent="0.3">
      <c r="A815" s="15" t="s">
        <v>1111</v>
      </c>
      <c r="B815" s="16">
        <v>43090</v>
      </c>
      <c r="C815" s="17" t="s">
        <v>754</v>
      </c>
      <c r="D815" s="17" t="s">
        <v>21</v>
      </c>
      <c r="E815" s="17" t="s">
        <v>73</v>
      </c>
      <c r="F815" s="18">
        <v>9</v>
      </c>
      <c r="G815" s="19">
        <v>3463.9</v>
      </c>
      <c r="H815" s="19">
        <v>31175.100000000002</v>
      </c>
      <c r="I815" s="20">
        <v>1662.672</v>
      </c>
      <c r="J815" s="17" t="s">
        <v>218</v>
      </c>
      <c r="K815" s="17" t="s">
        <v>219</v>
      </c>
      <c r="L815" s="17" t="s">
        <v>34</v>
      </c>
      <c r="M815" s="19">
        <v>14964.048000000001</v>
      </c>
      <c r="N815" s="19">
        <v>16211.052</v>
      </c>
      <c r="O815" s="17">
        <v>52</v>
      </c>
      <c r="P815" s="17" t="s">
        <v>26</v>
      </c>
      <c r="Q815" s="17">
        <v>12</v>
      </c>
      <c r="R815" s="17" t="s">
        <v>27</v>
      </c>
      <c r="S815" s="14" t="str">
        <f t="shared" si="12"/>
        <v>Week 3</v>
      </c>
    </row>
    <row r="816" spans="1:19" x14ac:dyDescent="0.3">
      <c r="A816" s="8" t="s">
        <v>1112</v>
      </c>
      <c r="B816" s="9">
        <v>43090</v>
      </c>
      <c r="C816" s="10" t="s">
        <v>138</v>
      </c>
      <c r="D816" s="10" t="s">
        <v>30</v>
      </c>
      <c r="E816" s="10" t="s">
        <v>149</v>
      </c>
      <c r="F816" s="11">
        <v>11</v>
      </c>
      <c r="G816" s="12">
        <v>1025.0999999999999</v>
      </c>
      <c r="H816" s="12">
        <v>11276.099999999999</v>
      </c>
      <c r="I816" s="13">
        <v>707.31899999999996</v>
      </c>
      <c r="J816" s="10" t="s">
        <v>54</v>
      </c>
      <c r="K816" s="10" t="s">
        <v>55</v>
      </c>
      <c r="L816" s="10" t="s">
        <v>56</v>
      </c>
      <c r="M816" s="12">
        <v>7780.509</v>
      </c>
      <c r="N816" s="12">
        <v>3495.5909999999999</v>
      </c>
      <c r="O816" s="10">
        <v>31</v>
      </c>
      <c r="P816" s="10" t="s">
        <v>26</v>
      </c>
      <c r="Q816" s="10">
        <v>12</v>
      </c>
      <c r="R816" s="10" t="s">
        <v>27</v>
      </c>
      <c r="S816" s="14" t="str">
        <f t="shared" si="12"/>
        <v>Week 3</v>
      </c>
    </row>
    <row r="817" spans="1:19" x14ac:dyDescent="0.3">
      <c r="A817" s="15" t="s">
        <v>1113</v>
      </c>
      <c r="B817" s="16">
        <v>43090</v>
      </c>
      <c r="C817" s="17" t="s">
        <v>791</v>
      </c>
      <c r="D817" s="17" t="s">
        <v>43</v>
      </c>
      <c r="E817" s="17" t="s">
        <v>191</v>
      </c>
      <c r="F817" s="18">
        <v>10</v>
      </c>
      <c r="G817" s="19">
        <v>3819</v>
      </c>
      <c r="H817" s="19">
        <v>38190</v>
      </c>
      <c r="I817" s="20">
        <v>1603.98</v>
      </c>
      <c r="J817" s="17" t="s">
        <v>45</v>
      </c>
      <c r="K817" s="17" t="s">
        <v>46</v>
      </c>
      <c r="L817" s="17" t="s">
        <v>34</v>
      </c>
      <c r="M817" s="19">
        <v>16039.8</v>
      </c>
      <c r="N817" s="19">
        <v>22150.2</v>
      </c>
      <c r="O817" s="17">
        <v>58</v>
      </c>
      <c r="P817" s="17" t="s">
        <v>26</v>
      </c>
      <c r="Q817" s="17">
        <v>12</v>
      </c>
      <c r="R817" s="17" t="s">
        <v>27</v>
      </c>
      <c r="S817" s="14" t="str">
        <f t="shared" si="12"/>
        <v>Week 3</v>
      </c>
    </row>
    <row r="818" spans="1:19" x14ac:dyDescent="0.3">
      <c r="A818" s="8" t="s">
        <v>1114</v>
      </c>
      <c r="B818" s="9">
        <v>43090</v>
      </c>
      <c r="C818" s="10" t="s">
        <v>249</v>
      </c>
      <c r="D818" s="10" t="s">
        <v>21</v>
      </c>
      <c r="E818" s="10" t="s">
        <v>306</v>
      </c>
      <c r="F818" s="11">
        <v>9</v>
      </c>
      <c r="G818" s="12">
        <v>1681.7</v>
      </c>
      <c r="H818" s="12">
        <v>15135.300000000001</v>
      </c>
      <c r="I818" s="13">
        <v>924.93499999999995</v>
      </c>
      <c r="J818" s="10" t="s">
        <v>23</v>
      </c>
      <c r="K818" s="10" t="s">
        <v>24</v>
      </c>
      <c r="L818" s="10" t="s">
        <v>25</v>
      </c>
      <c r="M818" s="12">
        <v>8324.4150000000009</v>
      </c>
      <c r="N818" s="12">
        <v>6810.8850000000002</v>
      </c>
      <c r="O818" s="10">
        <v>44.999999999999901</v>
      </c>
      <c r="P818" s="10" t="s">
        <v>26</v>
      </c>
      <c r="Q818" s="10">
        <v>12</v>
      </c>
      <c r="R818" s="10" t="s">
        <v>27</v>
      </c>
      <c r="S818" s="14" t="str">
        <f t="shared" si="12"/>
        <v>Week 3</v>
      </c>
    </row>
    <row r="819" spans="1:19" x14ac:dyDescent="0.3">
      <c r="A819" s="15" t="s">
        <v>1115</v>
      </c>
      <c r="B819" s="16">
        <v>43090</v>
      </c>
      <c r="C819" s="17" t="s">
        <v>643</v>
      </c>
      <c r="D819" s="17" t="s">
        <v>21</v>
      </c>
      <c r="E819" s="17" t="s">
        <v>265</v>
      </c>
      <c r="F819" s="18">
        <v>8</v>
      </c>
      <c r="G819" s="19">
        <v>221.1</v>
      </c>
      <c r="H819" s="19">
        <v>1768.8</v>
      </c>
      <c r="I819" s="20">
        <v>119.39400000000001</v>
      </c>
      <c r="J819" s="17" t="s">
        <v>54</v>
      </c>
      <c r="K819" s="17" t="s">
        <v>55</v>
      </c>
      <c r="L819" s="17" t="s">
        <v>56</v>
      </c>
      <c r="M819" s="19">
        <v>955.15200000000004</v>
      </c>
      <c r="N819" s="19">
        <v>813.647999999999</v>
      </c>
      <c r="O819" s="17">
        <v>46</v>
      </c>
      <c r="P819" s="17" t="s">
        <v>26</v>
      </c>
      <c r="Q819" s="17">
        <v>12</v>
      </c>
      <c r="R819" s="17" t="s">
        <v>27</v>
      </c>
      <c r="S819" s="14" t="str">
        <f t="shared" si="12"/>
        <v>Week 3</v>
      </c>
    </row>
    <row r="820" spans="1:19" x14ac:dyDescent="0.3">
      <c r="A820" s="8" t="s">
        <v>143</v>
      </c>
      <c r="B820" s="9">
        <v>43090</v>
      </c>
      <c r="C820" s="10" t="s">
        <v>119</v>
      </c>
      <c r="D820" s="10" t="s">
        <v>21</v>
      </c>
      <c r="E820" s="10" t="s">
        <v>91</v>
      </c>
      <c r="F820" s="11">
        <v>12</v>
      </c>
      <c r="G820" s="12">
        <v>1721.9</v>
      </c>
      <c r="H820" s="12">
        <v>20662.800000000003</v>
      </c>
      <c r="I820" s="13">
        <v>843.73099999999999</v>
      </c>
      <c r="J820" s="10" t="s">
        <v>32</v>
      </c>
      <c r="K820" s="10" t="s">
        <v>33</v>
      </c>
      <c r="L820" s="10" t="s">
        <v>34</v>
      </c>
      <c r="M820" s="12">
        <v>10124.772000000001</v>
      </c>
      <c r="N820" s="12">
        <v>10538.028</v>
      </c>
      <c r="O820" s="10">
        <v>51</v>
      </c>
      <c r="P820" s="10" t="s">
        <v>26</v>
      </c>
      <c r="Q820" s="10">
        <v>12</v>
      </c>
      <c r="R820" s="10" t="s">
        <v>27</v>
      </c>
      <c r="S820" s="14" t="str">
        <f t="shared" si="12"/>
        <v>Week 3</v>
      </c>
    </row>
    <row r="821" spans="1:19" x14ac:dyDescent="0.3">
      <c r="A821" s="15" t="s">
        <v>1116</v>
      </c>
      <c r="B821" s="16">
        <v>43090</v>
      </c>
      <c r="C821" s="17" t="s">
        <v>791</v>
      </c>
      <c r="D821" s="17" t="s">
        <v>21</v>
      </c>
      <c r="E821" s="17" t="s">
        <v>37</v>
      </c>
      <c r="F821" s="18">
        <v>11</v>
      </c>
      <c r="G821" s="19">
        <v>3953</v>
      </c>
      <c r="H821" s="19">
        <v>43483</v>
      </c>
      <c r="I821" s="20">
        <v>1739.32</v>
      </c>
      <c r="J821" s="17" t="s">
        <v>38</v>
      </c>
      <c r="K821" s="17" t="s">
        <v>39</v>
      </c>
      <c r="L821" s="17" t="s">
        <v>40</v>
      </c>
      <c r="M821" s="19">
        <v>19132.52</v>
      </c>
      <c r="N821" s="19">
        <v>24350.48</v>
      </c>
      <c r="O821" s="17">
        <v>55.999999999999901</v>
      </c>
      <c r="P821" s="17" t="s">
        <v>26</v>
      </c>
      <c r="Q821" s="17">
        <v>12</v>
      </c>
      <c r="R821" s="17" t="s">
        <v>27</v>
      </c>
      <c r="S821" s="14" t="str">
        <f t="shared" si="12"/>
        <v>Week 3</v>
      </c>
    </row>
    <row r="822" spans="1:19" x14ac:dyDescent="0.3">
      <c r="A822" s="8" t="s">
        <v>1117</v>
      </c>
      <c r="B822" s="9">
        <v>43090</v>
      </c>
      <c r="C822" s="10" t="s">
        <v>145</v>
      </c>
      <c r="D822" s="10" t="s">
        <v>43</v>
      </c>
      <c r="E822" s="10" t="s">
        <v>49</v>
      </c>
      <c r="F822" s="11">
        <v>11</v>
      </c>
      <c r="G822" s="12">
        <v>5808.9</v>
      </c>
      <c r="H822" s="12">
        <v>63897.899999999994</v>
      </c>
      <c r="I822" s="13">
        <v>3369.1619999999998</v>
      </c>
      <c r="J822" s="10" t="s">
        <v>266</v>
      </c>
      <c r="K822" s="10" t="s">
        <v>267</v>
      </c>
      <c r="L822" s="10" t="s">
        <v>34</v>
      </c>
      <c r="M822" s="12">
        <v>37060.781999999999</v>
      </c>
      <c r="N822" s="12">
        <v>26837.117999999999</v>
      </c>
      <c r="O822" s="10">
        <v>42</v>
      </c>
      <c r="P822" s="10" t="s">
        <v>26</v>
      </c>
      <c r="Q822" s="10">
        <v>12</v>
      </c>
      <c r="R822" s="10" t="s">
        <v>27</v>
      </c>
      <c r="S822" s="14" t="str">
        <f t="shared" si="12"/>
        <v>Week 3</v>
      </c>
    </row>
    <row r="823" spans="1:19" x14ac:dyDescent="0.3">
      <c r="A823" s="15" t="s">
        <v>1118</v>
      </c>
      <c r="B823" s="16">
        <v>43090</v>
      </c>
      <c r="C823" s="17" t="s">
        <v>90</v>
      </c>
      <c r="D823" s="17" t="s">
        <v>30</v>
      </c>
      <c r="E823" s="17" t="s">
        <v>31</v>
      </c>
      <c r="F823" s="18">
        <v>7</v>
      </c>
      <c r="G823" s="19">
        <v>1132.3</v>
      </c>
      <c r="H823" s="19">
        <v>7926.0999999999995</v>
      </c>
      <c r="I823" s="20">
        <v>486.88899999999899</v>
      </c>
      <c r="J823" s="17" t="s">
        <v>94</v>
      </c>
      <c r="K823" s="17" t="s">
        <v>95</v>
      </c>
      <c r="L823" s="17" t="s">
        <v>40</v>
      </c>
      <c r="M823" s="19">
        <v>3408.22299999999</v>
      </c>
      <c r="N823" s="19">
        <v>4517.8770000000004</v>
      </c>
      <c r="O823" s="17">
        <v>57</v>
      </c>
      <c r="P823" s="17" t="s">
        <v>26</v>
      </c>
      <c r="Q823" s="17">
        <v>12</v>
      </c>
      <c r="R823" s="17" t="s">
        <v>27</v>
      </c>
      <c r="S823" s="14" t="str">
        <f t="shared" si="12"/>
        <v>Week 3</v>
      </c>
    </row>
    <row r="824" spans="1:19" x14ac:dyDescent="0.3">
      <c r="A824" s="8" t="s">
        <v>1119</v>
      </c>
      <c r="B824" s="9">
        <v>43090</v>
      </c>
      <c r="C824" s="10" t="s">
        <v>174</v>
      </c>
      <c r="D824" s="10" t="s">
        <v>30</v>
      </c>
      <c r="E824" s="10" t="s">
        <v>115</v>
      </c>
      <c r="F824" s="11">
        <v>10</v>
      </c>
      <c r="G824" s="12">
        <v>5614.6</v>
      </c>
      <c r="H824" s="12">
        <v>56146</v>
      </c>
      <c r="I824" s="13">
        <v>3761.7820000000002</v>
      </c>
      <c r="J824" s="10" t="s">
        <v>32</v>
      </c>
      <c r="K824" s="10" t="s">
        <v>33</v>
      </c>
      <c r="L824" s="10" t="s">
        <v>34</v>
      </c>
      <c r="M824" s="12">
        <v>37617.82</v>
      </c>
      <c r="N824" s="12">
        <v>18528.179999999898</v>
      </c>
      <c r="O824" s="10">
        <v>32.999999999999901</v>
      </c>
      <c r="P824" s="10" t="s">
        <v>26</v>
      </c>
      <c r="Q824" s="10">
        <v>12</v>
      </c>
      <c r="R824" s="10" t="s">
        <v>27</v>
      </c>
      <c r="S824" s="14" t="str">
        <f t="shared" si="12"/>
        <v>Week 3</v>
      </c>
    </row>
    <row r="825" spans="1:19" x14ac:dyDescent="0.3">
      <c r="A825" s="15" t="s">
        <v>1120</v>
      </c>
      <c r="B825" s="16">
        <v>43090</v>
      </c>
      <c r="C825" s="17" t="s">
        <v>408</v>
      </c>
      <c r="D825" s="17" t="s">
        <v>30</v>
      </c>
      <c r="E825" s="17" t="s">
        <v>31</v>
      </c>
      <c r="F825" s="18">
        <v>6</v>
      </c>
      <c r="G825" s="19">
        <v>1018.4</v>
      </c>
      <c r="H825" s="19">
        <v>6110.4</v>
      </c>
      <c r="I825" s="20">
        <v>692.51199999999994</v>
      </c>
      <c r="J825" s="17" t="s">
        <v>45</v>
      </c>
      <c r="K825" s="17" t="s">
        <v>46</v>
      </c>
      <c r="L825" s="17" t="s">
        <v>34</v>
      </c>
      <c r="M825" s="19">
        <v>4155.0720000000001</v>
      </c>
      <c r="N825" s="19">
        <v>1955.32799999999</v>
      </c>
      <c r="O825" s="17">
        <v>31.999999999999901</v>
      </c>
      <c r="P825" s="17" t="s">
        <v>26</v>
      </c>
      <c r="Q825" s="17">
        <v>12</v>
      </c>
      <c r="R825" s="17" t="s">
        <v>27</v>
      </c>
      <c r="S825" s="14" t="str">
        <f t="shared" si="12"/>
        <v>Week 3</v>
      </c>
    </row>
    <row r="826" spans="1:19" x14ac:dyDescent="0.3">
      <c r="A826" s="8" t="s">
        <v>1121</v>
      </c>
      <c r="B826" s="9">
        <v>43090</v>
      </c>
      <c r="C826" s="10" t="s">
        <v>402</v>
      </c>
      <c r="D826" s="10" t="s">
        <v>21</v>
      </c>
      <c r="E826" s="10" t="s">
        <v>167</v>
      </c>
      <c r="F826" s="11">
        <v>6</v>
      </c>
      <c r="G826" s="12">
        <v>214.4</v>
      </c>
      <c r="H826" s="12">
        <v>1286.4000000000001</v>
      </c>
      <c r="I826" s="13">
        <v>154.36799999999999</v>
      </c>
      <c r="J826" s="10" t="s">
        <v>266</v>
      </c>
      <c r="K826" s="10" t="s">
        <v>267</v>
      </c>
      <c r="L826" s="10" t="s">
        <v>34</v>
      </c>
      <c r="M826" s="12">
        <v>926.20799999999997</v>
      </c>
      <c r="N826" s="12">
        <v>360.19200000000001</v>
      </c>
      <c r="O826" s="10">
        <v>28</v>
      </c>
      <c r="P826" s="10" t="s">
        <v>26</v>
      </c>
      <c r="Q826" s="10">
        <v>12</v>
      </c>
      <c r="R826" s="10" t="s">
        <v>27</v>
      </c>
      <c r="S826" s="14" t="str">
        <f t="shared" si="12"/>
        <v>Week 3</v>
      </c>
    </row>
    <row r="827" spans="1:19" x14ac:dyDescent="0.3">
      <c r="A827" s="15" t="s">
        <v>1122</v>
      </c>
      <c r="B827" s="16">
        <v>43090</v>
      </c>
      <c r="C827" s="17" t="s">
        <v>124</v>
      </c>
      <c r="D827" s="17" t="s">
        <v>30</v>
      </c>
      <c r="E827" s="17" t="s">
        <v>191</v>
      </c>
      <c r="F827" s="18">
        <v>10</v>
      </c>
      <c r="G827" s="19">
        <v>844.2</v>
      </c>
      <c r="H827" s="19">
        <v>8442</v>
      </c>
      <c r="I827" s="20">
        <v>574.05600000000004</v>
      </c>
      <c r="J827" s="17" t="s">
        <v>23</v>
      </c>
      <c r="K827" s="17" t="s">
        <v>24</v>
      </c>
      <c r="L827" s="17" t="s">
        <v>25</v>
      </c>
      <c r="M827" s="19">
        <v>5740.56</v>
      </c>
      <c r="N827" s="19">
        <v>2701.4399999999901</v>
      </c>
      <c r="O827" s="17">
        <v>31.999999999999901</v>
      </c>
      <c r="P827" s="17" t="s">
        <v>26</v>
      </c>
      <c r="Q827" s="17">
        <v>12</v>
      </c>
      <c r="R827" s="17" t="s">
        <v>27</v>
      </c>
      <c r="S827" s="14" t="str">
        <f t="shared" si="12"/>
        <v>Week 3</v>
      </c>
    </row>
    <row r="828" spans="1:19" x14ac:dyDescent="0.3">
      <c r="A828" s="8" t="s">
        <v>1123</v>
      </c>
      <c r="B828" s="9">
        <v>43090</v>
      </c>
      <c r="C828" s="10" t="s">
        <v>239</v>
      </c>
      <c r="D828" s="10" t="s">
        <v>43</v>
      </c>
      <c r="E828" s="10" t="s">
        <v>80</v>
      </c>
      <c r="F828" s="11">
        <v>10</v>
      </c>
      <c r="G828" s="12">
        <v>2405.3000000000002</v>
      </c>
      <c r="H828" s="12">
        <v>24053</v>
      </c>
      <c r="I828" s="13">
        <v>1611.5509999999999</v>
      </c>
      <c r="J828" s="10" t="s">
        <v>257</v>
      </c>
      <c r="K828" s="10" t="s">
        <v>258</v>
      </c>
      <c r="L828" s="10" t="s">
        <v>25</v>
      </c>
      <c r="M828" s="12">
        <v>16115.51</v>
      </c>
      <c r="N828" s="12">
        <v>7937.4899999999898</v>
      </c>
      <c r="O828" s="10">
        <v>32.999999999999901</v>
      </c>
      <c r="P828" s="10" t="s">
        <v>26</v>
      </c>
      <c r="Q828" s="10">
        <v>12</v>
      </c>
      <c r="R828" s="10" t="s">
        <v>27</v>
      </c>
      <c r="S828" s="14" t="str">
        <f t="shared" si="12"/>
        <v>Week 3</v>
      </c>
    </row>
    <row r="829" spans="1:19" x14ac:dyDescent="0.3">
      <c r="A829" s="15" t="s">
        <v>1124</v>
      </c>
      <c r="B829" s="16">
        <v>43090</v>
      </c>
      <c r="C829" s="17" t="s">
        <v>435</v>
      </c>
      <c r="D829" s="17" t="s">
        <v>21</v>
      </c>
      <c r="E829" s="17" t="s">
        <v>326</v>
      </c>
      <c r="F829" s="18">
        <v>11</v>
      </c>
      <c r="G829" s="19">
        <v>824.1</v>
      </c>
      <c r="H829" s="19">
        <v>9065.1</v>
      </c>
      <c r="I829" s="20">
        <v>395.56799999999998</v>
      </c>
      <c r="J829" s="17" t="s">
        <v>54</v>
      </c>
      <c r="K829" s="17" t="s">
        <v>55</v>
      </c>
      <c r="L829" s="17" t="s">
        <v>56</v>
      </c>
      <c r="M829" s="19">
        <v>4351.2479999999996</v>
      </c>
      <c r="N829" s="19">
        <v>4713.8519999999999</v>
      </c>
      <c r="O829" s="17">
        <v>52</v>
      </c>
      <c r="P829" s="17" t="s">
        <v>26</v>
      </c>
      <c r="Q829" s="17">
        <v>12</v>
      </c>
      <c r="R829" s="17" t="s">
        <v>27</v>
      </c>
      <c r="S829" s="14" t="str">
        <f t="shared" si="12"/>
        <v>Week 3</v>
      </c>
    </row>
    <row r="830" spans="1:19" x14ac:dyDescent="0.3">
      <c r="A830" s="8" t="s">
        <v>1125</v>
      </c>
      <c r="B830" s="9">
        <v>43090</v>
      </c>
      <c r="C830" s="10" t="s">
        <v>367</v>
      </c>
      <c r="D830" s="10" t="s">
        <v>21</v>
      </c>
      <c r="E830" s="10" t="s">
        <v>103</v>
      </c>
      <c r="F830" s="11">
        <v>7</v>
      </c>
      <c r="G830" s="12">
        <v>1983.2</v>
      </c>
      <c r="H830" s="12">
        <v>13882.4</v>
      </c>
      <c r="I830" s="13">
        <v>1110.5920000000001</v>
      </c>
      <c r="J830" s="10" t="s">
        <v>218</v>
      </c>
      <c r="K830" s="10" t="s">
        <v>219</v>
      </c>
      <c r="L830" s="10" t="s">
        <v>34</v>
      </c>
      <c r="M830" s="12">
        <v>7774.1440000000002</v>
      </c>
      <c r="N830" s="12">
        <v>6108.2559999999903</v>
      </c>
      <c r="O830" s="10">
        <v>43.999999999999901</v>
      </c>
      <c r="P830" s="10" t="s">
        <v>26</v>
      </c>
      <c r="Q830" s="10">
        <v>12</v>
      </c>
      <c r="R830" s="10" t="s">
        <v>27</v>
      </c>
      <c r="S830" s="14" t="str">
        <f t="shared" si="12"/>
        <v>Week 3</v>
      </c>
    </row>
    <row r="831" spans="1:19" x14ac:dyDescent="0.3">
      <c r="A831" s="15" t="s">
        <v>1126</v>
      </c>
      <c r="B831" s="16">
        <v>43090</v>
      </c>
      <c r="C831" s="17" t="s">
        <v>632</v>
      </c>
      <c r="D831" s="17" t="s">
        <v>30</v>
      </c>
      <c r="E831" s="17" t="s">
        <v>120</v>
      </c>
      <c r="F831" s="18">
        <v>10</v>
      </c>
      <c r="G831" s="19">
        <v>167.5</v>
      </c>
      <c r="H831" s="19">
        <v>1675</v>
      </c>
      <c r="I831" s="20">
        <v>82.075000000000003</v>
      </c>
      <c r="J831" s="17" t="s">
        <v>94</v>
      </c>
      <c r="K831" s="17" t="s">
        <v>95</v>
      </c>
      <c r="L831" s="17" t="s">
        <v>40</v>
      </c>
      <c r="M831" s="19">
        <v>820.75</v>
      </c>
      <c r="N831" s="19">
        <v>854.25</v>
      </c>
      <c r="O831" s="17">
        <v>51</v>
      </c>
      <c r="P831" s="17" t="s">
        <v>26</v>
      </c>
      <c r="Q831" s="17">
        <v>12</v>
      </c>
      <c r="R831" s="17" t="s">
        <v>27</v>
      </c>
      <c r="S831" s="14" t="str">
        <f t="shared" si="12"/>
        <v>Week 3</v>
      </c>
    </row>
    <row r="832" spans="1:19" x14ac:dyDescent="0.3">
      <c r="A832" s="8" t="s">
        <v>1127</v>
      </c>
      <c r="B832" s="9">
        <v>43090</v>
      </c>
      <c r="C832" s="10" t="s">
        <v>1128</v>
      </c>
      <c r="D832" s="10" t="s">
        <v>30</v>
      </c>
      <c r="E832" s="10" t="s">
        <v>31</v>
      </c>
      <c r="F832" s="11">
        <v>6</v>
      </c>
      <c r="G832" s="12">
        <v>1192.5999999999999</v>
      </c>
      <c r="H832" s="12">
        <v>7155.5999999999995</v>
      </c>
      <c r="I832" s="13">
        <v>596.29999999999995</v>
      </c>
      <c r="J832" s="10" t="s">
        <v>97</v>
      </c>
      <c r="K832" s="10" t="s">
        <v>98</v>
      </c>
      <c r="L832" s="10" t="s">
        <v>56</v>
      </c>
      <c r="M832" s="12">
        <v>3577.8</v>
      </c>
      <c r="N832" s="12">
        <v>3577.8</v>
      </c>
      <c r="O832" s="10">
        <v>50</v>
      </c>
      <c r="P832" s="10" t="s">
        <v>26</v>
      </c>
      <c r="Q832" s="10">
        <v>12</v>
      </c>
      <c r="R832" s="10" t="s">
        <v>27</v>
      </c>
      <c r="S832" s="14" t="str">
        <f t="shared" si="12"/>
        <v>Week 3</v>
      </c>
    </row>
    <row r="833" spans="1:19" x14ac:dyDescent="0.3">
      <c r="A833" s="15" t="s">
        <v>1129</v>
      </c>
      <c r="B833" s="16">
        <v>43090</v>
      </c>
      <c r="C833" s="17" t="s">
        <v>239</v>
      </c>
      <c r="D833" s="17" t="s">
        <v>21</v>
      </c>
      <c r="E833" s="17" t="s">
        <v>103</v>
      </c>
      <c r="F833" s="18">
        <v>11</v>
      </c>
      <c r="G833" s="19">
        <v>3685</v>
      </c>
      <c r="H833" s="19">
        <v>40535</v>
      </c>
      <c r="I833" s="20">
        <v>2395.25</v>
      </c>
      <c r="J833" s="17" t="s">
        <v>32</v>
      </c>
      <c r="K833" s="17" t="s">
        <v>33</v>
      </c>
      <c r="L833" s="17" t="s">
        <v>34</v>
      </c>
      <c r="M833" s="19">
        <v>26347.75</v>
      </c>
      <c r="N833" s="19">
        <v>14187.25</v>
      </c>
      <c r="O833" s="17">
        <v>35</v>
      </c>
      <c r="P833" s="17" t="s">
        <v>26</v>
      </c>
      <c r="Q833" s="17">
        <v>12</v>
      </c>
      <c r="R833" s="17" t="s">
        <v>27</v>
      </c>
      <c r="S833" s="14" t="str">
        <f t="shared" si="12"/>
        <v>Week 3</v>
      </c>
    </row>
    <row r="834" spans="1:19" x14ac:dyDescent="0.3">
      <c r="A834" s="8" t="s">
        <v>1130</v>
      </c>
      <c r="B834" s="9">
        <v>43090</v>
      </c>
      <c r="C834" s="10" t="s">
        <v>529</v>
      </c>
      <c r="D834" s="10" t="s">
        <v>21</v>
      </c>
      <c r="E834" s="10" t="s">
        <v>103</v>
      </c>
      <c r="F834" s="11">
        <v>5</v>
      </c>
      <c r="G834" s="12">
        <v>1159.0999999999999</v>
      </c>
      <c r="H834" s="12">
        <v>5795.5</v>
      </c>
      <c r="I834" s="13">
        <v>915.68899999999996</v>
      </c>
      <c r="J834" s="10" t="s">
        <v>257</v>
      </c>
      <c r="K834" s="10" t="s">
        <v>258</v>
      </c>
      <c r="L834" s="10" t="s">
        <v>25</v>
      </c>
      <c r="M834" s="12">
        <v>4578.4449999999997</v>
      </c>
      <c r="N834" s="12">
        <v>1217.0550000000001</v>
      </c>
      <c r="O834" s="10">
        <v>21</v>
      </c>
      <c r="P834" s="10" t="s">
        <v>26</v>
      </c>
      <c r="Q834" s="10">
        <v>12</v>
      </c>
      <c r="R834" s="10" t="s">
        <v>27</v>
      </c>
      <c r="S834" s="14" t="str">
        <f t="shared" si="12"/>
        <v>Week 3</v>
      </c>
    </row>
    <row r="835" spans="1:19" x14ac:dyDescent="0.3">
      <c r="A835" s="15" t="s">
        <v>1131</v>
      </c>
      <c r="B835" s="16">
        <v>43090</v>
      </c>
      <c r="C835" s="17" t="s">
        <v>294</v>
      </c>
      <c r="D835" s="17" t="s">
        <v>21</v>
      </c>
      <c r="E835" s="17" t="s">
        <v>103</v>
      </c>
      <c r="F835" s="18">
        <v>5</v>
      </c>
      <c r="G835" s="19">
        <v>1715.2</v>
      </c>
      <c r="H835" s="19">
        <v>8576</v>
      </c>
      <c r="I835" s="20">
        <v>771.84</v>
      </c>
      <c r="J835" s="17" t="s">
        <v>69</v>
      </c>
      <c r="K835" s="17" t="s">
        <v>70</v>
      </c>
      <c r="L835" s="17" t="s">
        <v>25</v>
      </c>
      <c r="M835" s="19">
        <v>3859.2</v>
      </c>
      <c r="N835" s="19">
        <v>4716.7999999999902</v>
      </c>
      <c r="O835" s="17">
        <v>54.999999999999901</v>
      </c>
      <c r="P835" s="17" t="s">
        <v>26</v>
      </c>
      <c r="Q835" s="17">
        <v>12</v>
      </c>
      <c r="R835" s="17" t="s">
        <v>27</v>
      </c>
      <c r="S835" s="14" t="str">
        <f t="shared" ref="S835:S898" si="13">"Week "&amp;INT((DAY(B835)-1)/7)+1</f>
        <v>Week 3</v>
      </c>
    </row>
    <row r="836" spans="1:19" x14ac:dyDescent="0.3">
      <c r="A836" s="8" t="s">
        <v>1132</v>
      </c>
      <c r="B836" s="9">
        <v>43090</v>
      </c>
      <c r="C836" s="10" t="s">
        <v>856</v>
      </c>
      <c r="D836" s="10" t="s">
        <v>43</v>
      </c>
      <c r="E836" s="10" t="s">
        <v>31</v>
      </c>
      <c r="F836" s="11">
        <v>8</v>
      </c>
      <c r="G836" s="12">
        <v>174.2</v>
      </c>
      <c r="H836" s="12">
        <v>1393.6</v>
      </c>
      <c r="I836" s="13">
        <v>101.036</v>
      </c>
      <c r="J836" s="10" t="s">
        <v>222</v>
      </c>
      <c r="K836" s="10" t="s">
        <v>223</v>
      </c>
      <c r="L836" s="10" t="s">
        <v>25</v>
      </c>
      <c r="M836" s="12">
        <v>808.28800000000001</v>
      </c>
      <c r="N836" s="12">
        <v>585.31200000000001</v>
      </c>
      <c r="O836" s="10">
        <v>42</v>
      </c>
      <c r="P836" s="10" t="s">
        <v>26</v>
      </c>
      <c r="Q836" s="10">
        <v>12</v>
      </c>
      <c r="R836" s="10" t="s">
        <v>27</v>
      </c>
      <c r="S836" s="14" t="str">
        <f t="shared" si="13"/>
        <v>Week 3</v>
      </c>
    </row>
    <row r="837" spans="1:19" x14ac:dyDescent="0.3">
      <c r="A837" s="15" t="s">
        <v>1133</v>
      </c>
      <c r="B837" s="16">
        <v>43090</v>
      </c>
      <c r="C837" s="17" t="s">
        <v>275</v>
      </c>
      <c r="D837" s="17" t="s">
        <v>30</v>
      </c>
      <c r="E837" s="17" t="s">
        <v>149</v>
      </c>
      <c r="F837" s="18">
        <v>6</v>
      </c>
      <c r="G837" s="19">
        <v>1755.4</v>
      </c>
      <c r="H837" s="19">
        <v>10532.400000000001</v>
      </c>
      <c r="I837" s="20">
        <v>1228.78</v>
      </c>
      <c r="J837" s="17" t="s">
        <v>38</v>
      </c>
      <c r="K837" s="17" t="s">
        <v>39</v>
      </c>
      <c r="L837" s="17" t="s">
        <v>40</v>
      </c>
      <c r="M837" s="19">
        <v>7372.68</v>
      </c>
      <c r="N837" s="19">
        <v>3159.72</v>
      </c>
      <c r="O837" s="17">
        <v>30</v>
      </c>
      <c r="P837" s="17" t="s">
        <v>26</v>
      </c>
      <c r="Q837" s="17">
        <v>12</v>
      </c>
      <c r="R837" s="17" t="s">
        <v>27</v>
      </c>
      <c r="S837" s="14" t="str">
        <f t="shared" si="13"/>
        <v>Week 3</v>
      </c>
    </row>
    <row r="838" spans="1:19" x14ac:dyDescent="0.3">
      <c r="A838" s="8" t="s">
        <v>1134</v>
      </c>
      <c r="B838" s="9">
        <v>43090</v>
      </c>
      <c r="C838" s="10" t="s">
        <v>234</v>
      </c>
      <c r="D838" s="10" t="s">
        <v>43</v>
      </c>
      <c r="E838" s="10" t="s">
        <v>103</v>
      </c>
      <c r="F838" s="11">
        <v>5</v>
      </c>
      <c r="G838" s="12">
        <v>938</v>
      </c>
      <c r="H838" s="12">
        <v>4690</v>
      </c>
      <c r="I838" s="13">
        <v>534.66</v>
      </c>
      <c r="J838" s="10" t="s">
        <v>177</v>
      </c>
      <c r="K838" s="10" t="s">
        <v>178</v>
      </c>
      <c r="L838" s="10" t="s">
        <v>40</v>
      </c>
      <c r="M838" s="12">
        <v>2673.2999999999902</v>
      </c>
      <c r="N838" s="12">
        <v>2016.7</v>
      </c>
      <c r="O838" s="10">
        <v>43</v>
      </c>
      <c r="P838" s="10" t="s">
        <v>26</v>
      </c>
      <c r="Q838" s="10">
        <v>12</v>
      </c>
      <c r="R838" s="10" t="s">
        <v>27</v>
      </c>
      <c r="S838" s="14" t="str">
        <f t="shared" si="13"/>
        <v>Week 3</v>
      </c>
    </row>
    <row r="839" spans="1:19" x14ac:dyDescent="0.3">
      <c r="A839" s="15" t="s">
        <v>1135</v>
      </c>
      <c r="B839" s="16">
        <v>43090</v>
      </c>
      <c r="C839" s="17" t="s">
        <v>806</v>
      </c>
      <c r="D839" s="17" t="s">
        <v>30</v>
      </c>
      <c r="E839" s="17" t="s">
        <v>37</v>
      </c>
      <c r="F839" s="18">
        <v>10</v>
      </c>
      <c r="G839" s="19">
        <v>864.3</v>
      </c>
      <c r="H839" s="19">
        <v>8643</v>
      </c>
      <c r="I839" s="20">
        <v>432.15</v>
      </c>
      <c r="J839" s="17" t="s">
        <v>54</v>
      </c>
      <c r="K839" s="17" t="s">
        <v>55</v>
      </c>
      <c r="L839" s="17" t="s">
        <v>56</v>
      </c>
      <c r="M839" s="19">
        <v>4321.5</v>
      </c>
      <c r="N839" s="19">
        <v>4321.5</v>
      </c>
      <c r="O839" s="17">
        <v>50</v>
      </c>
      <c r="P839" s="17" t="s">
        <v>26</v>
      </c>
      <c r="Q839" s="17">
        <v>12</v>
      </c>
      <c r="R839" s="17" t="s">
        <v>27</v>
      </c>
      <c r="S839" s="14" t="str">
        <f t="shared" si="13"/>
        <v>Week 3</v>
      </c>
    </row>
    <row r="840" spans="1:19" x14ac:dyDescent="0.3">
      <c r="A840" s="8" t="s">
        <v>1136</v>
      </c>
      <c r="B840" s="9">
        <v>43090</v>
      </c>
      <c r="C840" s="10" t="s">
        <v>58</v>
      </c>
      <c r="D840" s="10" t="s">
        <v>21</v>
      </c>
      <c r="E840" s="10" t="s">
        <v>62</v>
      </c>
      <c r="F840" s="11">
        <v>7</v>
      </c>
      <c r="G840" s="12">
        <v>187.6</v>
      </c>
      <c r="H840" s="12">
        <v>1313.2</v>
      </c>
      <c r="I840" s="13">
        <v>142.57599999999999</v>
      </c>
      <c r="J840" s="10" t="s">
        <v>54</v>
      </c>
      <c r="K840" s="10" t="s">
        <v>55</v>
      </c>
      <c r="L840" s="10" t="s">
        <v>56</v>
      </c>
      <c r="M840" s="12">
        <v>998.03199999999902</v>
      </c>
      <c r="N840" s="12">
        <v>315.16800000000001</v>
      </c>
      <c r="O840" s="10">
        <v>24</v>
      </c>
      <c r="P840" s="10" t="s">
        <v>26</v>
      </c>
      <c r="Q840" s="10">
        <v>12</v>
      </c>
      <c r="R840" s="10" t="s">
        <v>27</v>
      </c>
      <c r="S840" s="14" t="str">
        <f t="shared" si="13"/>
        <v>Week 3</v>
      </c>
    </row>
    <row r="841" spans="1:19" x14ac:dyDescent="0.3">
      <c r="A841" s="15" t="s">
        <v>1137</v>
      </c>
      <c r="B841" s="16">
        <v>43090</v>
      </c>
      <c r="C841" s="17" t="s">
        <v>363</v>
      </c>
      <c r="D841" s="17" t="s">
        <v>21</v>
      </c>
      <c r="E841" s="17" t="s">
        <v>115</v>
      </c>
      <c r="F841" s="18">
        <v>11</v>
      </c>
      <c r="G841" s="19">
        <v>1989.9</v>
      </c>
      <c r="H841" s="19">
        <v>21888.9</v>
      </c>
      <c r="I841" s="20">
        <v>1154.1420000000001</v>
      </c>
      <c r="J841" s="17" t="s">
        <v>94</v>
      </c>
      <c r="K841" s="17" t="s">
        <v>95</v>
      </c>
      <c r="L841" s="17" t="s">
        <v>40</v>
      </c>
      <c r="M841" s="19">
        <v>12695.562</v>
      </c>
      <c r="N841" s="19">
        <v>9193.3379999999997</v>
      </c>
      <c r="O841" s="17">
        <v>42</v>
      </c>
      <c r="P841" s="17" t="s">
        <v>26</v>
      </c>
      <c r="Q841" s="17">
        <v>12</v>
      </c>
      <c r="R841" s="17" t="s">
        <v>27</v>
      </c>
      <c r="S841" s="14" t="str">
        <f t="shared" si="13"/>
        <v>Week 3</v>
      </c>
    </row>
    <row r="842" spans="1:19" x14ac:dyDescent="0.3">
      <c r="A842" s="8" t="s">
        <v>1138</v>
      </c>
      <c r="B842" s="9">
        <v>43090</v>
      </c>
      <c r="C842" s="10" t="s">
        <v>448</v>
      </c>
      <c r="D842" s="10" t="s">
        <v>21</v>
      </c>
      <c r="E842" s="10" t="s">
        <v>418</v>
      </c>
      <c r="F842" s="11">
        <v>12</v>
      </c>
      <c r="G842" s="12">
        <v>1715.2</v>
      </c>
      <c r="H842" s="12">
        <v>20582.400000000001</v>
      </c>
      <c r="I842" s="13">
        <v>874.75199999999995</v>
      </c>
      <c r="J842" s="10" t="s">
        <v>54</v>
      </c>
      <c r="K842" s="10" t="s">
        <v>55</v>
      </c>
      <c r="L842" s="10" t="s">
        <v>56</v>
      </c>
      <c r="M842" s="12">
        <v>10497.023999999999</v>
      </c>
      <c r="N842" s="12">
        <v>10085.376</v>
      </c>
      <c r="O842" s="10">
        <v>49</v>
      </c>
      <c r="P842" s="10" t="s">
        <v>26</v>
      </c>
      <c r="Q842" s="10">
        <v>12</v>
      </c>
      <c r="R842" s="10" t="s">
        <v>27</v>
      </c>
      <c r="S842" s="14" t="str">
        <f t="shared" si="13"/>
        <v>Week 3</v>
      </c>
    </row>
    <row r="843" spans="1:19" x14ac:dyDescent="0.3">
      <c r="A843" s="15" t="s">
        <v>557</v>
      </c>
      <c r="B843" s="16">
        <v>43090</v>
      </c>
      <c r="C843" s="17" t="s">
        <v>170</v>
      </c>
      <c r="D843" s="17" t="s">
        <v>43</v>
      </c>
      <c r="E843" s="17" t="s">
        <v>228</v>
      </c>
      <c r="F843" s="18">
        <v>5</v>
      </c>
      <c r="G843" s="19">
        <v>3953</v>
      </c>
      <c r="H843" s="19">
        <v>19765</v>
      </c>
      <c r="I843" s="20">
        <v>2688.04</v>
      </c>
      <c r="J843" s="17" t="s">
        <v>76</v>
      </c>
      <c r="K843" s="17" t="s">
        <v>77</v>
      </c>
      <c r="L843" s="17" t="s">
        <v>56</v>
      </c>
      <c r="M843" s="19">
        <v>13440.2</v>
      </c>
      <c r="N843" s="19">
        <v>6324.7999999999902</v>
      </c>
      <c r="O843" s="17">
        <v>31.999999999999901</v>
      </c>
      <c r="P843" s="17" t="s">
        <v>26</v>
      </c>
      <c r="Q843" s="17">
        <v>12</v>
      </c>
      <c r="R843" s="17" t="s">
        <v>27</v>
      </c>
      <c r="S843" s="14" t="str">
        <f t="shared" si="13"/>
        <v>Week 3</v>
      </c>
    </row>
    <row r="844" spans="1:19" x14ac:dyDescent="0.3">
      <c r="A844" s="8" t="s">
        <v>1139</v>
      </c>
      <c r="B844" s="9">
        <v>43090</v>
      </c>
      <c r="C844" s="10" t="s">
        <v>384</v>
      </c>
      <c r="D844" s="10" t="s">
        <v>21</v>
      </c>
      <c r="E844" s="10" t="s">
        <v>252</v>
      </c>
      <c r="F844" s="11">
        <v>5</v>
      </c>
      <c r="G844" s="12">
        <v>3517.5</v>
      </c>
      <c r="H844" s="12">
        <v>17587.5</v>
      </c>
      <c r="I844" s="13">
        <v>2778.8249999999998</v>
      </c>
      <c r="J844" s="10" t="s">
        <v>54</v>
      </c>
      <c r="K844" s="10" t="s">
        <v>55</v>
      </c>
      <c r="L844" s="10" t="s">
        <v>56</v>
      </c>
      <c r="M844" s="12">
        <v>13894.125</v>
      </c>
      <c r="N844" s="12">
        <v>3693.37499999999</v>
      </c>
      <c r="O844" s="10">
        <v>20.999999999999901</v>
      </c>
      <c r="P844" s="10" t="s">
        <v>26</v>
      </c>
      <c r="Q844" s="10">
        <v>12</v>
      </c>
      <c r="R844" s="10" t="s">
        <v>27</v>
      </c>
      <c r="S844" s="14" t="str">
        <f t="shared" si="13"/>
        <v>Week 3</v>
      </c>
    </row>
    <row r="845" spans="1:19" x14ac:dyDescent="0.3">
      <c r="A845" s="15" t="s">
        <v>1140</v>
      </c>
      <c r="B845" s="16">
        <v>43090</v>
      </c>
      <c r="C845" s="17" t="s">
        <v>810</v>
      </c>
      <c r="D845" s="17" t="s">
        <v>21</v>
      </c>
      <c r="E845" s="17" t="s">
        <v>115</v>
      </c>
      <c r="F845" s="18">
        <v>7</v>
      </c>
      <c r="G845" s="19">
        <v>6371.7</v>
      </c>
      <c r="H845" s="19">
        <v>44601.9</v>
      </c>
      <c r="I845" s="20">
        <v>5288.5109999999904</v>
      </c>
      <c r="J845" s="17" t="s">
        <v>212</v>
      </c>
      <c r="K845" s="17" t="s">
        <v>213</v>
      </c>
      <c r="L845" s="17" t="s">
        <v>34</v>
      </c>
      <c r="M845" s="19">
        <v>37019.576999999997</v>
      </c>
      <c r="N845" s="19">
        <v>7582.3230000000003</v>
      </c>
      <c r="O845" s="17">
        <v>17</v>
      </c>
      <c r="P845" s="17" t="s">
        <v>26</v>
      </c>
      <c r="Q845" s="17">
        <v>12</v>
      </c>
      <c r="R845" s="17" t="s">
        <v>27</v>
      </c>
      <c r="S845" s="14" t="str">
        <f t="shared" si="13"/>
        <v>Week 3</v>
      </c>
    </row>
    <row r="846" spans="1:19" x14ac:dyDescent="0.3">
      <c r="A846" s="8" t="s">
        <v>1141</v>
      </c>
      <c r="B846" s="9">
        <v>43090</v>
      </c>
      <c r="C846" s="10" t="s">
        <v>491</v>
      </c>
      <c r="D846" s="10" t="s">
        <v>30</v>
      </c>
      <c r="E846" s="10" t="s">
        <v>146</v>
      </c>
      <c r="F846" s="11">
        <v>7</v>
      </c>
      <c r="G846" s="12">
        <v>897.8</v>
      </c>
      <c r="H846" s="12">
        <v>6284.5999999999995</v>
      </c>
      <c r="I846" s="13">
        <v>430.94400000000002</v>
      </c>
      <c r="J846" s="10" t="s">
        <v>45</v>
      </c>
      <c r="K846" s="10" t="s">
        <v>46</v>
      </c>
      <c r="L846" s="10" t="s">
        <v>34</v>
      </c>
      <c r="M846" s="12">
        <v>3016.6080000000002</v>
      </c>
      <c r="N846" s="12">
        <v>3267.9920000000002</v>
      </c>
      <c r="O846" s="10">
        <v>52</v>
      </c>
      <c r="P846" s="10" t="s">
        <v>26</v>
      </c>
      <c r="Q846" s="10">
        <v>12</v>
      </c>
      <c r="R846" s="10" t="s">
        <v>27</v>
      </c>
      <c r="S846" s="14" t="str">
        <f t="shared" si="13"/>
        <v>Week 3</v>
      </c>
    </row>
    <row r="847" spans="1:19" x14ac:dyDescent="0.3">
      <c r="A847" s="15" t="s">
        <v>1142</v>
      </c>
      <c r="B847" s="16">
        <v>43090</v>
      </c>
      <c r="C847" s="17" t="s">
        <v>180</v>
      </c>
      <c r="D847" s="17" t="s">
        <v>21</v>
      </c>
      <c r="E847" s="17" t="s">
        <v>31</v>
      </c>
      <c r="F847" s="18">
        <v>5</v>
      </c>
      <c r="G847" s="19">
        <v>2438.8000000000002</v>
      </c>
      <c r="H847" s="19">
        <v>12194</v>
      </c>
      <c r="I847" s="20">
        <v>1341.34</v>
      </c>
      <c r="J847" s="17" t="s">
        <v>94</v>
      </c>
      <c r="K847" s="17" t="s">
        <v>95</v>
      </c>
      <c r="L847" s="17" t="s">
        <v>40</v>
      </c>
      <c r="M847" s="19">
        <v>6706.7</v>
      </c>
      <c r="N847" s="19">
        <v>5487.2999999999902</v>
      </c>
      <c r="O847" s="17">
        <v>44.999999999999901</v>
      </c>
      <c r="P847" s="17" t="s">
        <v>26</v>
      </c>
      <c r="Q847" s="17">
        <v>12</v>
      </c>
      <c r="R847" s="17" t="s">
        <v>27</v>
      </c>
      <c r="S847" s="14" t="str">
        <f t="shared" si="13"/>
        <v>Week 3</v>
      </c>
    </row>
    <row r="848" spans="1:19" x14ac:dyDescent="0.3">
      <c r="A848" s="8" t="s">
        <v>1143</v>
      </c>
      <c r="B848" s="9">
        <v>43090</v>
      </c>
      <c r="C848" s="10" t="s">
        <v>374</v>
      </c>
      <c r="D848" s="10" t="s">
        <v>21</v>
      </c>
      <c r="E848" s="10" t="s">
        <v>62</v>
      </c>
      <c r="F848" s="11">
        <v>6</v>
      </c>
      <c r="G848" s="12">
        <v>1065.3</v>
      </c>
      <c r="H848" s="12">
        <v>6391.7999999999993</v>
      </c>
      <c r="I848" s="13">
        <v>543.303</v>
      </c>
      <c r="J848" s="10" t="s">
        <v>94</v>
      </c>
      <c r="K848" s="10" t="s">
        <v>95</v>
      </c>
      <c r="L848" s="10" t="s">
        <v>40</v>
      </c>
      <c r="M848" s="12">
        <v>3259.8180000000002</v>
      </c>
      <c r="N848" s="12">
        <v>3131.98199999999</v>
      </c>
      <c r="O848" s="10">
        <v>48.999999999999901</v>
      </c>
      <c r="P848" s="10" t="s">
        <v>26</v>
      </c>
      <c r="Q848" s="10">
        <v>12</v>
      </c>
      <c r="R848" s="10" t="s">
        <v>27</v>
      </c>
      <c r="S848" s="14" t="str">
        <f t="shared" si="13"/>
        <v>Week 3</v>
      </c>
    </row>
    <row r="849" spans="1:19" x14ac:dyDescent="0.3">
      <c r="A849" s="15" t="s">
        <v>1144</v>
      </c>
      <c r="B849" s="16">
        <v>43090</v>
      </c>
      <c r="C849" s="17" t="s">
        <v>154</v>
      </c>
      <c r="D849" s="17" t="s">
        <v>21</v>
      </c>
      <c r="E849" s="17" t="s">
        <v>62</v>
      </c>
      <c r="F849" s="18">
        <v>10</v>
      </c>
      <c r="G849" s="19">
        <v>1051.9000000000001</v>
      </c>
      <c r="H849" s="19">
        <v>10519</v>
      </c>
      <c r="I849" s="20">
        <v>641.65899999999999</v>
      </c>
      <c r="J849" s="17" t="s">
        <v>38</v>
      </c>
      <c r="K849" s="17" t="s">
        <v>39</v>
      </c>
      <c r="L849" s="17" t="s">
        <v>40</v>
      </c>
      <c r="M849" s="19">
        <v>6416.59</v>
      </c>
      <c r="N849" s="19">
        <v>4102.41</v>
      </c>
      <c r="O849" s="17">
        <v>39</v>
      </c>
      <c r="P849" s="17" t="s">
        <v>26</v>
      </c>
      <c r="Q849" s="17">
        <v>12</v>
      </c>
      <c r="R849" s="17" t="s">
        <v>27</v>
      </c>
      <c r="S849" s="14" t="str">
        <f t="shared" si="13"/>
        <v>Week 3</v>
      </c>
    </row>
    <row r="850" spans="1:19" x14ac:dyDescent="0.3">
      <c r="A850" s="8" t="s">
        <v>1145</v>
      </c>
      <c r="B850" s="9">
        <v>43090</v>
      </c>
      <c r="C850" s="10" t="s">
        <v>591</v>
      </c>
      <c r="D850" s="10" t="s">
        <v>21</v>
      </c>
      <c r="E850" s="10" t="s">
        <v>146</v>
      </c>
      <c r="F850" s="11">
        <v>5</v>
      </c>
      <c r="G850" s="12">
        <v>911.2</v>
      </c>
      <c r="H850" s="12">
        <v>4556</v>
      </c>
      <c r="I850" s="13">
        <v>455.6</v>
      </c>
      <c r="J850" s="10" t="s">
        <v>38</v>
      </c>
      <c r="K850" s="10" t="s">
        <v>39</v>
      </c>
      <c r="L850" s="10" t="s">
        <v>40</v>
      </c>
      <c r="M850" s="12">
        <v>2278</v>
      </c>
      <c r="N850" s="12">
        <v>2278</v>
      </c>
      <c r="O850" s="10">
        <v>50</v>
      </c>
      <c r="P850" s="10" t="s">
        <v>26</v>
      </c>
      <c r="Q850" s="10">
        <v>12</v>
      </c>
      <c r="R850" s="10" t="s">
        <v>27</v>
      </c>
      <c r="S850" s="14" t="str">
        <f t="shared" si="13"/>
        <v>Week 3</v>
      </c>
    </row>
    <row r="851" spans="1:19" x14ac:dyDescent="0.3">
      <c r="A851" s="15" t="s">
        <v>1146</v>
      </c>
      <c r="B851" s="16">
        <v>43090</v>
      </c>
      <c r="C851" s="17" t="s">
        <v>286</v>
      </c>
      <c r="D851" s="17" t="s">
        <v>30</v>
      </c>
      <c r="E851" s="17" t="s">
        <v>31</v>
      </c>
      <c r="F851" s="18">
        <v>9</v>
      </c>
      <c r="G851" s="19">
        <v>1206</v>
      </c>
      <c r="H851" s="19">
        <v>10854</v>
      </c>
      <c r="I851" s="20">
        <v>747.72</v>
      </c>
      <c r="J851" s="17" t="s">
        <v>23</v>
      </c>
      <c r="K851" s="17" t="s">
        <v>24</v>
      </c>
      <c r="L851" s="17" t="s">
        <v>25</v>
      </c>
      <c r="M851" s="19">
        <v>6729.48</v>
      </c>
      <c r="N851" s="19">
        <v>4124.5199999999904</v>
      </c>
      <c r="O851" s="17">
        <v>37.999999999999901</v>
      </c>
      <c r="P851" s="17" t="s">
        <v>26</v>
      </c>
      <c r="Q851" s="17">
        <v>12</v>
      </c>
      <c r="R851" s="17" t="s">
        <v>27</v>
      </c>
      <c r="S851" s="14" t="str">
        <f t="shared" si="13"/>
        <v>Week 3</v>
      </c>
    </row>
    <row r="852" spans="1:19" x14ac:dyDescent="0.3">
      <c r="A852" s="8" t="s">
        <v>1147</v>
      </c>
      <c r="B852" s="9">
        <v>43090</v>
      </c>
      <c r="C852" s="10" t="s">
        <v>519</v>
      </c>
      <c r="D852" s="10" t="s">
        <v>30</v>
      </c>
      <c r="E852" s="10" t="s">
        <v>49</v>
      </c>
      <c r="F852" s="11">
        <v>11</v>
      </c>
      <c r="G852" s="12">
        <v>877.7</v>
      </c>
      <c r="H852" s="12">
        <v>9654.7000000000007</v>
      </c>
      <c r="I852" s="13">
        <v>728.49099999999999</v>
      </c>
      <c r="J852" s="10" t="s">
        <v>54</v>
      </c>
      <c r="K852" s="10" t="s">
        <v>55</v>
      </c>
      <c r="L852" s="10" t="s">
        <v>56</v>
      </c>
      <c r="M852" s="12">
        <v>8013.4009999999998</v>
      </c>
      <c r="N852" s="12">
        <v>1641.299</v>
      </c>
      <c r="O852" s="10">
        <v>17</v>
      </c>
      <c r="P852" s="10" t="s">
        <v>26</v>
      </c>
      <c r="Q852" s="10">
        <v>12</v>
      </c>
      <c r="R852" s="10" t="s">
        <v>27</v>
      </c>
      <c r="S852" s="14" t="str">
        <f t="shared" si="13"/>
        <v>Week 3</v>
      </c>
    </row>
    <row r="853" spans="1:19" x14ac:dyDescent="0.3">
      <c r="A853" s="15" t="s">
        <v>1148</v>
      </c>
      <c r="B853" s="16">
        <v>43090</v>
      </c>
      <c r="C853" s="17" t="s">
        <v>941</v>
      </c>
      <c r="D853" s="17" t="s">
        <v>43</v>
      </c>
      <c r="E853" s="17" t="s">
        <v>149</v>
      </c>
      <c r="F853" s="18">
        <v>7</v>
      </c>
      <c r="G853" s="19">
        <v>5815.6</v>
      </c>
      <c r="H853" s="19">
        <v>40709.200000000004</v>
      </c>
      <c r="I853" s="20">
        <v>4826.9480000000003</v>
      </c>
      <c r="J853" s="17" t="s">
        <v>83</v>
      </c>
      <c r="K853" s="17" t="s">
        <v>84</v>
      </c>
      <c r="L853" s="17" t="s">
        <v>34</v>
      </c>
      <c r="M853" s="19">
        <v>33788.635999999999</v>
      </c>
      <c r="N853" s="19">
        <v>6920.5640000000003</v>
      </c>
      <c r="O853" s="17">
        <v>17</v>
      </c>
      <c r="P853" s="17" t="s">
        <v>26</v>
      </c>
      <c r="Q853" s="17">
        <v>12</v>
      </c>
      <c r="R853" s="17" t="s">
        <v>27</v>
      </c>
      <c r="S853" s="14" t="str">
        <f t="shared" si="13"/>
        <v>Week 3</v>
      </c>
    </row>
    <row r="854" spans="1:19" x14ac:dyDescent="0.3">
      <c r="A854" s="8" t="s">
        <v>1149</v>
      </c>
      <c r="B854" s="9">
        <v>43091</v>
      </c>
      <c r="C854" s="10" t="s">
        <v>53</v>
      </c>
      <c r="D854" s="10" t="s">
        <v>21</v>
      </c>
      <c r="E854" s="10" t="s">
        <v>146</v>
      </c>
      <c r="F854" s="11">
        <v>12</v>
      </c>
      <c r="G854" s="12">
        <v>911.2</v>
      </c>
      <c r="H854" s="12">
        <v>10934.400000000001</v>
      </c>
      <c r="I854" s="13">
        <v>674.28800000000001</v>
      </c>
      <c r="J854" s="10" t="s">
        <v>54</v>
      </c>
      <c r="K854" s="10" t="s">
        <v>55</v>
      </c>
      <c r="L854" s="10" t="s">
        <v>56</v>
      </c>
      <c r="M854" s="12">
        <v>8091.4560000000001</v>
      </c>
      <c r="N854" s="12">
        <v>2842.944</v>
      </c>
      <c r="O854" s="10">
        <v>26</v>
      </c>
      <c r="P854" s="10" t="s">
        <v>26</v>
      </c>
      <c r="Q854" s="10">
        <v>12</v>
      </c>
      <c r="R854" s="10" t="s">
        <v>27</v>
      </c>
      <c r="S854" s="14" t="str">
        <f t="shared" si="13"/>
        <v>Week 4</v>
      </c>
    </row>
    <row r="855" spans="1:19" x14ac:dyDescent="0.3">
      <c r="A855" s="15" t="s">
        <v>1150</v>
      </c>
      <c r="B855" s="16">
        <v>43091</v>
      </c>
      <c r="C855" s="17" t="s">
        <v>843</v>
      </c>
      <c r="D855" s="17" t="s">
        <v>21</v>
      </c>
      <c r="E855" s="17" t="s">
        <v>265</v>
      </c>
      <c r="F855" s="18">
        <v>7</v>
      </c>
      <c r="G855" s="19">
        <v>201</v>
      </c>
      <c r="H855" s="19">
        <v>1407</v>
      </c>
      <c r="I855" s="20">
        <v>106.53</v>
      </c>
      <c r="J855" s="17" t="s">
        <v>94</v>
      </c>
      <c r="K855" s="17" t="s">
        <v>95</v>
      </c>
      <c r="L855" s="17" t="s">
        <v>40</v>
      </c>
      <c r="M855" s="19">
        <v>745.71</v>
      </c>
      <c r="N855" s="19">
        <v>661.29</v>
      </c>
      <c r="O855" s="17">
        <v>47</v>
      </c>
      <c r="P855" s="17" t="s">
        <v>26</v>
      </c>
      <c r="Q855" s="17">
        <v>12</v>
      </c>
      <c r="R855" s="17" t="s">
        <v>27</v>
      </c>
      <c r="S855" s="14" t="str">
        <f t="shared" si="13"/>
        <v>Week 4</v>
      </c>
    </row>
    <row r="856" spans="1:19" x14ac:dyDescent="0.3">
      <c r="A856" s="8" t="s">
        <v>1151</v>
      </c>
      <c r="B856" s="9">
        <v>43091</v>
      </c>
      <c r="C856" s="10" t="s">
        <v>145</v>
      </c>
      <c r="D856" s="10" t="s">
        <v>43</v>
      </c>
      <c r="E856" s="10" t="s">
        <v>73</v>
      </c>
      <c r="F856" s="11">
        <v>9</v>
      </c>
      <c r="G856" s="12">
        <v>1005</v>
      </c>
      <c r="H856" s="12">
        <v>9045</v>
      </c>
      <c r="I856" s="13">
        <v>814.05</v>
      </c>
      <c r="J856" s="10" t="s">
        <v>266</v>
      </c>
      <c r="K856" s="10" t="s">
        <v>267</v>
      </c>
      <c r="L856" s="10" t="s">
        <v>34</v>
      </c>
      <c r="M856" s="12">
        <v>7326.45</v>
      </c>
      <c r="N856" s="12">
        <v>1718.54999999999</v>
      </c>
      <c r="O856" s="10">
        <v>18.999999999999901</v>
      </c>
      <c r="P856" s="10" t="s">
        <v>26</v>
      </c>
      <c r="Q856" s="10">
        <v>12</v>
      </c>
      <c r="R856" s="10" t="s">
        <v>27</v>
      </c>
      <c r="S856" s="14" t="str">
        <f t="shared" si="13"/>
        <v>Week 4</v>
      </c>
    </row>
    <row r="857" spans="1:19" x14ac:dyDescent="0.3">
      <c r="A857" s="15" t="s">
        <v>1152</v>
      </c>
      <c r="B857" s="16">
        <v>43091</v>
      </c>
      <c r="C857" s="17" t="s">
        <v>188</v>
      </c>
      <c r="D857" s="17" t="s">
        <v>21</v>
      </c>
      <c r="E857" s="17" t="s">
        <v>62</v>
      </c>
      <c r="F857" s="18">
        <v>11</v>
      </c>
      <c r="G857" s="19">
        <v>1688.4</v>
      </c>
      <c r="H857" s="19">
        <v>18572.400000000001</v>
      </c>
      <c r="I857" s="20">
        <v>894.85199999999998</v>
      </c>
      <c r="J857" s="17" t="s">
        <v>212</v>
      </c>
      <c r="K857" s="17" t="s">
        <v>213</v>
      </c>
      <c r="L857" s="17" t="s">
        <v>34</v>
      </c>
      <c r="M857" s="19">
        <v>9843.3719999999994</v>
      </c>
      <c r="N857" s="19">
        <v>8729.0280000000002</v>
      </c>
      <c r="O857" s="17">
        <v>47</v>
      </c>
      <c r="P857" s="17" t="s">
        <v>26</v>
      </c>
      <c r="Q857" s="17">
        <v>12</v>
      </c>
      <c r="R857" s="17" t="s">
        <v>27</v>
      </c>
      <c r="S857" s="14" t="str">
        <f t="shared" si="13"/>
        <v>Week 4</v>
      </c>
    </row>
    <row r="858" spans="1:19" x14ac:dyDescent="0.3">
      <c r="A858" s="8" t="s">
        <v>1153</v>
      </c>
      <c r="B858" s="9">
        <v>43091</v>
      </c>
      <c r="C858" s="10" t="s">
        <v>345</v>
      </c>
      <c r="D858" s="10" t="s">
        <v>21</v>
      </c>
      <c r="E858" s="10" t="s">
        <v>326</v>
      </c>
      <c r="F858" s="11">
        <v>8</v>
      </c>
      <c r="G858" s="12">
        <v>3906.1</v>
      </c>
      <c r="H858" s="12">
        <v>31248.799999999999</v>
      </c>
      <c r="I858" s="13">
        <v>1718.684</v>
      </c>
      <c r="J858" s="10" t="s">
        <v>23</v>
      </c>
      <c r="K858" s="10" t="s">
        <v>24</v>
      </c>
      <c r="L858" s="10" t="s">
        <v>25</v>
      </c>
      <c r="M858" s="12">
        <v>13749.472</v>
      </c>
      <c r="N858" s="12">
        <v>17499.328000000001</v>
      </c>
      <c r="O858" s="10">
        <v>56</v>
      </c>
      <c r="P858" s="10" t="s">
        <v>26</v>
      </c>
      <c r="Q858" s="10">
        <v>12</v>
      </c>
      <c r="R858" s="10" t="s">
        <v>27</v>
      </c>
      <c r="S858" s="14" t="str">
        <f t="shared" si="13"/>
        <v>Week 4</v>
      </c>
    </row>
    <row r="859" spans="1:19" x14ac:dyDescent="0.3">
      <c r="A859" s="15" t="s">
        <v>1154</v>
      </c>
      <c r="B859" s="16">
        <v>43091</v>
      </c>
      <c r="C859" s="17" t="s">
        <v>380</v>
      </c>
      <c r="D859" s="17" t="s">
        <v>21</v>
      </c>
      <c r="E859" s="17" t="s">
        <v>120</v>
      </c>
      <c r="F859" s="18">
        <v>9</v>
      </c>
      <c r="G859" s="19">
        <v>234.5</v>
      </c>
      <c r="H859" s="19">
        <v>2110.5</v>
      </c>
      <c r="I859" s="20">
        <v>194.63499999999999</v>
      </c>
      <c r="J859" s="17" t="s">
        <v>116</v>
      </c>
      <c r="K859" s="17" t="s">
        <v>117</v>
      </c>
      <c r="L859" s="17" t="s">
        <v>40</v>
      </c>
      <c r="M859" s="19">
        <v>1751.7149999999999</v>
      </c>
      <c r="N859" s="19">
        <v>358.78500000000003</v>
      </c>
      <c r="O859" s="17">
        <v>17</v>
      </c>
      <c r="P859" s="17" t="s">
        <v>26</v>
      </c>
      <c r="Q859" s="17">
        <v>12</v>
      </c>
      <c r="R859" s="17" t="s">
        <v>27</v>
      </c>
      <c r="S859" s="14" t="str">
        <f t="shared" si="13"/>
        <v>Week 4</v>
      </c>
    </row>
    <row r="860" spans="1:19" x14ac:dyDescent="0.3">
      <c r="A860" s="8" t="s">
        <v>934</v>
      </c>
      <c r="B860" s="9">
        <v>43091</v>
      </c>
      <c r="C860" s="10" t="s">
        <v>282</v>
      </c>
      <c r="D860" s="10" t="s">
        <v>43</v>
      </c>
      <c r="E860" s="10" t="s">
        <v>31</v>
      </c>
      <c r="F860" s="11">
        <v>9</v>
      </c>
      <c r="G860" s="12">
        <v>3142.3</v>
      </c>
      <c r="H860" s="12">
        <v>28280.7</v>
      </c>
      <c r="I860" s="13">
        <v>1445.4580000000001</v>
      </c>
      <c r="J860" s="10" t="s">
        <v>411</v>
      </c>
      <c r="K860" s="10" t="s">
        <v>412</v>
      </c>
      <c r="L860" s="10" t="s">
        <v>56</v>
      </c>
      <c r="M860" s="12">
        <v>13009.121999999999</v>
      </c>
      <c r="N860" s="12">
        <v>15271.578</v>
      </c>
      <c r="O860" s="10">
        <v>53.999999999999901</v>
      </c>
      <c r="P860" s="10" t="s">
        <v>26</v>
      </c>
      <c r="Q860" s="10">
        <v>12</v>
      </c>
      <c r="R860" s="10" t="s">
        <v>27</v>
      </c>
      <c r="S860" s="14" t="str">
        <f t="shared" si="13"/>
        <v>Week 4</v>
      </c>
    </row>
    <row r="861" spans="1:19" x14ac:dyDescent="0.3">
      <c r="A861" s="15" t="s">
        <v>1155</v>
      </c>
      <c r="B861" s="16">
        <v>43091</v>
      </c>
      <c r="C861" s="17" t="s">
        <v>369</v>
      </c>
      <c r="D861" s="17" t="s">
        <v>21</v>
      </c>
      <c r="E861" s="17" t="s">
        <v>62</v>
      </c>
      <c r="F861" s="18">
        <v>7</v>
      </c>
      <c r="G861" s="19">
        <v>1051.9000000000001</v>
      </c>
      <c r="H861" s="19">
        <v>7363.3000000000011</v>
      </c>
      <c r="I861" s="20">
        <v>441.798</v>
      </c>
      <c r="J861" s="17" t="s">
        <v>63</v>
      </c>
      <c r="K861" s="17" t="s">
        <v>64</v>
      </c>
      <c r="L861" s="17" t="s">
        <v>34</v>
      </c>
      <c r="M861" s="19">
        <v>3092.5859999999998</v>
      </c>
      <c r="N861" s="19">
        <v>4270.7139999999999</v>
      </c>
      <c r="O861" s="17">
        <v>58</v>
      </c>
      <c r="P861" s="17" t="s">
        <v>26</v>
      </c>
      <c r="Q861" s="17">
        <v>12</v>
      </c>
      <c r="R861" s="17" t="s">
        <v>27</v>
      </c>
      <c r="S861" s="14" t="str">
        <f t="shared" si="13"/>
        <v>Week 4</v>
      </c>
    </row>
    <row r="862" spans="1:19" x14ac:dyDescent="0.3">
      <c r="A862" s="8" t="s">
        <v>1156</v>
      </c>
      <c r="B862" s="9">
        <v>43091</v>
      </c>
      <c r="C862" s="10" t="s">
        <v>349</v>
      </c>
      <c r="D862" s="10" t="s">
        <v>30</v>
      </c>
      <c r="E862" s="10" t="s">
        <v>73</v>
      </c>
      <c r="F862" s="11">
        <v>8</v>
      </c>
      <c r="G862" s="12">
        <v>1118.9000000000001</v>
      </c>
      <c r="H862" s="12">
        <v>8951.2000000000007</v>
      </c>
      <c r="I862" s="13">
        <v>581.82799999999997</v>
      </c>
      <c r="J862" s="10" t="s">
        <v>94</v>
      </c>
      <c r="K862" s="10" t="s">
        <v>95</v>
      </c>
      <c r="L862" s="10" t="s">
        <v>40</v>
      </c>
      <c r="M862" s="12">
        <v>4654.6239999999998</v>
      </c>
      <c r="N862" s="12">
        <v>4296.576</v>
      </c>
      <c r="O862" s="10">
        <v>48</v>
      </c>
      <c r="P862" s="10" t="s">
        <v>26</v>
      </c>
      <c r="Q862" s="10">
        <v>12</v>
      </c>
      <c r="R862" s="10" t="s">
        <v>27</v>
      </c>
      <c r="S862" s="14" t="str">
        <f t="shared" si="13"/>
        <v>Week 4</v>
      </c>
    </row>
    <row r="863" spans="1:19" x14ac:dyDescent="0.3">
      <c r="A863" s="15" t="s">
        <v>1157</v>
      </c>
      <c r="B863" s="16">
        <v>43091</v>
      </c>
      <c r="C863" s="17" t="s">
        <v>374</v>
      </c>
      <c r="D863" s="17" t="s">
        <v>30</v>
      </c>
      <c r="E863" s="17" t="s">
        <v>120</v>
      </c>
      <c r="F863" s="18">
        <v>11</v>
      </c>
      <c r="G863" s="19">
        <v>5279.6</v>
      </c>
      <c r="H863" s="19">
        <v>58075.600000000006</v>
      </c>
      <c r="I863" s="20">
        <v>2375.8200000000002</v>
      </c>
      <c r="J863" s="17" t="s">
        <v>218</v>
      </c>
      <c r="K863" s="17" t="s">
        <v>219</v>
      </c>
      <c r="L863" s="17" t="s">
        <v>34</v>
      </c>
      <c r="M863" s="19">
        <v>26134.02</v>
      </c>
      <c r="N863" s="19">
        <v>31941.58</v>
      </c>
      <c r="O863" s="17">
        <v>55</v>
      </c>
      <c r="P863" s="17" t="s">
        <v>26</v>
      </c>
      <c r="Q863" s="17">
        <v>12</v>
      </c>
      <c r="R863" s="17" t="s">
        <v>27</v>
      </c>
      <c r="S863" s="14" t="str">
        <f t="shared" si="13"/>
        <v>Week 4</v>
      </c>
    </row>
    <row r="864" spans="1:19" x14ac:dyDescent="0.3">
      <c r="A864" s="8" t="s">
        <v>1158</v>
      </c>
      <c r="B864" s="9">
        <v>43091</v>
      </c>
      <c r="C864" s="10" t="s">
        <v>843</v>
      </c>
      <c r="D864" s="10" t="s">
        <v>43</v>
      </c>
      <c r="E864" s="10" t="s">
        <v>127</v>
      </c>
      <c r="F864" s="11">
        <v>9</v>
      </c>
      <c r="G864" s="12">
        <v>1058.5999999999999</v>
      </c>
      <c r="H864" s="12">
        <v>9527.4</v>
      </c>
      <c r="I864" s="13">
        <v>539.88599999999997</v>
      </c>
      <c r="J864" s="10" t="s">
        <v>54</v>
      </c>
      <c r="K864" s="10" t="s">
        <v>55</v>
      </c>
      <c r="L864" s="10" t="s">
        <v>56</v>
      </c>
      <c r="M864" s="12">
        <v>4858.9740000000002</v>
      </c>
      <c r="N864" s="12">
        <v>4668.4260000000004</v>
      </c>
      <c r="O864" s="10">
        <v>49</v>
      </c>
      <c r="P864" s="10" t="s">
        <v>26</v>
      </c>
      <c r="Q864" s="10">
        <v>12</v>
      </c>
      <c r="R864" s="10" t="s">
        <v>27</v>
      </c>
      <c r="S864" s="14" t="str">
        <f t="shared" si="13"/>
        <v>Week 4</v>
      </c>
    </row>
    <row r="865" spans="1:19" x14ac:dyDescent="0.3">
      <c r="A865" s="15" t="s">
        <v>1159</v>
      </c>
      <c r="B865" s="16">
        <v>43091</v>
      </c>
      <c r="C865" s="17" t="s">
        <v>643</v>
      </c>
      <c r="D865" s="17" t="s">
        <v>21</v>
      </c>
      <c r="E865" s="17" t="s">
        <v>31</v>
      </c>
      <c r="F865" s="18">
        <v>11</v>
      </c>
      <c r="G865" s="19">
        <v>261.3</v>
      </c>
      <c r="H865" s="19">
        <v>2874.3</v>
      </c>
      <c r="I865" s="20">
        <v>138.489</v>
      </c>
      <c r="J865" s="17" t="s">
        <v>266</v>
      </c>
      <c r="K865" s="17" t="s">
        <v>267</v>
      </c>
      <c r="L865" s="17" t="s">
        <v>34</v>
      </c>
      <c r="M865" s="19">
        <v>1523.3789999999999</v>
      </c>
      <c r="N865" s="19">
        <v>1350.921</v>
      </c>
      <c r="O865" s="17">
        <v>47</v>
      </c>
      <c r="P865" s="17" t="s">
        <v>26</v>
      </c>
      <c r="Q865" s="17">
        <v>12</v>
      </c>
      <c r="R865" s="17" t="s">
        <v>27</v>
      </c>
      <c r="S865" s="14" t="str">
        <f t="shared" si="13"/>
        <v>Week 4</v>
      </c>
    </row>
    <row r="866" spans="1:19" x14ac:dyDescent="0.3">
      <c r="A866" s="8" t="s">
        <v>1160</v>
      </c>
      <c r="B866" s="9">
        <v>43091</v>
      </c>
      <c r="C866" s="10" t="s">
        <v>384</v>
      </c>
      <c r="D866" s="10" t="s">
        <v>21</v>
      </c>
      <c r="E866" s="10" t="s">
        <v>103</v>
      </c>
      <c r="F866" s="11">
        <v>10</v>
      </c>
      <c r="G866" s="12">
        <v>167.5</v>
      </c>
      <c r="H866" s="12">
        <v>1675</v>
      </c>
      <c r="I866" s="13">
        <v>117.24999999999901</v>
      </c>
      <c r="J866" s="10" t="s">
        <v>54</v>
      </c>
      <c r="K866" s="10" t="s">
        <v>55</v>
      </c>
      <c r="L866" s="10" t="s">
        <v>56</v>
      </c>
      <c r="M866" s="12">
        <v>1172.49999999999</v>
      </c>
      <c r="N866" s="12">
        <v>502.5</v>
      </c>
      <c r="O866" s="10">
        <v>30</v>
      </c>
      <c r="P866" s="10" t="s">
        <v>26</v>
      </c>
      <c r="Q866" s="10">
        <v>12</v>
      </c>
      <c r="R866" s="10" t="s">
        <v>27</v>
      </c>
      <c r="S866" s="14" t="str">
        <f t="shared" si="13"/>
        <v>Week 4</v>
      </c>
    </row>
    <row r="867" spans="1:19" x14ac:dyDescent="0.3">
      <c r="A867" s="15" t="s">
        <v>1161</v>
      </c>
      <c r="B867" s="16">
        <v>43091</v>
      </c>
      <c r="C867" s="17" t="s">
        <v>714</v>
      </c>
      <c r="D867" s="17" t="s">
        <v>21</v>
      </c>
      <c r="E867" s="17" t="s">
        <v>127</v>
      </c>
      <c r="F867" s="18">
        <v>11</v>
      </c>
      <c r="G867" s="19">
        <v>1018.4</v>
      </c>
      <c r="H867" s="19">
        <v>11202.4</v>
      </c>
      <c r="I867" s="20">
        <v>824.904</v>
      </c>
      <c r="J867" s="17" t="s">
        <v>393</v>
      </c>
      <c r="K867" s="17" t="s">
        <v>394</v>
      </c>
      <c r="L867" s="17" t="s">
        <v>56</v>
      </c>
      <c r="M867" s="19">
        <v>9073.9439999999995</v>
      </c>
      <c r="N867" s="19">
        <v>2128.4560000000001</v>
      </c>
      <c r="O867" s="17">
        <v>19</v>
      </c>
      <c r="P867" s="17" t="s">
        <v>26</v>
      </c>
      <c r="Q867" s="17">
        <v>12</v>
      </c>
      <c r="R867" s="17" t="s">
        <v>27</v>
      </c>
      <c r="S867" s="14" t="str">
        <f t="shared" si="13"/>
        <v>Week 4</v>
      </c>
    </row>
    <row r="868" spans="1:19" x14ac:dyDescent="0.3">
      <c r="A868" s="8" t="s">
        <v>1162</v>
      </c>
      <c r="B868" s="9">
        <v>43091</v>
      </c>
      <c r="C868" s="10" t="s">
        <v>718</v>
      </c>
      <c r="D868" s="10" t="s">
        <v>21</v>
      </c>
      <c r="E868" s="10" t="s">
        <v>326</v>
      </c>
      <c r="F868" s="11">
        <v>5</v>
      </c>
      <c r="G868" s="12">
        <v>1232.8</v>
      </c>
      <c r="H868" s="12">
        <v>6164</v>
      </c>
      <c r="I868" s="13">
        <v>875.28799999999899</v>
      </c>
      <c r="J868" s="10" t="s">
        <v>94</v>
      </c>
      <c r="K868" s="10" t="s">
        <v>95</v>
      </c>
      <c r="L868" s="10" t="s">
        <v>40</v>
      </c>
      <c r="M868" s="12">
        <v>4376.4399999999996</v>
      </c>
      <c r="N868" s="12">
        <v>1787.56</v>
      </c>
      <c r="O868" s="10">
        <v>29</v>
      </c>
      <c r="P868" s="10" t="s">
        <v>26</v>
      </c>
      <c r="Q868" s="10">
        <v>12</v>
      </c>
      <c r="R868" s="10" t="s">
        <v>27</v>
      </c>
      <c r="S868" s="14" t="str">
        <f t="shared" si="13"/>
        <v>Week 4</v>
      </c>
    </row>
    <row r="869" spans="1:19" x14ac:dyDescent="0.3">
      <c r="A869" s="15" t="s">
        <v>1163</v>
      </c>
      <c r="B869" s="16">
        <v>43091</v>
      </c>
      <c r="C869" s="17" t="s">
        <v>170</v>
      </c>
      <c r="D869" s="17" t="s">
        <v>21</v>
      </c>
      <c r="E869" s="17" t="s">
        <v>62</v>
      </c>
      <c r="F869" s="18">
        <v>7</v>
      </c>
      <c r="G869" s="19">
        <v>2700.1</v>
      </c>
      <c r="H869" s="19">
        <v>18900.7</v>
      </c>
      <c r="I869" s="20">
        <v>1107.0409999999999</v>
      </c>
      <c r="J869" s="17" t="s">
        <v>45</v>
      </c>
      <c r="K869" s="17" t="s">
        <v>46</v>
      </c>
      <c r="L869" s="17" t="s">
        <v>34</v>
      </c>
      <c r="M869" s="19">
        <v>7749.2869999999903</v>
      </c>
      <c r="N869" s="19">
        <v>11151.413</v>
      </c>
      <c r="O869" s="17">
        <v>59</v>
      </c>
      <c r="P869" s="17" t="s">
        <v>26</v>
      </c>
      <c r="Q869" s="17">
        <v>12</v>
      </c>
      <c r="R869" s="17" t="s">
        <v>27</v>
      </c>
      <c r="S869" s="14" t="str">
        <f t="shared" si="13"/>
        <v>Week 4</v>
      </c>
    </row>
    <row r="870" spans="1:19" x14ac:dyDescent="0.3">
      <c r="A870" s="8" t="s">
        <v>135</v>
      </c>
      <c r="B870" s="9">
        <v>43091</v>
      </c>
      <c r="C870" s="10" t="s">
        <v>136</v>
      </c>
      <c r="D870" s="10" t="s">
        <v>21</v>
      </c>
      <c r="E870" s="10" t="s">
        <v>115</v>
      </c>
      <c r="F870" s="11">
        <v>5</v>
      </c>
      <c r="G870" s="12">
        <v>1882.7</v>
      </c>
      <c r="H870" s="12">
        <v>9413.5</v>
      </c>
      <c r="I870" s="13">
        <v>903.69600000000003</v>
      </c>
      <c r="J870" s="10" t="s">
        <v>54</v>
      </c>
      <c r="K870" s="10" t="s">
        <v>55</v>
      </c>
      <c r="L870" s="10" t="s">
        <v>56</v>
      </c>
      <c r="M870" s="12">
        <v>4518.4799999999996</v>
      </c>
      <c r="N870" s="12">
        <v>4895.0199999999904</v>
      </c>
      <c r="O870" s="10">
        <v>51.999999999999901</v>
      </c>
      <c r="P870" s="10" t="s">
        <v>26</v>
      </c>
      <c r="Q870" s="10">
        <v>12</v>
      </c>
      <c r="R870" s="10" t="s">
        <v>27</v>
      </c>
      <c r="S870" s="14" t="str">
        <f t="shared" si="13"/>
        <v>Week 4</v>
      </c>
    </row>
    <row r="871" spans="1:19" x14ac:dyDescent="0.3">
      <c r="A871" s="15" t="s">
        <v>1164</v>
      </c>
      <c r="B871" s="16">
        <v>43091</v>
      </c>
      <c r="C871" s="17" t="s">
        <v>53</v>
      </c>
      <c r="D871" s="17" t="s">
        <v>21</v>
      </c>
      <c r="E871" s="17" t="s">
        <v>62</v>
      </c>
      <c r="F871" s="18">
        <v>7</v>
      </c>
      <c r="G871" s="19">
        <v>810.7</v>
      </c>
      <c r="H871" s="19">
        <v>5674.9000000000005</v>
      </c>
      <c r="I871" s="20">
        <v>567.49</v>
      </c>
      <c r="J871" s="17" t="s">
        <v>257</v>
      </c>
      <c r="K871" s="17" t="s">
        <v>258</v>
      </c>
      <c r="L871" s="17" t="s">
        <v>25</v>
      </c>
      <c r="M871" s="19">
        <v>3972.43</v>
      </c>
      <c r="N871" s="19">
        <v>1702.47</v>
      </c>
      <c r="O871" s="17">
        <v>30</v>
      </c>
      <c r="P871" s="17" t="s">
        <v>26</v>
      </c>
      <c r="Q871" s="17">
        <v>12</v>
      </c>
      <c r="R871" s="17" t="s">
        <v>27</v>
      </c>
      <c r="S871" s="14" t="str">
        <f t="shared" si="13"/>
        <v>Week 4</v>
      </c>
    </row>
    <row r="872" spans="1:19" x14ac:dyDescent="0.3">
      <c r="A872" s="8" t="s">
        <v>1165</v>
      </c>
      <c r="B872" s="9">
        <v>43091</v>
      </c>
      <c r="C872" s="10" t="s">
        <v>100</v>
      </c>
      <c r="D872" s="10" t="s">
        <v>30</v>
      </c>
      <c r="E872" s="10" t="s">
        <v>115</v>
      </c>
      <c r="F872" s="11">
        <v>6</v>
      </c>
      <c r="G872" s="12">
        <v>3705.1</v>
      </c>
      <c r="H872" s="12">
        <v>22230.6</v>
      </c>
      <c r="I872" s="13">
        <v>2482.4169999999999</v>
      </c>
      <c r="J872" s="10" t="s">
        <v>225</v>
      </c>
      <c r="K872" s="10" t="s">
        <v>226</v>
      </c>
      <c r="L872" s="10" t="s">
        <v>25</v>
      </c>
      <c r="M872" s="12">
        <v>14894.502</v>
      </c>
      <c r="N872" s="12">
        <v>7336.09799999999</v>
      </c>
      <c r="O872" s="10">
        <v>32.999999999999901</v>
      </c>
      <c r="P872" s="10" t="s">
        <v>26</v>
      </c>
      <c r="Q872" s="10">
        <v>12</v>
      </c>
      <c r="R872" s="10" t="s">
        <v>27</v>
      </c>
      <c r="S872" s="14" t="str">
        <f t="shared" si="13"/>
        <v>Week 4</v>
      </c>
    </row>
    <row r="873" spans="1:19" x14ac:dyDescent="0.3">
      <c r="A873" s="15" t="s">
        <v>1166</v>
      </c>
      <c r="B873" s="16">
        <v>43091</v>
      </c>
      <c r="C873" s="17" t="s">
        <v>594</v>
      </c>
      <c r="D873" s="17" t="s">
        <v>21</v>
      </c>
      <c r="E873" s="17" t="s">
        <v>191</v>
      </c>
      <c r="F873" s="18">
        <v>7</v>
      </c>
      <c r="G873" s="19">
        <v>1815.7</v>
      </c>
      <c r="H873" s="19">
        <v>12709.9</v>
      </c>
      <c r="I873" s="20">
        <v>1325.461</v>
      </c>
      <c r="J873" s="17" t="s">
        <v>45</v>
      </c>
      <c r="K873" s="17" t="s">
        <v>46</v>
      </c>
      <c r="L873" s="17" t="s">
        <v>34</v>
      </c>
      <c r="M873" s="19">
        <v>9278.2270000000008</v>
      </c>
      <c r="N873" s="19">
        <v>3431.6729999999902</v>
      </c>
      <c r="O873" s="17">
        <v>26.999999999999901</v>
      </c>
      <c r="P873" s="17" t="s">
        <v>26</v>
      </c>
      <c r="Q873" s="17">
        <v>12</v>
      </c>
      <c r="R873" s="17" t="s">
        <v>27</v>
      </c>
      <c r="S873" s="14" t="str">
        <f t="shared" si="13"/>
        <v>Week 4</v>
      </c>
    </row>
    <row r="874" spans="1:19" x14ac:dyDescent="0.3">
      <c r="A874" s="8" t="s">
        <v>733</v>
      </c>
      <c r="B874" s="9">
        <v>43091</v>
      </c>
      <c r="C874" s="10" t="s">
        <v>521</v>
      </c>
      <c r="D874" s="10" t="s">
        <v>43</v>
      </c>
      <c r="E874" s="10" t="s">
        <v>115</v>
      </c>
      <c r="F874" s="11">
        <v>5</v>
      </c>
      <c r="G874" s="12">
        <v>3993.2</v>
      </c>
      <c r="H874" s="12">
        <v>19966</v>
      </c>
      <c r="I874" s="13">
        <v>3234.4920000000002</v>
      </c>
      <c r="J874" s="10" t="s">
        <v>23</v>
      </c>
      <c r="K874" s="10" t="s">
        <v>24</v>
      </c>
      <c r="L874" s="10" t="s">
        <v>25</v>
      </c>
      <c r="M874" s="12">
        <v>16172.46</v>
      </c>
      <c r="N874" s="12">
        <v>3793.53999999999</v>
      </c>
      <c r="O874" s="10">
        <v>18.999999999999901</v>
      </c>
      <c r="P874" s="10" t="s">
        <v>26</v>
      </c>
      <c r="Q874" s="10">
        <v>12</v>
      </c>
      <c r="R874" s="10" t="s">
        <v>27</v>
      </c>
      <c r="S874" s="14" t="str">
        <f t="shared" si="13"/>
        <v>Week 4</v>
      </c>
    </row>
    <row r="875" spans="1:19" x14ac:dyDescent="0.3">
      <c r="A875" s="15" t="s">
        <v>1167</v>
      </c>
      <c r="B875" s="16">
        <v>43091</v>
      </c>
      <c r="C875" s="17" t="s">
        <v>549</v>
      </c>
      <c r="D875" s="17" t="s">
        <v>43</v>
      </c>
      <c r="E875" s="17" t="s">
        <v>110</v>
      </c>
      <c r="F875" s="18">
        <v>8</v>
      </c>
      <c r="G875" s="19">
        <v>897.8</v>
      </c>
      <c r="H875" s="19">
        <v>7182.4</v>
      </c>
      <c r="I875" s="20">
        <v>664.37199999999996</v>
      </c>
      <c r="J875" s="17" t="s">
        <v>50</v>
      </c>
      <c r="K875" s="17" t="s">
        <v>51</v>
      </c>
      <c r="L875" s="17" t="s">
        <v>40</v>
      </c>
      <c r="M875" s="19">
        <v>5314.9759999999997</v>
      </c>
      <c r="N875" s="19">
        <v>1867.424</v>
      </c>
      <c r="O875" s="17">
        <v>25.999999999999901</v>
      </c>
      <c r="P875" s="17" t="s">
        <v>26</v>
      </c>
      <c r="Q875" s="17">
        <v>12</v>
      </c>
      <c r="R875" s="17" t="s">
        <v>27</v>
      </c>
      <c r="S875" s="14" t="str">
        <f t="shared" si="13"/>
        <v>Week 4</v>
      </c>
    </row>
    <row r="876" spans="1:19" x14ac:dyDescent="0.3">
      <c r="A876" s="8" t="s">
        <v>1168</v>
      </c>
      <c r="B876" s="9">
        <v>43091</v>
      </c>
      <c r="C876" s="10" t="s">
        <v>100</v>
      </c>
      <c r="D876" s="10" t="s">
        <v>21</v>
      </c>
      <c r="E876" s="10" t="s">
        <v>284</v>
      </c>
      <c r="F876" s="11">
        <v>7</v>
      </c>
      <c r="G876" s="12">
        <v>2405.3000000000002</v>
      </c>
      <c r="H876" s="12">
        <v>16837.100000000002</v>
      </c>
      <c r="I876" s="13">
        <v>1154.5440000000001</v>
      </c>
      <c r="J876" s="10" t="s">
        <v>50</v>
      </c>
      <c r="K876" s="10" t="s">
        <v>51</v>
      </c>
      <c r="L876" s="10" t="s">
        <v>40</v>
      </c>
      <c r="M876" s="12">
        <v>8081.808</v>
      </c>
      <c r="N876" s="12">
        <v>8755.2919999999995</v>
      </c>
      <c r="O876" s="10">
        <v>52</v>
      </c>
      <c r="P876" s="10" t="s">
        <v>26</v>
      </c>
      <c r="Q876" s="10">
        <v>12</v>
      </c>
      <c r="R876" s="10" t="s">
        <v>27</v>
      </c>
      <c r="S876" s="14" t="str">
        <f t="shared" si="13"/>
        <v>Week 4</v>
      </c>
    </row>
    <row r="877" spans="1:19" x14ac:dyDescent="0.3">
      <c r="A877" s="15" t="s">
        <v>1169</v>
      </c>
      <c r="B877" s="16">
        <v>43091</v>
      </c>
      <c r="C877" s="17" t="s">
        <v>72</v>
      </c>
      <c r="D877" s="17" t="s">
        <v>30</v>
      </c>
      <c r="E877" s="17" t="s">
        <v>31</v>
      </c>
      <c r="F877" s="18">
        <v>6</v>
      </c>
      <c r="G877" s="19">
        <v>944.7</v>
      </c>
      <c r="H877" s="19">
        <v>5668.2000000000007</v>
      </c>
      <c r="I877" s="20">
        <v>699.07799999999997</v>
      </c>
      <c r="J877" s="17" t="s">
        <v>54</v>
      </c>
      <c r="K877" s="17" t="s">
        <v>55</v>
      </c>
      <c r="L877" s="17" t="s">
        <v>56</v>
      </c>
      <c r="M877" s="19">
        <v>4194.4679999999998</v>
      </c>
      <c r="N877" s="19">
        <v>1473.732</v>
      </c>
      <c r="O877" s="17">
        <v>26</v>
      </c>
      <c r="P877" s="17" t="s">
        <v>26</v>
      </c>
      <c r="Q877" s="17">
        <v>12</v>
      </c>
      <c r="R877" s="17" t="s">
        <v>27</v>
      </c>
      <c r="S877" s="14" t="str">
        <f t="shared" si="13"/>
        <v>Week 4</v>
      </c>
    </row>
    <row r="878" spans="1:19" x14ac:dyDescent="0.3">
      <c r="A878" s="8" t="s">
        <v>1170</v>
      </c>
      <c r="B878" s="9">
        <v>43091</v>
      </c>
      <c r="C878" s="10" t="s">
        <v>345</v>
      </c>
      <c r="D878" s="10" t="s">
        <v>30</v>
      </c>
      <c r="E878" s="10" t="s">
        <v>115</v>
      </c>
      <c r="F878" s="11">
        <v>11</v>
      </c>
      <c r="G878" s="12">
        <v>2318.1999999999998</v>
      </c>
      <c r="H878" s="12">
        <v>25500.199999999997</v>
      </c>
      <c r="I878" s="13">
        <v>1483.6479999999999</v>
      </c>
      <c r="J878" s="10" t="s">
        <v>83</v>
      </c>
      <c r="K878" s="10" t="s">
        <v>84</v>
      </c>
      <c r="L878" s="10" t="s">
        <v>34</v>
      </c>
      <c r="M878" s="12">
        <v>16320.128000000001</v>
      </c>
      <c r="N878" s="12">
        <v>9180.0720000000001</v>
      </c>
      <c r="O878" s="10">
        <v>36</v>
      </c>
      <c r="P878" s="10" t="s">
        <v>26</v>
      </c>
      <c r="Q878" s="10">
        <v>12</v>
      </c>
      <c r="R878" s="10" t="s">
        <v>27</v>
      </c>
      <c r="S878" s="14" t="str">
        <f t="shared" si="13"/>
        <v>Week 4</v>
      </c>
    </row>
    <row r="879" spans="1:19" x14ac:dyDescent="0.3">
      <c r="A879" s="15" t="s">
        <v>1171</v>
      </c>
      <c r="B879" s="16">
        <v>43091</v>
      </c>
      <c r="C879" s="17" t="s">
        <v>297</v>
      </c>
      <c r="D879" s="17" t="s">
        <v>21</v>
      </c>
      <c r="E879" s="17" t="s">
        <v>191</v>
      </c>
      <c r="F879" s="18">
        <v>11</v>
      </c>
      <c r="G879" s="19">
        <v>1132.3</v>
      </c>
      <c r="H879" s="19">
        <v>12455.3</v>
      </c>
      <c r="I879" s="20">
        <v>713.34899999999902</v>
      </c>
      <c r="J879" s="17" t="s">
        <v>225</v>
      </c>
      <c r="K879" s="17" t="s">
        <v>226</v>
      </c>
      <c r="L879" s="17" t="s">
        <v>25</v>
      </c>
      <c r="M879" s="19">
        <v>7846.8389999999899</v>
      </c>
      <c r="N879" s="19">
        <v>4608.4610000000002</v>
      </c>
      <c r="O879" s="17">
        <v>37</v>
      </c>
      <c r="P879" s="17" t="s">
        <v>26</v>
      </c>
      <c r="Q879" s="17">
        <v>12</v>
      </c>
      <c r="R879" s="17" t="s">
        <v>27</v>
      </c>
      <c r="S879" s="14" t="str">
        <f t="shared" si="13"/>
        <v>Week 4</v>
      </c>
    </row>
    <row r="880" spans="1:19" x14ac:dyDescent="0.3">
      <c r="A880" s="8" t="s">
        <v>1172</v>
      </c>
      <c r="B880" s="9">
        <v>43091</v>
      </c>
      <c r="C880" s="10" t="s">
        <v>480</v>
      </c>
      <c r="D880" s="10" t="s">
        <v>43</v>
      </c>
      <c r="E880" s="10" t="s">
        <v>115</v>
      </c>
      <c r="F880" s="11">
        <v>12</v>
      </c>
      <c r="G880" s="12">
        <v>3912.8</v>
      </c>
      <c r="H880" s="12">
        <v>46953.600000000006</v>
      </c>
      <c r="I880" s="13">
        <v>1995.528</v>
      </c>
      <c r="J880" s="10" t="s">
        <v>104</v>
      </c>
      <c r="K880" s="10" t="s">
        <v>105</v>
      </c>
      <c r="L880" s="10" t="s">
        <v>25</v>
      </c>
      <c r="M880" s="12">
        <v>23946.335999999999</v>
      </c>
      <c r="N880" s="12">
        <v>23007.263999999999</v>
      </c>
      <c r="O880" s="10">
        <v>49</v>
      </c>
      <c r="P880" s="10" t="s">
        <v>26</v>
      </c>
      <c r="Q880" s="10">
        <v>12</v>
      </c>
      <c r="R880" s="10" t="s">
        <v>27</v>
      </c>
      <c r="S880" s="14" t="str">
        <f t="shared" si="13"/>
        <v>Week 4</v>
      </c>
    </row>
    <row r="881" spans="1:19" x14ac:dyDescent="0.3">
      <c r="A881" s="15" t="s">
        <v>1173</v>
      </c>
      <c r="B881" s="16">
        <v>43091</v>
      </c>
      <c r="C881" s="17" t="s">
        <v>311</v>
      </c>
      <c r="D881" s="17" t="s">
        <v>30</v>
      </c>
      <c r="E881" s="17" t="s">
        <v>80</v>
      </c>
      <c r="F881" s="18">
        <v>11</v>
      </c>
      <c r="G881" s="19">
        <v>3892.7</v>
      </c>
      <c r="H881" s="19">
        <v>42819.7</v>
      </c>
      <c r="I881" s="20">
        <v>2296.6930000000002</v>
      </c>
      <c r="J881" s="17" t="s">
        <v>23</v>
      </c>
      <c r="K881" s="17" t="s">
        <v>24</v>
      </c>
      <c r="L881" s="17" t="s">
        <v>25</v>
      </c>
      <c r="M881" s="19">
        <v>25263.623</v>
      </c>
      <c r="N881" s="19">
        <v>17556.077000000001</v>
      </c>
      <c r="O881" s="17">
        <v>41</v>
      </c>
      <c r="P881" s="17" t="s">
        <v>26</v>
      </c>
      <c r="Q881" s="17">
        <v>12</v>
      </c>
      <c r="R881" s="17" t="s">
        <v>27</v>
      </c>
      <c r="S881" s="14" t="str">
        <f t="shared" si="13"/>
        <v>Week 4</v>
      </c>
    </row>
    <row r="882" spans="1:19" x14ac:dyDescent="0.3">
      <c r="A882" s="8" t="s">
        <v>1174</v>
      </c>
      <c r="B882" s="9">
        <v>43091</v>
      </c>
      <c r="C882" s="10" t="s">
        <v>568</v>
      </c>
      <c r="D882" s="10" t="s">
        <v>21</v>
      </c>
      <c r="E882" s="10" t="s">
        <v>91</v>
      </c>
      <c r="F882" s="11">
        <v>12</v>
      </c>
      <c r="G882" s="12">
        <v>884.4</v>
      </c>
      <c r="H882" s="12">
        <v>10612.8</v>
      </c>
      <c r="I882" s="13">
        <v>636.76799999999901</v>
      </c>
      <c r="J882" s="10" t="s">
        <v>76</v>
      </c>
      <c r="K882" s="10" t="s">
        <v>77</v>
      </c>
      <c r="L882" s="10" t="s">
        <v>56</v>
      </c>
      <c r="M882" s="12">
        <v>7641.2159999999903</v>
      </c>
      <c r="N882" s="12">
        <v>2971.5839999999998</v>
      </c>
      <c r="O882" s="10">
        <v>28</v>
      </c>
      <c r="P882" s="10" t="s">
        <v>26</v>
      </c>
      <c r="Q882" s="10">
        <v>12</v>
      </c>
      <c r="R882" s="10" t="s">
        <v>27</v>
      </c>
      <c r="S882" s="14" t="str">
        <f t="shared" si="13"/>
        <v>Week 4</v>
      </c>
    </row>
    <row r="883" spans="1:19" x14ac:dyDescent="0.3">
      <c r="A883" s="15" t="s">
        <v>686</v>
      </c>
      <c r="B883" s="16">
        <v>43091</v>
      </c>
      <c r="C883" s="17" t="s">
        <v>618</v>
      </c>
      <c r="D883" s="17" t="s">
        <v>30</v>
      </c>
      <c r="E883" s="17" t="s">
        <v>31</v>
      </c>
      <c r="F883" s="18">
        <v>12</v>
      </c>
      <c r="G883" s="19">
        <v>3604.6</v>
      </c>
      <c r="H883" s="19">
        <v>43255.199999999997</v>
      </c>
      <c r="I883" s="20">
        <v>2270.8980000000001</v>
      </c>
      <c r="J883" s="17" t="s">
        <v>54</v>
      </c>
      <c r="K883" s="17" t="s">
        <v>55</v>
      </c>
      <c r="L883" s="17" t="s">
        <v>56</v>
      </c>
      <c r="M883" s="19">
        <v>27250.776000000002</v>
      </c>
      <c r="N883" s="19">
        <v>16004.423999999901</v>
      </c>
      <c r="O883" s="17">
        <v>36.999999999999901</v>
      </c>
      <c r="P883" s="17" t="s">
        <v>26</v>
      </c>
      <c r="Q883" s="17">
        <v>12</v>
      </c>
      <c r="R883" s="17" t="s">
        <v>27</v>
      </c>
      <c r="S883" s="14" t="str">
        <f t="shared" si="13"/>
        <v>Week 4</v>
      </c>
    </row>
    <row r="884" spans="1:19" x14ac:dyDescent="0.3">
      <c r="A884" s="8" t="s">
        <v>1175</v>
      </c>
      <c r="B884" s="9">
        <v>43091</v>
      </c>
      <c r="C884" s="10" t="s">
        <v>754</v>
      </c>
      <c r="D884" s="10" t="s">
        <v>21</v>
      </c>
      <c r="E884" s="10" t="s">
        <v>91</v>
      </c>
      <c r="F884" s="11">
        <v>10</v>
      </c>
      <c r="G884" s="12">
        <v>3510.8</v>
      </c>
      <c r="H884" s="12">
        <v>35108</v>
      </c>
      <c r="I884" s="13">
        <v>1966.048</v>
      </c>
      <c r="J884" s="10" t="s">
        <v>454</v>
      </c>
      <c r="K884" s="10" t="s">
        <v>455</v>
      </c>
      <c r="L884" s="10" t="s">
        <v>25</v>
      </c>
      <c r="M884" s="12">
        <v>19660.48</v>
      </c>
      <c r="N884" s="12">
        <v>15447.5199999999</v>
      </c>
      <c r="O884" s="10">
        <v>43.999999999999901</v>
      </c>
      <c r="P884" s="10" t="s">
        <v>26</v>
      </c>
      <c r="Q884" s="10">
        <v>12</v>
      </c>
      <c r="R884" s="10" t="s">
        <v>27</v>
      </c>
      <c r="S884" s="14" t="str">
        <f t="shared" si="13"/>
        <v>Week 4</v>
      </c>
    </row>
    <row r="885" spans="1:19" x14ac:dyDescent="0.3">
      <c r="A885" s="15" t="s">
        <v>1176</v>
      </c>
      <c r="B885" s="16">
        <v>43091</v>
      </c>
      <c r="C885" s="17" t="s">
        <v>591</v>
      </c>
      <c r="D885" s="17" t="s">
        <v>21</v>
      </c>
      <c r="E885" s="17" t="s">
        <v>120</v>
      </c>
      <c r="F885" s="18">
        <v>7</v>
      </c>
      <c r="G885" s="19">
        <v>2398.6</v>
      </c>
      <c r="H885" s="19">
        <v>16790.2</v>
      </c>
      <c r="I885" s="20">
        <v>1439.1599999999901</v>
      </c>
      <c r="J885" s="17" t="s">
        <v>177</v>
      </c>
      <c r="K885" s="17" t="s">
        <v>178</v>
      </c>
      <c r="L885" s="17" t="s">
        <v>40</v>
      </c>
      <c r="M885" s="19">
        <v>10074.119999999901</v>
      </c>
      <c r="N885" s="19">
        <v>6716.08</v>
      </c>
      <c r="O885" s="17">
        <v>40</v>
      </c>
      <c r="P885" s="17" t="s">
        <v>26</v>
      </c>
      <c r="Q885" s="17">
        <v>12</v>
      </c>
      <c r="R885" s="17" t="s">
        <v>27</v>
      </c>
      <c r="S885" s="14" t="str">
        <f t="shared" si="13"/>
        <v>Week 4</v>
      </c>
    </row>
    <row r="886" spans="1:19" x14ac:dyDescent="0.3">
      <c r="A886" s="8" t="s">
        <v>1177</v>
      </c>
      <c r="B886" s="9">
        <v>43091</v>
      </c>
      <c r="C886" s="10" t="s">
        <v>180</v>
      </c>
      <c r="D886" s="10" t="s">
        <v>21</v>
      </c>
      <c r="E886" s="10" t="s">
        <v>191</v>
      </c>
      <c r="F886" s="11">
        <v>12</v>
      </c>
      <c r="G886" s="12">
        <v>3959.7</v>
      </c>
      <c r="H886" s="12">
        <v>47516.399999999994</v>
      </c>
      <c r="I886" s="13">
        <v>3167.76</v>
      </c>
      <c r="J886" s="10" t="s">
        <v>38</v>
      </c>
      <c r="K886" s="10" t="s">
        <v>39</v>
      </c>
      <c r="L886" s="10" t="s">
        <v>40</v>
      </c>
      <c r="M886" s="12">
        <v>38013.120000000003</v>
      </c>
      <c r="N886" s="12">
        <v>9503.2799999999897</v>
      </c>
      <c r="O886" s="10">
        <v>19.999999999999901</v>
      </c>
      <c r="P886" s="10" t="s">
        <v>26</v>
      </c>
      <c r="Q886" s="10">
        <v>12</v>
      </c>
      <c r="R886" s="10" t="s">
        <v>27</v>
      </c>
      <c r="S886" s="14" t="str">
        <f t="shared" si="13"/>
        <v>Week 4</v>
      </c>
    </row>
    <row r="887" spans="1:19" x14ac:dyDescent="0.3">
      <c r="A887" s="15" t="s">
        <v>1178</v>
      </c>
      <c r="B887" s="16">
        <v>43091</v>
      </c>
      <c r="C887" s="17" t="s">
        <v>367</v>
      </c>
      <c r="D887" s="17" t="s">
        <v>21</v>
      </c>
      <c r="E887" s="17" t="s">
        <v>103</v>
      </c>
      <c r="F887" s="18">
        <v>9</v>
      </c>
      <c r="G887" s="19">
        <v>234.5</v>
      </c>
      <c r="H887" s="19">
        <v>2110.5</v>
      </c>
      <c r="I887" s="20">
        <v>194.63499999999999</v>
      </c>
      <c r="J887" s="17" t="s">
        <v>225</v>
      </c>
      <c r="K887" s="17" t="s">
        <v>226</v>
      </c>
      <c r="L887" s="17" t="s">
        <v>25</v>
      </c>
      <c r="M887" s="19">
        <v>1751.7149999999999</v>
      </c>
      <c r="N887" s="19">
        <v>358.78500000000003</v>
      </c>
      <c r="O887" s="17">
        <v>17</v>
      </c>
      <c r="P887" s="17" t="s">
        <v>26</v>
      </c>
      <c r="Q887" s="17">
        <v>12</v>
      </c>
      <c r="R887" s="17" t="s">
        <v>27</v>
      </c>
      <c r="S887" s="14" t="str">
        <f t="shared" si="13"/>
        <v>Week 4</v>
      </c>
    </row>
    <row r="888" spans="1:19" x14ac:dyDescent="0.3">
      <c r="A888" s="8" t="s">
        <v>1179</v>
      </c>
      <c r="B888" s="9">
        <v>43091</v>
      </c>
      <c r="C888" s="10" t="s">
        <v>48</v>
      </c>
      <c r="D888" s="10" t="s">
        <v>30</v>
      </c>
      <c r="E888" s="10" t="s">
        <v>59</v>
      </c>
      <c r="F888" s="11">
        <v>11</v>
      </c>
      <c r="G888" s="12">
        <v>2398.6</v>
      </c>
      <c r="H888" s="12">
        <v>26384.6</v>
      </c>
      <c r="I888" s="13">
        <v>1199.3</v>
      </c>
      <c r="J888" s="10" t="s">
        <v>159</v>
      </c>
      <c r="K888" s="10" t="s">
        <v>160</v>
      </c>
      <c r="L888" s="10" t="s">
        <v>25</v>
      </c>
      <c r="M888" s="12">
        <v>13192.3</v>
      </c>
      <c r="N888" s="12">
        <v>13192.3</v>
      </c>
      <c r="O888" s="10">
        <v>50</v>
      </c>
      <c r="P888" s="10" t="s">
        <v>26</v>
      </c>
      <c r="Q888" s="10">
        <v>12</v>
      </c>
      <c r="R888" s="10" t="s">
        <v>27</v>
      </c>
      <c r="S888" s="14" t="str">
        <f t="shared" si="13"/>
        <v>Week 4</v>
      </c>
    </row>
    <row r="889" spans="1:19" x14ac:dyDescent="0.3">
      <c r="A889" s="15" t="s">
        <v>1180</v>
      </c>
      <c r="B889" s="16">
        <v>43091</v>
      </c>
      <c r="C889" s="17" t="s">
        <v>180</v>
      </c>
      <c r="D889" s="17" t="s">
        <v>30</v>
      </c>
      <c r="E889" s="17" t="s">
        <v>115</v>
      </c>
      <c r="F889" s="18">
        <v>11</v>
      </c>
      <c r="G889" s="19">
        <v>1125.5999999999999</v>
      </c>
      <c r="H889" s="19">
        <v>12381.599999999999</v>
      </c>
      <c r="I889" s="20">
        <v>506.52</v>
      </c>
      <c r="J889" s="17" t="s">
        <v>266</v>
      </c>
      <c r="K889" s="17" t="s">
        <v>267</v>
      </c>
      <c r="L889" s="17" t="s">
        <v>34</v>
      </c>
      <c r="M889" s="19">
        <v>5571.72</v>
      </c>
      <c r="N889" s="19">
        <v>6809.88</v>
      </c>
      <c r="O889" s="17">
        <v>54.999999999999901</v>
      </c>
      <c r="P889" s="17" t="s">
        <v>26</v>
      </c>
      <c r="Q889" s="17">
        <v>12</v>
      </c>
      <c r="R889" s="17" t="s">
        <v>27</v>
      </c>
      <c r="S889" s="14" t="str">
        <f t="shared" si="13"/>
        <v>Week 4</v>
      </c>
    </row>
    <row r="890" spans="1:19" x14ac:dyDescent="0.3">
      <c r="A890" s="8" t="s">
        <v>1181</v>
      </c>
      <c r="B890" s="9">
        <v>43091</v>
      </c>
      <c r="C890" s="10" t="s">
        <v>145</v>
      </c>
      <c r="D890" s="10" t="s">
        <v>43</v>
      </c>
      <c r="E890" s="10" t="s">
        <v>62</v>
      </c>
      <c r="F890" s="11">
        <v>6</v>
      </c>
      <c r="G890" s="12">
        <v>3229.4</v>
      </c>
      <c r="H890" s="12">
        <v>19376.400000000001</v>
      </c>
      <c r="I890" s="13">
        <v>2389.7559999999999</v>
      </c>
      <c r="J890" s="10" t="s">
        <v>54</v>
      </c>
      <c r="K890" s="10" t="s">
        <v>55</v>
      </c>
      <c r="L890" s="10" t="s">
        <v>56</v>
      </c>
      <c r="M890" s="12">
        <v>14338.536</v>
      </c>
      <c r="N890" s="12">
        <v>5037.8639999999996</v>
      </c>
      <c r="O890" s="10">
        <v>26</v>
      </c>
      <c r="P890" s="10" t="s">
        <v>26</v>
      </c>
      <c r="Q890" s="10">
        <v>12</v>
      </c>
      <c r="R890" s="10" t="s">
        <v>27</v>
      </c>
      <c r="S890" s="14" t="str">
        <f t="shared" si="13"/>
        <v>Week 4</v>
      </c>
    </row>
    <row r="891" spans="1:19" x14ac:dyDescent="0.3">
      <c r="A891" s="15" t="s">
        <v>1182</v>
      </c>
      <c r="B891" s="16">
        <v>43091</v>
      </c>
      <c r="C891" s="17" t="s">
        <v>618</v>
      </c>
      <c r="D891" s="17" t="s">
        <v>30</v>
      </c>
      <c r="E891" s="17" t="s">
        <v>73</v>
      </c>
      <c r="F891" s="18">
        <v>6</v>
      </c>
      <c r="G891" s="19">
        <v>1675</v>
      </c>
      <c r="H891" s="19">
        <v>10050</v>
      </c>
      <c r="I891" s="20">
        <v>954.74999999999898</v>
      </c>
      <c r="J891" s="17" t="s">
        <v>212</v>
      </c>
      <c r="K891" s="17" t="s">
        <v>213</v>
      </c>
      <c r="L891" s="17" t="s">
        <v>34</v>
      </c>
      <c r="M891" s="19">
        <v>5728.49999999999</v>
      </c>
      <c r="N891" s="19">
        <v>4321.5</v>
      </c>
      <c r="O891" s="17">
        <v>43</v>
      </c>
      <c r="P891" s="17" t="s">
        <v>26</v>
      </c>
      <c r="Q891" s="17">
        <v>12</v>
      </c>
      <c r="R891" s="17" t="s">
        <v>27</v>
      </c>
      <c r="S891" s="14" t="str">
        <f t="shared" si="13"/>
        <v>Week 4</v>
      </c>
    </row>
    <row r="892" spans="1:19" x14ac:dyDescent="0.3">
      <c r="A892" s="8" t="s">
        <v>1183</v>
      </c>
      <c r="B892" s="9">
        <v>43091</v>
      </c>
      <c r="C892" s="10" t="s">
        <v>154</v>
      </c>
      <c r="D892" s="10" t="s">
        <v>21</v>
      </c>
      <c r="E892" s="10" t="s">
        <v>326</v>
      </c>
      <c r="F892" s="11">
        <v>11</v>
      </c>
      <c r="G892" s="12">
        <v>3912.8</v>
      </c>
      <c r="H892" s="12">
        <v>43040.800000000003</v>
      </c>
      <c r="I892" s="13">
        <v>3286.752</v>
      </c>
      <c r="J892" s="10" t="s">
        <v>94</v>
      </c>
      <c r="K892" s="10" t="s">
        <v>95</v>
      </c>
      <c r="L892" s="10" t="s">
        <v>40</v>
      </c>
      <c r="M892" s="12">
        <v>36154.271999999997</v>
      </c>
      <c r="N892" s="12">
        <v>6886.5280000000002</v>
      </c>
      <c r="O892" s="10">
        <v>16</v>
      </c>
      <c r="P892" s="10" t="s">
        <v>26</v>
      </c>
      <c r="Q892" s="10">
        <v>12</v>
      </c>
      <c r="R892" s="10" t="s">
        <v>27</v>
      </c>
      <c r="S892" s="14" t="str">
        <f t="shared" si="13"/>
        <v>Week 4</v>
      </c>
    </row>
    <row r="893" spans="1:19" x14ac:dyDescent="0.3">
      <c r="A893" s="15" t="s">
        <v>1184</v>
      </c>
      <c r="B893" s="16">
        <v>43091</v>
      </c>
      <c r="C893" s="17" t="s">
        <v>952</v>
      </c>
      <c r="D893" s="17" t="s">
        <v>30</v>
      </c>
      <c r="E893" s="17" t="s">
        <v>306</v>
      </c>
      <c r="F893" s="18">
        <v>10</v>
      </c>
      <c r="G893" s="19">
        <v>254.6</v>
      </c>
      <c r="H893" s="19">
        <v>2546</v>
      </c>
      <c r="I893" s="20">
        <v>124.753999999999</v>
      </c>
      <c r="J893" s="17" t="s">
        <v>45</v>
      </c>
      <c r="K893" s="17" t="s">
        <v>46</v>
      </c>
      <c r="L893" s="17" t="s">
        <v>34</v>
      </c>
      <c r="M893" s="19">
        <v>1247.54</v>
      </c>
      <c r="N893" s="19">
        <v>1298.46</v>
      </c>
      <c r="O893" s="17">
        <v>51</v>
      </c>
      <c r="P893" s="17" t="s">
        <v>26</v>
      </c>
      <c r="Q893" s="17">
        <v>12</v>
      </c>
      <c r="R893" s="17" t="s">
        <v>27</v>
      </c>
      <c r="S893" s="14" t="str">
        <f t="shared" si="13"/>
        <v>Week 4</v>
      </c>
    </row>
    <row r="894" spans="1:19" x14ac:dyDescent="0.3">
      <c r="A894" s="8" t="s">
        <v>1185</v>
      </c>
      <c r="B894" s="9">
        <v>43091</v>
      </c>
      <c r="C894" s="10" t="s">
        <v>182</v>
      </c>
      <c r="D894" s="10" t="s">
        <v>30</v>
      </c>
      <c r="E894" s="10" t="s">
        <v>120</v>
      </c>
      <c r="F894" s="11">
        <v>11</v>
      </c>
      <c r="G894" s="12">
        <v>1326.6</v>
      </c>
      <c r="H894" s="12">
        <v>14592.599999999999</v>
      </c>
      <c r="I894" s="13">
        <v>822.49199999999996</v>
      </c>
      <c r="J894" s="10" t="s">
        <v>38</v>
      </c>
      <c r="K894" s="10" t="s">
        <v>39</v>
      </c>
      <c r="L894" s="10" t="s">
        <v>40</v>
      </c>
      <c r="M894" s="12">
        <v>9047.4120000000003</v>
      </c>
      <c r="N894" s="12">
        <v>5545.1880000000001</v>
      </c>
      <c r="O894" s="10">
        <v>38</v>
      </c>
      <c r="P894" s="10" t="s">
        <v>26</v>
      </c>
      <c r="Q894" s="10">
        <v>12</v>
      </c>
      <c r="R894" s="10" t="s">
        <v>27</v>
      </c>
      <c r="S894" s="14" t="str">
        <f t="shared" si="13"/>
        <v>Week 4</v>
      </c>
    </row>
    <row r="895" spans="1:19" x14ac:dyDescent="0.3">
      <c r="A895" s="15" t="s">
        <v>1186</v>
      </c>
      <c r="B895" s="16">
        <v>43091</v>
      </c>
      <c r="C895" s="17" t="s">
        <v>247</v>
      </c>
      <c r="D895" s="17" t="s">
        <v>30</v>
      </c>
      <c r="E895" s="17" t="s">
        <v>103</v>
      </c>
      <c r="F895" s="18">
        <v>9</v>
      </c>
      <c r="G895" s="19">
        <v>6338.2</v>
      </c>
      <c r="H895" s="19">
        <v>57043.799999999996</v>
      </c>
      <c r="I895" s="20">
        <v>3993.0659999999998</v>
      </c>
      <c r="J895" s="17" t="s">
        <v>23</v>
      </c>
      <c r="K895" s="17" t="s">
        <v>24</v>
      </c>
      <c r="L895" s="17" t="s">
        <v>25</v>
      </c>
      <c r="M895" s="19">
        <v>35937.593999999997</v>
      </c>
      <c r="N895" s="19">
        <v>21106.205999999998</v>
      </c>
      <c r="O895" s="17">
        <v>37</v>
      </c>
      <c r="P895" s="17" t="s">
        <v>26</v>
      </c>
      <c r="Q895" s="17">
        <v>12</v>
      </c>
      <c r="R895" s="17" t="s">
        <v>27</v>
      </c>
      <c r="S895" s="14" t="str">
        <f t="shared" si="13"/>
        <v>Week 4</v>
      </c>
    </row>
    <row r="896" spans="1:19" x14ac:dyDescent="0.3">
      <c r="A896" s="8" t="s">
        <v>1187</v>
      </c>
      <c r="B896" s="9">
        <v>43091</v>
      </c>
      <c r="C896" s="10" t="s">
        <v>363</v>
      </c>
      <c r="D896" s="10" t="s">
        <v>30</v>
      </c>
      <c r="E896" s="10" t="s">
        <v>284</v>
      </c>
      <c r="F896" s="11">
        <v>5</v>
      </c>
      <c r="G896" s="12">
        <v>254.6</v>
      </c>
      <c r="H896" s="12">
        <v>1273</v>
      </c>
      <c r="I896" s="13">
        <v>106.93199999999899</v>
      </c>
      <c r="J896" s="10" t="s">
        <v>54</v>
      </c>
      <c r="K896" s="10" t="s">
        <v>55</v>
      </c>
      <c r="L896" s="10" t="s">
        <v>56</v>
      </c>
      <c r="M896" s="12">
        <v>534.66</v>
      </c>
      <c r="N896" s="12">
        <v>738.34</v>
      </c>
      <c r="O896" s="10">
        <v>58</v>
      </c>
      <c r="P896" s="10" t="s">
        <v>26</v>
      </c>
      <c r="Q896" s="10">
        <v>12</v>
      </c>
      <c r="R896" s="10" t="s">
        <v>27</v>
      </c>
      <c r="S896" s="14" t="str">
        <f t="shared" si="13"/>
        <v>Week 4</v>
      </c>
    </row>
    <row r="897" spans="1:19" x14ac:dyDescent="0.3">
      <c r="A897" s="15" t="s">
        <v>520</v>
      </c>
      <c r="B897" s="16">
        <v>43091</v>
      </c>
      <c r="C897" s="17" t="s">
        <v>521</v>
      </c>
      <c r="D897" s="17" t="s">
        <v>21</v>
      </c>
      <c r="E897" s="17" t="s">
        <v>31</v>
      </c>
      <c r="F897" s="18">
        <v>9</v>
      </c>
      <c r="G897" s="19">
        <v>3912.8</v>
      </c>
      <c r="H897" s="19">
        <v>35215.200000000004</v>
      </c>
      <c r="I897" s="20">
        <v>2738.96</v>
      </c>
      <c r="J897" s="17" t="s">
        <v>436</v>
      </c>
      <c r="K897" s="17" t="s">
        <v>437</v>
      </c>
      <c r="L897" s="17" t="s">
        <v>25</v>
      </c>
      <c r="M897" s="19">
        <v>24650.639999999999</v>
      </c>
      <c r="N897" s="19">
        <v>10564.56</v>
      </c>
      <c r="O897" s="17">
        <v>30</v>
      </c>
      <c r="P897" s="17" t="s">
        <v>26</v>
      </c>
      <c r="Q897" s="17">
        <v>12</v>
      </c>
      <c r="R897" s="17" t="s">
        <v>27</v>
      </c>
      <c r="S897" s="14" t="str">
        <f t="shared" si="13"/>
        <v>Week 4</v>
      </c>
    </row>
    <row r="898" spans="1:19" x14ac:dyDescent="0.3">
      <c r="A898" s="8" t="s">
        <v>1188</v>
      </c>
      <c r="B898" s="9">
        <v>43092</v>
      </c>
      <c r="C898" s="10" t="s">
        <v>912</v>
      </c>
      <c r="D898" s="10" t="s">
        <v>21</v>
      </c>
      <c r="E898" s="10" t="s">
        <v>149</v>
      </c>
      <c r="F898" s="11">
        <v>10</v>
      </c>
      <c r="G898" s="12">
        <v>1159.0999999999999</v>
      </c>
      <c r="H898" s="12">
        <v>11591</v>
      </c>
      <c r="I898" s="13">
        <v>834.55200000000002</v>
      </c>
      <c r="J898" s="10" t="s">
        <v>54</v>
      </c>
      <c r="K898" s="10" t="s">
        <v>55</v>
      </c>
      <c r="L898" s="10" t="s">
        <v>56</v>
      </c>
      <c r="M898" s="12">
        <v>8345.52</v>
      </c>
      <c r="N898" s="12">
        <v>3245.48</v>
      </c>
      <c r="O898" s="10">
        <v>28</v>
      </c>
      <c r="P898" s="10" t="s">
        <v>26</v>
      </c>
      <c r="Q898" s="10">
        <v>12</v>
      </c>
      <c r="R898" s="10" t="s">
        <v>27</v>
      </c>
      <c r="S898" s="14" t="str">
        <f t="shared" si="13"/>
        <v>Week 4</v>
      </c>
    </row>
    <row r="899" spans="1:19" x14ac:dyDescent="0.3">
      <c r="A899" s="15" t="s">
        <v>1189</v>
      </c>
      <c r="B899" s="16">
        <v>43092</v>
      </c>
      <c r="C899" s="17" t="s">
        <v>341</v>
      </c>
      <c r="D899" s="17" t="s">
        <v>21</v>
      </c>
      <c r="E899" s="17" t="s">
        <v>115</v>
      </c>
      <c r="F899" s="18">
        <v>6</v>
      </c>
      <c r="G899" s="19">
        <v>864.3</v>
      </c>
      <c r="H899" s="19">
        <v>5185.7999999999993</v>
      </c>
      <c r="I899" s="20">
        <v>449.43599999999998</v>
      </c>
      <c r="J899" s="17" t="s">
        <v>454</v>
      </c>
      <c r="K899" s="17" t="s">
        <v>455</v>
      </c>
      <c r="L899" s="17" t="s">
        <v>25</v>
      </c>
      <c r="M899" s="19">
        <v>2696.616</v>
      </c>
      <c r="N899" s="19">
        <v>2489.1840000000002</v>
      </c>
      <c r="O899" s="17">
        <v>48</v>
      </c>
      <c r="P899" s="17" t="s">
        <v>26</v>
      </c>
      <c r="Q899" s="17">
        <v>12</v>
      </c>
      <c r="R899" s="17" t="s">
        <v>27</v>
      </c>
      <c r="S899" s="14" t="str">
        <f t="shared" ref="S899:S962" si="14">"Week "&amp;INT((DAY(B899)-1)/7)+1</f>
        <v>Week 4</v>
      </c>
    </row>
    <row r="900" spans="1:19" x14ac:dyDescent="0.3">
      <c r="A900" s="8" t="s">
        <v>1190</v>
      </c>
      <c r="B900" s="9">
        <v>43092</v>
      </c>
      <c r="C900" s="10" t="s">
        <v>75</v>
      </c>
      <c r="D900" s="10" t="s">
        <v>21</v>
      </c>
      <c r="E900" s="10" t="s">
        <v>91</v>
      </c>
      <c r="F900" s="11">
        <v>11</v>
      </c>
      <c r="G900" s="12">
        <v>5728.5</v>
      </c>
      <c r="H900" s="12">
        <v>63013.5</v>
      </c>
      <c r="I900" s="13">
        <v>3207.96</v>
      </c>
      <c r="J900" s="10" t="s">
        <v>32</v>
      </c>
      <c r="K900" s="10" t="s">
        <v>33</v>
      </c>
      <c r="L900" s="10" t="s">
        <v>34</v>
      </c>
      <c r="M900" s="12">
        <v>35287.56</v>
      </c>
      <c r="N900" s="12">
        <v>27725.9399999999</v>
      </c>
      <c r="O900" s="10">
        <v>43.999999999999901</v>
      </c>
      <c r="P900" s="10" t="s">
        <v>26</v>
      </c>
      <c r="Q900" s="10">
        <v>12</v>
      </c>
      <c r="R900" s="10" t="s">
        <v>27</v>
      </c>
      <c r="S900" s="14" t="str">
        <f t="shared" si="14"/>
        <v>Week 4</v>
      </c>
    </row>
    <row r="901" spans="1:19" x14ac:dyDescent="0.3">
      <c r="A901" s="15" t="s">
        <v>1191</v>
      </c>
      <c r="B901" s="16">
        <v>43092</v>
      </c>
      <c r="C901" s="17" t="s">
        <v>570</v>
      </c>
      <c r="D901" s="17" t="s">
        <v>30</v>
      </c>
      <c r="E901" s="17" t="s">
        <v>127</v>
      </c>
      <c r="F901" s="18">
        <v>12</v>
      </c>
      <c r="G901" s="19">
        <v>2244.5</v>
      </c>
      <c r="H901" s="19">
        <v>26934</v>
      </c>
      <c r="I901" s="20">
        <v>1122.25</v>
      </c>
      <c r="J901" s="17" t="s">
        <v>54</v>
      </c>
      <c r="K901" s="17" t="s">
        <v>55</v>
      </c>
      <c r="L901" s="17" t="s">
        <v>56</v>
      </c>
      <c r="M901" s="19">
        <v>13467</v>
      </c>
      <c r="N901" s="19">
        <v>13467</v>
      </c>
      <c r="O901" s="17">
        <v>50</v>
      </c>
      <c r="P901" s="17" t="s">
        <v>26</v>
      </c>
      <c r="Q901" s="17">
        <v>12</v>
      </c>
      <c r="R901" s="17" t="s">
        <v>27</v>
      </c>
      <c r="S901" s="14" t="str">
        <f t="shared" si="14"/>
        <v>Week 4</v>
      </c>
    </row>
    <row r="902" spans="1:19" x14ac:dyDescent="0.3">
      <c r="A902" s="8" t="s">
        <v>1192</v>
      </c>
      <c r="B902" s="9">
        <v>43092</v>
      </c>
      <c r="C902" s="10" t="s">
        <v>211</v>
      </c>
      <c r="D902" s="10" t="s">
        <v>43</v>
      </c>
      <c r="E902" s="10" t="s">
        <v>252</v>
      </c>
      <c r="F902" s="11">
        <v>6</v>
      </c>
      <c r="G902" s="12">
        <v>1031.8</v>
      </c>
      <c r="H902" s="12">
        <v>6190.7999999999993</v>
      </c>
      <c r="I902" s="13">
        <v>433.35599999999903</v>
      </c>
      <c r="J902" s="10" t="s">
        <v>436</v>
      </c>
      <c r="K902" s="10" t="s">
        <v>437</v>
      </c>
      <c r="L902" s="10" t="s">
        <v>25</v>
      </c>
      <c r="M902" s="12">
        <v>2600.13599999999</v>
      </c>
      <c r="N902" s="12">
        <v>3590.6639999999902</v>
      </c>
      <c r="O902" s="10">
        <v>58</v>
      </c>
      <c r="P902" s="10" t="s">
        <v>26</v>
      </c>
      <c r="Q902" s="10">
        <v>12</v>
      </c>
      <c r="R902" s="10" t="s">
        <v>27</v>
      </c>
      <c r="S902" s="14" t="str">
        <f t="shared" si="14"/>
        <v>Week 4</v>
      </c>
    </row>
    <row r="903" spans="1:19" x14ac:dyDescent="0.3">
      <c r="A903" s="15" t="s">
        <v>1193</v>
      </c>
      <c r="B903" s="16">
        <v>43092</v>
      </c>
      <c r="C903" s="17" t="s">
        <v>288</v>
      </c>
      <c r="D903" s="17" t="s">
        <v>30</v>
      </c>
      <c r="E903" s="17" t="s">
        <v>115</v>
      </c>
      <c r="F903" s="18">
        <v>6</v>
      </c>
      <c r="G903" s="19">
        <v>3859.2</v>
      </c>
      <c r="H903" s="19">
        <v>23155.199999999997</v>
      </c>
      <c r="I903" s="20">
        <v>3125.9520000000002</v>
      </c>
      <c r="J903" s="17" t="s">
        <v>116</v>
      </c>
      <c r="K903" s="17" t="s">
        <v>117</v>
      </c>
      <c r="L903" s="17" t="s">
        <v>40</v>
      </c>
      <c r="M903" s="19">
        <v>18755.712</v>
      </c>
      <c r="N903" s="19">
        <v>4399.4880000000003</v>
      </c>
      <c r="O903" s="17">
        <v>19</v>
      </c>
      <c r="P903" s="17" t="s">
        <v>26</v>
      </c>
      <c r="Q903" s="17">
        <v>12</v>
      </c>
      <c r="R903" s="17" t="s">
        <v>27</v>
      </c>
      <c r="S903" s="14" t="str">
        <f t="shared" si="14"/>
        <v>Week 4</v>
      </c>
    </row>
    <row r="904" spans="1:19" x14ac:dyDescent="0.3">
      <c r="A904" s="8" t="s">
        <v>1194</v>
      </c>
      <c r="B904" s="9">
        <v>43092</v>
      </c>
      <c r="C904" s="10" t="s">
        <v>404</v>
      </c>
      <c r="D904" s="10" t="s">
        <v>21</v>
      </c>
      <c r="E904" s="10" t="s">
        <v>284</v>
      </c>
      <c r="F904" s="11">
        <v>8</v>
      </c>
      <c r="G904" s="12">
        <v>1065.3</v>
      </c>
      <c r="H904" s="12">
        <v>8522.4</v>
      </c>
      <c r="I904" s="13">
        <v>681.79200000000003</v>
      </c>
      <c r="J904" s="10" t="s">
        <v>83</v>
      </c>
      <c r="K904" s="10" t="s">
        <v>84</v>
      </c>
      <c r="L904" s="10" t="s">
        <v>34</v>
      </c>
      <c r="M904" s="12">
        <v>5454.3360000000002</v>
      </c>
      <c r="N904" s="12">
        <v>3068.0639999999898</v>
      </c>
      <c r="O904" s="10">
        <v>35.999999999999901</v>
      </c>
      <c r="P904" s="10" t="s">
        <v>26</v>
      </c>
      <c r="Q904" s="10">
        <v>12</v>
      </c>
      <c r="R904" s="10" t="s">
        <v>27</v>
      </c>
      <c r="S904" s="14" t="str">
        <f t="shared" si="14"/>
        <v>Week 4</v>
      </c>
    </row>
    <row r="905" spans="1:19" x14ac:dyDescent="0.3">
      <c r="A905" s="15" t="s">
        <v>1195</v>
      </c>
      <c r="B905" s="16">
        <v>43092</v>
      </c>
      <c r="C905" s="17" t="s">
        <v>61</v>
      </c>
      <c r="D905" s="17" t="s">
        <v>43</v>
      </c>
      <c r="E905" s="17" t="s">
        <v>22</v>
      </c>
      <c r="F905" s="18">
        <v>10</v>
      </c>
      <c r="G905" s="19">
        <v>3986.5</v>
      </c>
      <c r="H905" s="19">
        <v>39865</v>
      </c>
      <c r="I905" s="20">
        <v>2232.44</v>
      </c>
      <c r="J905" s="17" t="s">
        <v>204</v>
      </c>
      <c r="K905" s="17" t="s">
        <v>205</v>
      </c>
      <c r="L905" s="17" t="s">
        <v>34</v>
      </c>
      <c r="M905" s="19">
        <v>22324.400000000001</v>
      </c>
      <c r="N905" s="19">
        <v>17540.599999999999</v>
      </c>
      <c r="O905" s="17">
        <v>43.999999999999901</v>
      </c>
      <c r="P905" s="17" t="s">
        <v>26</v>
      </c>
      <c r="Q905" s="17">
        <v>12</v>
      </c>
      <c r="R905" s="17" t="s">
        <v>27</v>
      </c>
      <c r="S905" s="14" t="str">
        <f t="shared" si="14"/>
        <v>Week 4</v>
      </c>
    </row>
    <row r="906" spans="1:19" x14ac:dyDescent="0.3">
      <c r="A906" s="8" t="s">
        <v>1196</v>
      </c>
      <c r="B906" s="9">
        <v>43092</v>
      </c>
      <c r="C906" s="10" t="s">
        <v>1094</v>
      </c>
      <c r="D906" s="10" t="s">
        <v>21</v>
      </c>
      <c r="E906" s="10" t="s">
        <v>110</v>
      </c>
      <c r="F906" s="11">
        <v>9</v>
      </c>
      <c r="G906" s="12">
        <v>3785.5</v>
      </c>
      <c r="H906" s="12">
        <v>34069.5</v>
      </c>
      <c r="I906" s="13">
        <v>1968.46</v>
      </c>
      <c r="J906" s="10" t="s">
        <v>155</v>
      </c>
      <c r="K906" s="10" t="s">
        <v>156</v>
      </c>
      <c r="L906" s="10" t="s">
        <v>56</v>
      </c>
      <c r="M906" s="12">
        <v>17716.14</v>
      </c>
      <c r="N906" s="12">
        <v>16353.36</v>
      </c>
      <c r="O906" s="10">
        <v>48</v>
      </c>
      <c r="P906" s="10" t="s">
        <v>26</v>
      </c>
      <c r="Q906" s="10">
        <v>12</v>
      </c>
      <c r="R906" s="10" t="s">
        <v>27</v>
      </c>
      <c r="S906" s="14" t="str">
        <f t="shared" si="14"/>
        <v>Week 4</v>
      </c>
    </row>
    <row r="907" spans="1:19" x14ac:dyDescent="0.3">
      <c r="A907" s="15" t="s">
        <v>1197</v>
      </c>
      <c r="B907" s="16">
        <v>43092</v>
      </c>
      <c r="C907" s="17" t="s">
        <v>335</v>
      </c>
      <c r="D907" s="17" t="s">
        <v>21</v>
      </c>
      <c r="E907" s="17" t="s">
        <v>418</v>
      </c>
      <c r="F907" s="18">
        <v>10</v>
      </c>
      <c r="G907" s="19">
        <v>2646.5</v>
      </c>
      <c r="H907" s="19">
        <v>26465</v>
      </c>
      <c r="I907" s="20">
        <v>1482.04</v>
      </c>
      <c r="J907" s="17" t="s">
        <v>54</v>
      </c>
      <c r="K907" s="17" t="s">
        <v>55</v>
      </c>
      <c r="L907" s="17" t="s">
        <v>56</v>
      </c>
      <c r="M907" s="19">
        <v>14820.4</v>
      </c>
      <c r="N907" s="19">
        <v>11644.5999999999</v>
      </c>
      <c r="O907" s="17">
        <v>43.999999999999901</v>
      </c>
      <c r="P907" s="17" t="s">
        <v>26</v>
      </c>
      <c r="Q907" s="17">
        <v>12</v>
      </c>
      <c r="R907" s="17" t="s">
        <v>27</v>
      </c>
      <c r="S907" s="14" t="str">
        <f t="shared" si="14"/>
        <v>Week 4</v>
      </c>
    </row>
    <row r="908" spans="1:19" x14ac:dyDescent="0.3">
      <c r="A908" s="8" t="s">
        <v>1198</v>
      </c>
      <c r="B908" s="9">
        <v>43092</v>
      </c>
      <c r="C908" s="10" t="s">
        <v>239</v>
      </c>
      <c r="D908" s="10" t="s">
        <v>21</v>
      </c>
      <c r="E908" s="10" t="s">
        <v>228</v>
      </c>
      <c r="F908" s="11">
        <v>9</v>
      </c>
      <c r="G908" s="12">
        <v>5440.4</v>
      </c>
      <c r="H908" s="12">
        <v>48963.6</v>
      </c>
      <c r="I908" s="13">
        <v>4461.1279999999997</v>
      </c>
      <c r="J908" s="10" t="s">
        <v>54</v>
      </c>
      <c r="K908" s="10" t="s">
        <v>55</v>
      </c>
      <c r="L908" s="10" t="s">
        <v>56</v>
      </c>
      <c r="M908" s="12">
        <v>40150.152000000002</v>
      </c>
      <c r="N908" s="12">
        <v>8813.4480000000003</v>
      </c>
      <c r="O908" s="10">
        <v>18</v>
      </c>
      <c r="P908" s="10" t="s">
        <v>26</v>
      </c>
      <c r="Q908" s="10">
        <v>12</v>
      </c>
      <c r="R908" s="10" t="s">
        <v>27</v>
      </c>
      <c r="S908" s="14" t="str">
        <f t="shared" si="14"/>
        <v>Week 4</v>
      </c>
    </row>
    <row r="909" spans="1:19" x14ac:dyDescent="0.3">
      <c r="A909" s="15" t="s">
        <v>983</v>
      </c>
      <c r="B909" s="16">
        <v>43092</v>
      </c>
      <c r="C909" s="17" t="s">
        <v>264</v>
      </c>
      <c r="D909" s="17" t="s">
        <v>21</v>
      </c>
      <c r="E909" s="17" t="s">
        <v>306</v>
      </c>
      <c r="F909" s="18">
        <v>6</v>
      </c>
      <c r="G909" s="19">
        <v>6009.9</v>
      </c>
      <c r="H909" s="19">
        <v>36059.399999999994</v>
      </c>
      <c r="I909" s="20">
        <v>4928.1180000000004</v>
      </c>
      <c r="J909" s="17" t="s">
        <v>177</v>
      </c>
      <c r="K909" s="17" t="s">
        <v>178</v>
      </c>
      <c r="L909" s="17" t="s">
        <v>40</v>
      </c>
      <c r="M909" s="19">
        <v>29568.707999999999</v>
      </c>
      <c r="N909" s="19">
        <v>6490.69199999999</v>
      </c>
      <c r="O909" s="17">
        <v>17.999999999999901</v>
      </c>
      <c r="P909" s="17" t="s">
        <v>26</v>
      </c>
      <c r="Q909" s="17">
        <v>12</v>
      </c>
      <c r="R909" s="17" t="s">
        <v>27</v>
      </c>
      <c r="S909" s="14" t="str">
        <f t="shared" si="14"/>
        <v>Week 4</v>
      </c>
    </row>
    <row r="910" spans="1:19" x14ac:dyDescent="0.3">
      <c r="A910" s="8" t="s">
        <v>1193</v>
      </c>
      <c r="B910" s="9">
        <v>43092</v>
      </c>
      <c r="C910" s="10" t="s">
        <v>288</v>
      </c>
      <c r="D910" s="10" t="s">
        <v>30</v>
      </c>
      <c r="E910" s="10" t="s">
        <v>115</v>
      </c>
      <c r="F910" s="11">
        <v>6</v>
      </c>
      <c r="G910" s="12">
        <v>3859.2</v>
      </c>
      <c r="H910" s="12">
        <v>23155.199999999997</v>
      </c>
      <c r="I910" s="13">
        <v>3125.9520000000002</v>
      </c>
      <c r="J910" s="10" t="s">
        <v>405</v>
      </c>
      <c r="K910" s="10" t="s">
        <v>406</v>
      </c>
      <c r="L910" s="10" t="s">
        <v>56</v>
      </c>
      <c r="M910" s="12">
        <v>18755.712</v>
      </c>
      <c r="N910" s="12">
        <v>4399.4880000000003</v>
      </c>
      <c r="O910" s="10">
        <v>19</v>
      </c>
      <c r="P910" s="10" t="s">
        <v>26</v>
      </c>
      <c r="Q910" s="10">
        <v>12</v>
      </c>
      <c r="R910" s="10" t="s">
        <v>27</v>
      </c>
      <c r="S910" s="14" t="str">
        <f t="shared" si="14"/>
        <v>Week 4</v>
      </c>
    </row>
    <row r="911" spans="1:19" x14ac:dyDescent="0.3">
      <c r="A911" s="15" t="s">
        <v>1199</v>
      </c>
      <c r="B911" s="16">
        <v>43092</v>
      </c>
      <c r="C911" s="17" t="s">
        <v>100</v>
      </c>
      <c r="D911" s="17" t="s">
        <v>30</v>
      </c>
      <c r="E911" s="17" t="s">
        <v>31</v>
      </c>
      <c r="F911" s="18">
        <v>11</v>
      </c>
      <c r="G911" s="19">
        <v>227.8</v>
      </c>
      <c r="H911" s="19">
        <v>2505.8000000000002</v>
      </c>
      <c r="I911" s="20">
        <v>186.79599999999999</v>
      </c>
      <c r="J911" s="17" t="s">
        <v>32</v>
      </c>
      <c r="K911" s="17" t="s">
        <v>33</v>
      </c>
      <c r="L911" s="17" t="s">
        <v>34</v>
      </c>
      <c r="M911" s="19">
        <v>2054.7559999999999</v>
      </c>
      <c r="N911" s="19">
        <v>451.04399999999998</v>
      </c>
      <c r="O911" s="17">
        <v>18</v>
      </c>
      <c r="P911" s="17" t="s">
        <v>26</v>
      </c>
      <c r="Q911" s="17">
        <v>12</v>
      </c>
      <c r="R911" s="17" t="s">
        <v>27</v>
      </c>
      <c r="S911" s="14" t="str">
        <f t="shared" si="14"/>
        <v>Week 4</v>
      </c>
    </row>
    <row r="912" spans="1:19" x14ac:dyDescent="0.3">
      <c r="A912" s="8" t="s">
        <v>1200</v>
      </c>
      <c r="B912" s="9">
        <v>43092</v>
      </c>
      <c r="C912" s="10" t="s">
        <v>814</v>
      </c>
      <c r="D912" s="10" t="s">
        <v>21</v>
      </c>
      <c r="E912" s="10" t="s">
        <v>306</v>
      </c>
      <c r="F912" s="11">
        <v>12</v>
      </c>
      <c r="G912" s="12">
        <v>214.4</v>
      </c>
      <c r="H912" s="12">
        <v>2572.8000000000002</v>
      </c>
      <c r="I912" s="13">
        <v>96.48</v>
      </c>
      <c r="J912" s="10" t="s">
        <v>266</v>
      </c>
      <c r="K912" s="10" t="s">
        <v>267</v>
      </c>
      <c r="L912" s="10" t="s">
        <v>34</v>
      </c>
      <c r="M912" s="12">
        <v>1157.76</v>
      </c>
      <c r="N912" s="12">
        <v>1415.04</v>
      </c>
      <c r="O912" s="10">
        <v>55</v>
      </c>
      <c r="P912" s="10" t="s">
        <v>26</v>
      </c>
      <c r="Q912" s="10">
        <v>12</v>
      </c>
      <c r="R912" s="10" t="s">
        <v>27</v>
      </c>
      <c r="S912" s="14" t="str">
        <f t="shared" si="14"/>
        <v>Week 4</v>
      </c>
    </row>
    <row r="913" spans="1:19" x14ac:dyDescent="0.3">
      <c r="A913" s="15" t="s">
        <v>1201</v>
      </c>
      <c r="B913" s="16">
        <v>43092</v>
      </c>
      <c r="C913" s="17" t="s">
        <v>371</v>
      </c>
      <c r="D913" s="17" t="s">
        <v>30</v>
      </c>
      <c r="E913" s="17" t="s">
        <v>191</v>
      </c>
      <c r="F913" s="18">
        <v>8</v>
      </c>
      <c r="G913" s="19">
        <v>2659.9</v>
      </c>
      <c r="H913" s="19">
        <v>21279.200000000001</v>
      </c>
      <c r="I913" s="20">
        <v>1728.9349999999999</v>
      </c>
      <c r="J913" s="17" t="s">
        <v>104</v>
      </c>
      <c r="K913" s="17" t="s">
        <v>105</v>
      </c>
      <c r="L913" s="17" t="s">
        <v>25</v>
      </c>
      <c r="M913" s="19">
        <v>13831.48</v>
      </c>
      <c r="N913" s="19">
        <v>7447.7199999999903</v>
      </c>
      <c r="O913" s="17">
        <v>35</v>
      </c>
      <c r="P913" s="17" t="s">
        <v>26</v>
      </c>
      <c r="Q913" s="17">
        <v>12</v>
      </c>
      <c r="R913" s="17" t="s">
        <v>27</v>
      </c>
      <c r="S913" s="14" t="str">
        <f t="shared" si="14"/>
        <v>Week 4</v>
      </c>
    </row>
    <row r="914" spans="1:19" x14ac:dyDescent="0.3">
      <c r="A914" s="8" t="s">
        <v>1202</v>
      </c>
      <c r="B914" s="9">
        <v>43092</v>
      </c>
      <c r="C914" s="10" t="s">
        <v>464</v>
      </c>
      <c r="D914" s="10" t="s">
        <v>21</v>
      </c>
      <c r="E914" s="10" t="s">
        <v>22</v>
      </c>
      <c r="F914" s="11">
        <v>7</v>
      </c>
      <c r="G914" s="12">
        <v>1139</v>
      </c>
      <c r="H914" s="12">
        <v>7973</v>
      </c>
      <c r="I914" s="13">
        <v>455.6</v>
      </c>
      <c r="J914" s="10" t="s">
        <v>766</v>
      </c>
      <c r="K914" s="10" t="s">
        <v>767</v>
      </c>
      <c r="L914" s="10" t="s">
        <v>56</v>
      </c>
      <c r="M914" s="12">
        <v>3189.2</v>
      </c>
      <c r="N914" s="12">
        <v>4783.7999999999902</v>
      </c>
      <c r="O914" s="10">
        <v>59.999999999999901</v>
      </c>
      <c r="P914" s="10" t="s">
        <v>26</v>
      </c>
      <c r="Q914" s="10">
        <v>12</v>
      </c>
      <c r="R914" s="10" t="s">
        <v>27</v>
      </c>
      <c r="S914" s="14" t="str">
        <f t="shared" si="14"/>
        <v>Week 4</v>
      </c>
    </row>
    <row r="915" spans="1:19" x14ac:dyDescent="0.3">
      <c r="A915" s="15" t="s">
        <v>1203</v>
      </c>
      <c r="B915" s="16">
        <v>43092</v>
      </c>
      <c r="C915" s="17" t="s">
        <v>843</v>
      </c>
      <c r="D915" s="17" t="s">
        <v>21</v>
      </c>
      <c r="E915" s="17" t="s">
        <v>146</v>
      </c>
      <c r="F915" s="18">
        <v>10</v>
      </c>
      <c r="G915" s="19">
        <v>1795.6</v>
      </c>
      <c r="H915" s="19">
        <v>17956</v>
      </c>
      <c r="I915" s="20">
        <v>1113.2719999999999</v>
      </c>
      <c r="J915" s="17" t="s">
        <v>257</v>
      </c>
      <c r="K915" s="17" t="s">
        <v>258</v>
      </c>
      <c r="L915" s="17" t="s">
        <v>25</v>
      </c>
      <c r="M915" s="19">
        <v>11132.72</v>
      </c>
      <c r="N915" s="19">
        <v>6823.2799999999897</v>
      </c>
      <c r="O915" s="17">
        <v>37.999999999999901</v>
      </c>
      <c r="P915" s="17" t="s">
        <v>26</v>
      </c>
      <c r="Q915" s="17">
        <v>12</v>
      </c>
      <c r="R915" s="17" t="s">
        <v>27</v>
      </c>
      <c r="S915" s="14" t="str">
        <f t="shared" si="14"/>
        <v>Week 4</v>
      </c>
    </row>
    <row r="916" spans="1:19" x14ac:dyDescent="0.3">
      <c r="A916" s="8" t="s">
        <v>1204</v>
      </c>
      <c r="B916" s="9">
        <v>43092</v>
      </c>
      <c r="C916" s="10" t="s">
        <v>543</v>
      </c>
      <c r="D916" s="10" t="s">
        <v>30</v>
      </c>
      <c r="E916" s="10" t="s">
        <v>103</v>
      </c>
      <c r="F916" s="11">
        <v>5</v>
      </c>
      <c r="G916" s="12">
        <v>254.6</v>
      </c>
      <c r="H916" s="12">
        <v>1273</v>
      </c>
      <c r="I916" s="13">
        <v>175.67399999999901</v>
      </c>
      <c r="J916" s="10" t="s">
        <v>69</v>
      </c>
      <c r="K916" s="10" t="s">
        <v>70</v>
      </c>
      <c r="L916" s="10" t="s">
        <v>25</v>
      </c>
      <c r="M916" s="12">
        <v>878.36999999999898</v>
      </c>
      <c r="N916" s="12">
        <v>394.63</v>
      </c>
      <c r="O916" s="10">
        <v>31</v>
      </c>
      <c r="P916" s="10" t="s">
        <v>26</v>
      </c>
      <c r="Q916" s="10">
        <v>12</v>
      </c>
      <c r="R916" s="10" t="s">
        <v>27</v>
      </c>
      <c r="S916" s="14" t="str">
        <f t="shared" si="14"/>
        <v>Week 4</v>
      </c>
    </row>
    <row r="917" spans="1:19" x14ac:dyDescent="0.3">
      <c r="A917" s="15" t="s">
        <v>327</v>
      </c>
      <c r="B917" s="16">
        <v>43092</v>
      </c>
      <c r="C917" s="17" t="s">
        <v>328</v>
      </c>
      <c r="D917" s="17" t="s">
        <v>21</v>
      </c>
      <c r="E917" s="17" t="s">
        <v>146</v>
      </c>
      <c r="F917" s="18">
        <v>12</v>
      </c>
      <c r="G917" s="19">
        <v>2452.1999999999998</v>
      </c>
      <c r="H917" s="19">
        <v>29426.399999999998</v>
      </c>
      <c r="I917" s="20">
        <v>1814.6279999999999</v>
      </c>
      <c r="J917" s="17" t="s">
        <v>536</v>
      </c>
      <c r="K917" s="17" t="s">
        <v>537</v>
      </c>
      <c r="L917" s="17" t="s">
        <v>25</v>
      </c>
      <c r="M917" s="19">
        <v>21775.536</v>
      </c>
      <c r="N917" s="19">
        <v>7650.8639999999996</v>
      </c>
      <c r="O917" s="17">
        <v>26</v>
      </c>
      <c r="P917" s="17" t="s">
        <v>26</v>
      </c>
      <c r="Q917" s="17">
        <v>12</v>
      </c>
      <c r="R917" s="17" t="s">
        <v>27</v>
      </c>
      <c r="S917" s="14" t="str">
        <f t="shared" si="14"/>
        <v>Week 4</v>
      </c>
    </row>
    <row r="918" spans="1:19" x14ac:dyDescent="0.3">
      <c r="A918" s="8" t="s">
        <v>1205</v>
      </c>
      <c r="B918" s="9">
        <v>43092</v>
      </c>
      <c r="C918" s="10" t="s">
        <v>810</v>
      </c>
      <c r="D918" s="10" t="s">
        <v>21</v>
      </c>
      <c r="E918" s="10" t="s">
        <v>103</v>
      </c>
      <c r="F918" s="11">
        <v>9</v>
      </c>
      <c r="G918" s="12">
        <v>1701.8</v>
      </c>
      <c r="H918" s="12">
        <v>15316.199999999999</v>
      </c>
      <c r="I918" s="13">
        <v>935.99</v>
      </c>
      <c r="J918" s="10" t="s">
        <v>225</v>
      </c>
      <c r="K918" s="10" t="s">
        <v>226</v>
      </c>
      <c r="L918" s="10" t="s">
        <v>25</v>
      </c>
      <c r="M918" s="12">
        <v>8423.91</v>
      </c>
      <c r="N918" s="12">
        <v>6892.28999999999</v>
      </c>
      <c r="O918" s="10">
        <v>44.999999999999901</v>
      </c>
      <c r="P918" s="10" t="s">
        <v>26</v>
      </c>
      <c r="Q918" s="10">
        <v>12</v>
      </c>
      <c r="R918" s="10" t="s">
        <v>27</v>
      </c>
      <c r="S918" s="14" t="str">
        <f t="shared" si="14"/>
        <v>Week 4</v>
      </c>
    </row>
    <row r="919" spans="1:19" x14ac:dyDescent="0.3">
      <c r="A919" s="15" t="s">
        <v>1206</v>
      </c>
      <c r="B919" s="16">
        <v>43092</v>
      </c>
      <c r="C919" s="17" t="s">
        <v>754</v>
      </c>
      <c r="D919" s="17" t="s">
        <v>21</v>
      </c>
      <c r="E919" s="17" t="s">
        <v>31</v>
      </c>
      <c r="F919" s="18">
        <v>11</v>
      </c>
      <c r="G919" s="19">
        <v>3865.9</v>
      </c>
      <c r="H919" s="19">
        <v>42524.9</v>
      </c>
      <c r="I919" s="20">
        <v>3092.72</v>
      </c>
      <c r="J919" s="17" t="s">
        <v>257</v>
      </c>
      <c r="K919" s="17" t="s">
        <v>258</v>
      </c>
      <c r="L919" s="17" t="s">
        <v>25</v>
      </c>
      <c r="M919" s="19">
        <v>34019.919999999998</v>
      </c>
      <c r="N919" s="19">
        <v>8504.9799999999905</v>
      </c>
      <c r="O919" s="17">
        <v>19.999999999999901</v>
      </c>
      <c r="P919" s="17" t="s">
        <v>26</v>
      </c>
      <c r="Q919" s="17">
        <v>12</v>
      </c>
      <c r="R919" s="17" t="s">
        <v>27</v>
      </c>
      <c r="S919" s="14" t="str">
        <f t="shared" si="14"/>
        <v>Week 4</v>
      </c>
    </row>
    <row r="920" spans="1:19" x14ac:dyDescent="0.3">
      <c r="A920" s="8" t="s">
        <v>1207</v>
      </c>
      <c r="B920" s="9">
        <v>43092</v>
      </c>
      <c r="C920" s="10" t="s">
        <v>591</v>
      </c>
      <c r="D920" s="10" t="s">
        <v>30</v>
      </c>
      <c r="E920" s="10" t="s">
        <v>146</v>
      </c>
      <c r="F920" s="11">
        <v>5</v>
      </c>
      <c r="G920" s="12">
        <v>5453.8</v>
      </c>
      <c r="H920" s="12">
        <v>27269</v>
      </c>
      <c r="I920" s="13">
        <v>3163.2039999999902</v>
      </c>
      <c r="J920" s="10" t="s">
        <v>38</v>
      </c>
      <c r="K920" s="10" t="s">
        <v>39</v>
      </c>
      <c r="L920" s="10" t="s">
        <v>40</v>
      </c>
      <c r="M920" s="12">
        <v>15816.0199999999</v>
      </c>
      <c r="N920" s="12">
        <v>11452.98</v>
      </c>
      <c r="O920" s="10">
        <v>42</v>
      </c>
      <c r="P920" s="10" t="s">
        <v>26</v>
      </c>
      <c r="Q920" s="10">
        <v>12</v>
      </c>
      <c r="R920" s="10" t="s">
        <v>27</v>
      </c>
      <c r="S920" s="14" t="str">
        <f t="shared" si="14"/>
        <v>Week 4</v>
      </c>
    </row>
    <row r="921" spans="1:19" x14ac:dyDescent="0.3">
      <c r="A921" s="15" t="s">
        <v>1208</v>
      </c>
      <c r="B921" s="16">
        <v>43092</v>
      </c>
      <c r="C921" s="17" t="s">
        <v>470</v>
      </c>
      <c r="D921" s="17" t="s">
        <v>21</v>
      </c>
      <c r="E921" s="17" t="s">
        <v>31</v>
      </c>
      <c r="F921" s="18">
        <v>5</v>
      </c>
      <c r="G921" s="19">
        <v>1072</v>
      </c>
      <c r="H921" s="19">
        <v>5360</v>
      </c>
      <c r="I921" s="20">
        <v>686.08</v>
      </c>
      <c r="J921" s="17" t="s">
        <v>32</v>
      </c>
      <c r="K921" s="17" t="s">
        <v>33</v>
      </c>
      <c r="L921" s="17" t="s">
        <v>34</v>
      </c>
      <c r="M921" s="19">
        <v>3430.4</v>
      </c>
      <c r="N921" s="19">
        <v>1929.6</v>
      </c>
      <c r="O921" s="17">
        <v>36</v>
      </c>
      <c r="P921" s="17" t="s">
        <v>26</v>
      </c>
      <c r="Q921" s="17">
        <v>12</v>
      </c>
      <c r="R921" s="17" t="s">
        <v>27</v>
      </c>
      <c r="S921" s="14" t="str">
        <f t="shared" si="14"/>
        <v>Week 4</v>
      </c>
    </row>
    <row r="922" spans="1:19" x14ac:dyDescent="0.3">
      <c r="A922" s="8" t="s">
        <v>1209</v>
      </c>
      <c r="B922" s="9">
        <v>43092</v>
      </c>
      <c r="C922" s="10" t="s">
        <v>325</v>
      </c>
      <c r="D922" s="10" t="s">
        <v>43</v>
      </c>
      <c r="E922" s="10" t="s">
        <v>62</v>
      </c>
      <c r="F922" s="11">
        <v>11</v>
      </c>
      <c r="G922" s="12">
        <v>3725.2</v>
      </c>
      <c r="H922" s="12">
        <v>40977.199999999997</v>
      </c>
      <c r="I922" s="13">
        <v>2458.6320000000001</v>
      </c>
      <c r="J922" s="10" t="s">
        <v>94</v>
      </c>
      <c r="K922" s="10" t="s">
        <v>95</v>
      </c>
      <c r="L922" s="10" t="s">
        <v>40</v>
      </c>
      <c r="M922" s="12">
        <v>27044.952000000001</v>
      </c>
      <c r="N922" s="12">
        <v>13932.248</v>
      </c>
      <c r="O922" s="10">
        <v>34</v>
      </c>
      <c r="P922" s="10" t="s">
        <v>26</v>
      </c>
      <c r="Q922" s="10">
        <v>12</v>
      </c>
      <c r="R922" s="10" t="s">
        <v>27</v>
      </c>
      <c r="S922" s="14" t="str">
        <f t="shared" si="14"/>
        <v>Week 4</v>
      </c>
    </row>
    <row r="923" spans="1:19" x14ac:dyDescent="0.3">
      <c r="A923" s="15" t="s">
        <v>1210</v>
      </c>
      <c r="B923" s="16">
        <v>43092</v>
      </c>
      <c r="C923" s="17" t="s">
        <v>199</v>
      </c>
      <c r="D923" s="17" t="s">
        <v>21</v>
      </c>
      <c r="E923" s="17" t="s">
        <v>115</v>
      </c>
      <c r="F923" s="18">
        <v>7</v>
      </c>
      <c r="G923" s="19">
        <v>1728.6</v>
      </c>
      <c r="H923" s="19">
        <v>12100.199999999999</v>
      </c>
      <c r="I923" s="20">
        <v>1400.1659999999999</v>
      </c>
      <c r="J923" s="17" t="s">
        <v>45</v>
      </c>
      <c r="K923" s="17" t="s">
        <v>46</v>
      </c>
      <c r="L923" s="17" t="s">
        <v>34</v>
      </c>
      <c r="M923" s="19">
        <v>9801.1620000000003</v>
      </c>
      <c r="N923" s="19">
        <v>2299.038</v>
      </c>
      <c r="O923" s="17">
        <v>19</v>
      </c>
      <c r="P923" s="17" t="s">
        <v>26</v>
      </c>
      <c r="Q923" s="17">
        <v>12</v>
      </c>
      <c r="R923" s="17" t="s">
        <v>27</v>
      </c>
      <c r="S923" s="14" t="str">
        <f t="shared" si="14"/>
        <v>Week 4</v>
      </c>
    </row>
    <row r="924" spans="1:19" x14ac:dyDescent="0.3">
      <c r="A924" s="8" t="s">
        <v>1211</v>
      </c>
      <c r="B924" s="9">
        <v>43092</v>
      </c>
      <c r="C924" s="10" t="s">
        <v>316</v>
      </c>
      <c r="D924" s="10" t="s">
        <v>21</v>
      </c>
      <c r="E924" s="10" t="s">
        <v>37</v>
      </c>
      <c r="F924" s="11">
        <v>6</v>
      </c>
      <c r="G924" s="12">
        <v>194.3</v>
      </c>
      <c r="H924" s="12">
        <v>1165.8000000000002</v>
      </c>
      <c r="I924" s="13">
        <v>126.295</v>
      </c>
      <c r="J924" s="10" t="s">
        <v>94</v>
      </c>
      <c r="K924" s="10" t="s">
        <v>95</v>
      </c>
      <c r="L924" s="10" t="s">
        <v>40</v>
      </c>
      <c r="M924" s="12">
        <v>757.77</v>
      </c>
      <c r="N924" s="12">
        <v>408.03</v>
      </c>
      <c r="O924" s="10">
        <v>35</v>
      </c>
      <c r="P924" s="10" t="s">
        <v>26</v>
      </c>
      <c r="Q924" s="10">
        <v>12</v>
      </c>
      <c r="R924" s="10" t="s">
        <v>27</v>
      </c>
      <c r="S924" s="14" t="str">
        <f t="shared" si="14"/>
        <v>Week 4</v>
      </c>
    </row>
    <row r="925" spans="1:19" x14ac:dyDescent="0.3">
      <c r="A925" s="15" t="s">
        <v>1212</v>
      </c>
      <c r="B925" s="16">
        <v>43092</v>
      </c>
      <c r="C925" s="17" t="s">
        <v>568</v>
      </c>
      <c r="D925" s="17" t="s">
        <v>30</v>
      </c>
      <c r="E925" s="17" t="s">
        <v>37</v>
      </c>
      <c r="F925" s="18">
        <v>7</v>
      </c>
      <c r="G925" s="19">
        <v>2345</v>
      </c>
      <c r="H925" s="19">
        <v>16415</v>
      </c>
      <c r="I925" s="20">
        <v>1899.45</v>
      </c>
      <c r="J925" s="17" t="s">
        <v>54</v>
      </c>
      <c r="K925" s="17" t="s">
        <v>55</v>
      </c>
      <c r="L925" s="17" t="s">
        <v>56</v>
      </c>
      <c r="M925" s="19">
        <v>13296.15</v>
      </c>
      <c r="N925" s="19">
        <v>3118.85</v>
      </c>
      <c r="O925" s="17">
        <v>19</v>
      </c>
      <c r="P925" s="17" t="s">
        <v>26</v>
      </c>
      <c r="Q925" s="17">
        <v>12</v>
      </c>
      <c r="R925" s="17" t="s">
        <v>27</v>
      </c>
      <c r="S925" s="14" t="str">
        <f t="shared" si="14"/>
        <v>Week 4</v>
      </c>
    </row>
    <row r="926" spans="1:19" x14ac:dyDescent="0.3">
      <c r="A926" s="8" t="s">
        <v>1213</v>
      </c>
      <c r="B926" s="9">
        <v>43092</v>
      </c>
      <c r="C926" s="10" t="s">
        <v>843</v>
      </c>
      <c r="D926" s="10" t="s">
        <v>21</v>
      </c>
      <c r="E926" s="10" t="s">
        <v>149</v>
      </c>
      <c r="F926" s="11">
        <v>9</v>
      </c>
      <c r="G926" s="12">
        <v>3879.3</v>
      </c>
      <c r="H926" s="12">
        <v>34913.700000000004</v>
      </c>
      <c r="I926" s="13">
        <v>2521.5450000000001</v>
      </c>
      <c r="J926" s="10" t="s">
        <v>54</v>
      </c>
      <c r="K926" s="10" t="s">
        <v>55</v>
      </c>
      <c r="L926" s="10" t="s">
        <v>56</v>
      </c>
      <c r="M926" s="12">
        <v>22693.904999999999</v>
      </c>
      <c r="N926" s="12">
        <v>12219.795</v>
      </c>
      <c r="O926" s="10">
        <v>35</v>
      </c>
      <c r="P926" s="10" t="s">
        <v>26</v>
      </c>
      <c r="Q926" s="10">
        <v>12</v>
      </c>
      <c r="R926" s="10" t="s">
        <v>27</v>
      </c>
      <c r="S926" s="14" t="str">
        <f t="shared" si="14"/>
        <v>Week 4</v>
      </c>
    </row>
    <row r="927" spans="1:19" x14ac:dyDescent="0.3">
      <c r="A927" s="15" t="s">
        <v>1214</v>
      </c>
      <c r="B927" s="16">
        <v>43092</v>
      </c>
      <c r="C927" s="17" t="s">
        <v>354</v>
      </c>
      <c r="D927" s="17" t="s">
        <v>21</v>
      </c>
      <c r="E927" s="17" t="s">
        <v>115</v>
      </c>
      <c r="F927" s="18">
        <v>5</v>
      </c>
      <c r="G927" s="19">
        <v>194.3</v>
      </c>
      <c r="H927" s="19">
        <v>971.5</v>
      </c>
      <c r="I927" s="20">
        <v>102.979</v>
      </c>
      <c r="J927" s="17" t="s">
        <v>411</v>
      </c>
      <c r="K927" s="17" t="s">
        <v>412</v>
      </c>
      <c r="L927" s="17" t="s">
        <v>56</v>
      </c>
      <c r="M927" s="19">
        <v>514.89499999999998</v>
      </c>
      <c r="N927" s="19">
        <v>456.604999999999</v>
      </c>
      <c r="O927" s="17">
        <v>46.999999999999901</v>
      </c>
      <c r="P927" s="17" t="s">
        <v>26</v>
      </c>
      <c r="Q927" s="17">
        <v>12</v>
      </c>
      <c r="R927" s="17" t="s">
        <v>27</v>
      </c>
      <c r="S927" s="14" t="str">
        <f t="shared" si="14"/>
        <v>Week 4</v>
      </c>
    </row>
    <row r="928" spans="1:19" x14ac:dyDescent="0.3">
      <c r="A928" s="8" t="s">
        <v>1215</v>
      </c>
      <c r="B928" s="9">
        <v>43092</v>
      </c>
      <c r="C928" s="10" t="s">
        <v>594</v>
      </c>
      <c r="D928" s="10" t="s">
        <v>30</v>
      </c>
      <c r="E928" s="10" t="s">
        <v>103</v>
      </c>
      <c r="F928" s="11">
        <v>12</v>
      </c>
      <c r="G928" s="12">
        <v>6545.9</v>
      </c>
      <c r="H928" s="12">
        <v>78550.799999999988</v>
      </c>
      <c r="I928" s="13">
        <v>2749.2779999999998</v>
      </c>
      <c r="J928" s="10" t="s">
        <v>54</v>
      </c>
      <c r="K928" s="10" t="s">
        <v>55</v>
      </c>
      <c r="L928" s="10" t="s">
        <v>56</v>
      </c>
      <c r="M928" s="12">
        <v>32991.336000000003</v>
      </c>
      <c r="N928" s="12">
        <v>45559.464</v>
      </c>
      <c r="O928" s="10">
        <v>57.999999999999901</v>
      </c>
      <c r="P928" s="10" t="s">
        <v>26</v>
      </c>
      <c r="Q928" s="10">
        <v>12</v>
      </c>
      <c r="R928" s="10" t="s">
        <v>27</v>
      </c>
      <c r="S928" s="14" t="str">
        <f t="shared" si="14"/>
        <v>Week 4</v>
      </c>
    </row>
    <row r="929" spans="1:19" x14ac:dyDescent="0.3">
      <c r="A929" s="15" t="s">
        <v>1216</v>
      </c>
      <c r="B929" s="16">
        <v>43092</v>
      </c>
      <c r="C929" s="17" t="s">
        <v>345</v>
      </c>
      <c r="D929" s="17" t="s">
        <v>21</v>
      </c>
      <c r="E929" s="17" t="s">
        <v>37</v>
      </c>
      <c r="F929" s="18">
        <v>11</v>
      </c>
      <c r="G929" s="19">
        <v>1058.5999999999999</v>
      </c>
      <c r="H929" s="19">
        <v>11644.599999999999</v>
      </c>
      <c r="I929" s="20">
        <v>899.81</v>
      </c>
      <c r="J929" s="17" t="s">
        <v>536</v>
      </c>
      <c r="K929" s="17" t="s">
        <v>537</v>
      </c>
      <c r="L929" s="17" t="s">
        <v>25</v>
      </c>
      <c r="M929" s="19">
        <v>9897.91</v>
      </c>
      <c r="N929" s="19">
        <v>1746.69</v>
      </c>
      <c r="O929" s="17">
        <v>15</v>
      </c>
      <c r="P929" s="17" t="s">
        <v>26</v>
      </c>
      <c r="Q929" s="17">
        <v>12</v>
      </c>
      <c r="R929" s="17" t="s">
        <v>27</v>
      </c>
      <c r="S929" s="14" t="str">
        <f t="shared" si="14"/>
        <v>Week 4</v>
      </c>
    </row>
    <row r="930" spans="1:19" x14ac:dyDescent="0.3">
      <c r="A930" s="8" t="s">
        <v>955</v>
      </c>
      <c r="B930" s="9">
        <v>43092</v>
      </c>
      <c r="C930" s="10" t="s">
        <v>138</v>
      </c>
      <c r="D930" s="10" t="s">
        <v>30</v>
      </c>
      <c r="E930" s="10" t="s">
        <v>31</v>
      </c>
      <c r="F930" s="11">
        <v>6</v>
      </c>
      <c r="G930" s="12">
        <v>2010</v>
      </c>
      <c r="H930" s="12">
        <v>12060</v>
      </c>
      <c r="I930" s="13">
        <v>964.8</v>
      </c>
      <c r="J930" s="10" t="s">
        <v>76</v>
      </c>
      <c r="K930" s="10" t="s">
        <v>77</v>
      </c>
      <c r="L930" s="10" t="s">
        <v>56</v>
      </c>
      <c r="M930" s="12">
        <v>5788.7999999999902</v>
      </c>
      <c r="N930" s="12">
        <v>6271.2</v>
      </c>
      <c r="O930" s="10">
        <v>52</v>
      </c>
      <c r="P930" s="10" t="s">
        <v>26</v>
      </c>
      <c r="Q930" s="10">
        <v>12</v>
      </c>
      <c r="R930" s="10" t="s">
        <v>27</v>
      </c>
      <c r="S930" s="14" t="str">
        <f t="shared" si="14"/>
        <v>Week 4</v>
      </c>
    </row>
    <row r="931" spans="1:19" x14ac:dyDescent="0.3">
      <c r="A931" s="15" t="s">
        <v>1217</v>
      </c>
      <c r="B931" s="16">
        <v>43092</v>
      </c>
      <c r="C931" s="17" t="s">
        <v>551</v>
      </c>
      <c r="D931" s="17" t="s">
        <v>30</v>
      </c>
      <c r="E931" s="17" t="s">
        <v>103</v>
      </c>
      <c r="F931" s="18">
        <v>10</v>
      </c>
      <c r="G931" s="19">
        <v>1721.9</v>
      </c>
      <c r="H931" s="19">
        <v>17219</v>
      </c>
      <c r="I931" s="20">
        <v>774.85500000000002</v>
      </c>
      <c r="J931" s="17" t="s">
        <v>23</v>
      </c>
      <c r="K931" s="17" t="s">
        <v>24</v>
      </c>
      <c r="L931" s="17" t="s">
        <v>25</v>
      </c>
      <c r="M931" s="19">
        <v>7748.55</v>
      </c>
      <c r="N931" s="19">
        <v>9470.4500000000007</v>
      </c>
      <c r="O931" s="17">
        <v>55</v>
      </c>
      <c r="P931" s="17" t="s">
        <v>26</v>
      </c>
      <c r="Q931" s="17">
        <v>12</v>
      </c>
      <c r="R931" s="17" t="s">
        <v>27</v>
      </c>
      <c r="S931" s="14" t="str">
        <f t="shared" si="14"/>
        <v>Week 4</v>
      </c>
    </row>
    <row r="932" spans="1:19" x14ac:dyDescent="0.3">
      <c r="A932" s="8" t="s">
        <v>366</v>
      </c>
      <c r="B932" s="9">
        <v>43092</v>
      </c>
      <c r="C932" s="10" t="s">
        <v>367</v>
      </c>
      <c r="D932" s="10" t="s">
        <v>21</v>
      </c>
      <c r="E932" s="10" t="s">
        <v>120</v>
      </c>
      <c r="F932" s="11">
        <v>6</v>
      </c>
      <c r="G932" s="12">
        <v>6277.9</v>
      </c>
      <c r="H932" s="12">
        <v>37667.399999999994</v>
      </c>
      <c r="I932" s="13">
        <v>4959.5410000000002</v>
      </c>
      <c r="J932" s="10" t="s">
        <v>32</v>
      </c>
      <c r="K932" s="10" t="s">
        <v>33</v>
      </c>
      <c r="L932" s="10" t="s">
        <v>34</v>
      </c>
      <c r="M932" s="12">
        <v>29757.245999999999</v>
      </c>
      <c r="N932" s="12">
        <v>7910.1539999999904</v>
      </c>
      <c r="O932" s="10">
        <v>20.999999999999901</v>
      </c>
      <c r="P932" s="10" t="s">
        <v>26</v>
      </c>
      <c r="Q932" s="10">
        <v>12</v>
      </c>
      <c r="R932" s="10" t="s">
        <v>27</v>
      </c>
      <c r="S932" s="14" t="str">
        <f t="shared" si="14"/>
        <v>Week 4</v>
      </c>
    </row>
    <row r="933" spans="1:19" x14ac:dyDescent="0.3">
      <c r="A933" s="15" t="s">
        <v>1218</v>
      </c>
      <c r="B933" s="16">
        <v>43092</v>
      </c>
      <c r="C933" s="17" t="s">
        <v>380</v>
      </c>
      <c r="D933" s="17" t="s">
        <v>30</v>
      </c>
      <c r="E933" s="17" t="s">
        <v>31</v>
      </c>
      <c r="F933" s="18">
        <v>10</v>
      </c>
      <c r="G933" s="19">
        <v>1105.5</v>
      </c>
      <c r="H933" s="19">
        <v>11055</v>
      </c>
      <c r="I933" s="20">
        <v>563.80499999999995</v>
      </c>
      <c r="J933" s="17" t="s">
        <v>454</v>
      </c>
      <c r="K933" s="17" t="s">
        <v>455</v>
      </c>
      <c r="L933" s="17" t="s">
        <v>25</v>
      </c>
      <c r="M933" s="19">
        <v>5638.05</v>
      </c>
      <c r="N933" s="19">
        <v>5416.9499999999898</v>
      </c>
      <c r="O933" s="17">
        <v>48.999999999999901</v>
      </c>
      <c r="P933" s="17" t="s">
        <v>26</v>
      </c>
      <c r="Q933" s="17">
        <v>12</v>
      </c>
      <c r="R933" s="17" t="s">
        <v>27</v>
      </c>
      <c r="S933" s="14" t="str">
        <f t="shared" si="14"/>
        <v>Week 4</v>
      </c>
    </row>
    <row r="934" spans="1:19" x14ac:dyDescent="0.3">
      <c r="A934" s="8" t="s">
        <v>1219</v>
      </c>
      <c r="B934" s="9">
        <v>43092</v>
      </c>
      <c r="C934" s="10" t="s">
        <v>529</v>
      </c>
      <c r="D934" s="10" t="s">
        <v>43</v>
      </c>
      <c r="E934" s="10" t="s">
        <v>103</v>
      </c>
      <c r="F934" s="11">
        <v>5</v>
      </c>
      <c r="G934" s="12">
        <v>1232.8</v>
      </c>
      <c r="H934" s="12">
        <v>6164</v>
      </c>
      <c r="I934" s="13">
        <v>653.38400000000001</v>
      </c>
      <c r="J934" s="10" t="s">
        <v>411</v>
      </c>
      <c r="K934" s="10" t="s">
        <v>412</v>
      </c>
      <c r="L934" s="10" t="s">
        <v>56</v>
      </c>
      <c r="M934" s="12">
        <v>3266.92</v>
      </c>
      <c r="N934" s="12">
        <v>2897.08</v>
      </c>
      <c r="O934" s="10">
        <v>47</v>
      </c>
      <c r="P934" s="10" t="s">
        <v>26</v>
      </c>
      <c r="Q934" s="10">
        <v>12</v>
      </c>
      <c r="R934" s="10" t="s">
        <v>27</v>
      </c>
      <c r="S934" s="14" t="str">
        <f t="shared" si="14"/>
        <v>Week 4</v>
      </c>
    </row>
    <row r="935" spans="1:19" x14ac:dyDescent="0.3">
      <c r="A935" s="15" t="s">
        <v>1220</v>
      </c>
      <c r="B935" s="16">
        <v>43092</v>
      </c>
      <c r="C935" s="17" t="s">
        <v>478</v>
      </c>
      <c r="D935" s="17" t="s">
        <v>30</v>
      </c>
      <c r="E935" s="17" t="s">
        <v>91</v>
      </c>
      <c r="F935" s="18">
        <v>7</v>
      </c>
      <c r="G935" s="19">
        <v>844.2</v>
      </c>
      <c r="H935" s="19">
        <v>5909.4000000000005</v>
      </c>
      <c r="I935" s="20">
        <v>354.56400000000002</v>
      </c>
      <c r="J935" s="17" t="s">
        <v>177</v>
      </c>
      <c r="K935" s="17" t="s">
        <v>178</v>
      </c>
      <c r="L935" s="17" t="s">
        <v>40</v>
      </c>
      <c r="M935" s="19">
        <v>2481.9479999999999</v>
      </c>
      <c r="N935" s="19">
        <v>3427.4520000000002</v>
      </c>
      <c r="O935" s="17">
        <v>57.999999999999901</v>
      </c>
      <c r="P935" s="17" t="s">
        <v>26</v>
      </c>
      <c r="Q935" s="17">
        <v>12</v>
      </c>
      <c r="R935" s="17" t="s">
        <v>27</v>
      </c>
      <c r="S935" s="14" t="str">
        <f t="shared" si="14"/>
        <v>Week 4</v>
      </c>
    </row>
    <row r="936" spans="1:19" x14ac:dyDescent="0.3">
      <c r="A936" s="8" t="s">
        <v>1221</v>
      </c>
      <c r="B936" s="9">
        <v>43092</v>
      </c>
      <c r="C936" s="10" t="s">
        <v>591</v>
      </c>
      <c r="D936" s="10" t="s">
        <v>43</v>
      </c>
      <c r="E936" s="10" t="s">
        <v>149</v>
      </c>
      <c r="F936" s="11">
        <v>5</v>
      </c>
      <c r="G936" s="12">
        <v>2599.6</v>
      </c>
      <c r="H936" s="12">
        <v>12998</v>
      </c>
      <c r="I936" s="13">
        <v>1039.8399999999999</v>
      </c>
      <c r="J936" s="10" t="s">
        <v>32</v>
      </c>
      <c r="K936" s="10" t="s">
        <v>33</v>
      </c>
      <c r="L936" s="10" t="s">
        <v>34</v>
      </c>
      <c r="M936" s="12">
        <v>5199.2</v>
      </c>
      <c r="N936" s="12">
        <v>7798.8</v>
      </c>
      <c r="O936" s="10">
        <v>60</v>
      </c>
      <c r="P936" s="10" t="s">
        <v>26</v>
      </c>
      <c r="Q936" s="10">
        <v>12</v>
      </c>
      <c r="R936" s="10" t="s">
        <v>27</v>
      </c>
      <c r="S936" s="14" t="str">
        <f t="shared" si="14"/>
        <v>Week 4</v>
      </c>
    </row>
    <row r="937" spans="1:19" x14ac:dyDescent="0.3">
      <c r="A937" s="15" t="s">
        <v>1222</v>
      </c>
      <c r="B937" s="16">
        <v>43092</v>
      </c>
      <c r="C937" s="17" t="s">
        <v>414</v>
      </c>
      <c r="D937" s="17" t="s">
        <v>21</v>
      </c>
      <c r="E937" s="17" t="s">
        <v>115</v>
      </c>
      <c r="F937" s="18">
        <v>7</v>
      </c>
      <c r="G937" s="19">
        <v>1065.3</v>
      </c>
      <c r="H937" s="19">
        <v>7457.0999999999995</v>
      </c>
      <c r="I937" s="20">
        <v>767.01599999999996</v>
      </c>
      <c r="J937" s="17" t="s">
        <v>54</v>
      </c>
      <c r="K937" s="17" t="s">
        <v>55</v>
      </c>
      <c r="L937" s="17" t="s">
        <v>56</v>
      </c>
      <c r="M937" s="19">
        <v>5369.1120000000001</v>
      </c>
      <c r="N937" s="19">
        <v>2087.9879999999898</v>
      </c>
      <c r="O937" s="17">
        <v>27.999999999999901</v>
      </c>
      <c r="P937" s="17" t="s">
        <v>26</v>
      </c>
      <c r="Q937" s="17">
        <v>12</v>
      </c>
      <c r="R937" s="17" t="s">
        <v>27</v>
      </c>
      <c r="S937" s="14" t="str">
        <f t="shared" si="14"/>
        <v>Week 4</v>
      </c>
    </row>
    <row r="938" spans="1:19" x14ac:dyDescent="0.3">
      <c r="A938" s="8" t="s">
        <v>1223</v>
      </c>
      <c r="B938" s="9">
        <v>43092</v>
      </c>
      <c r="C938" s="10" t="s">
        <v>251</v>
      </c>
      <c r="D938" s="10" t="s">
        <v>43</v>
      </c>
      <c r="E938" s="10" t="s">
        <v>115</v>
      </c>
      <c r="F938" s="11">
        <v>12</v>
      </c>
      <c r="G938" s="12">
        <v>1092.0999999999999</v>
      </c>
      <c r="H938" s="12">
        <v>13105.199999999999</v>
      </c>
      <c r="I938" s="13">
        <v>655.26</v>
      </c>
      <c r="J938" s="10" t="s">
        <v>218</v>
      </c>
      <c r="K938" s="10" t="s">
        <v>219</v>
      </c>
      <c r="L938" s="10" t="s">
        <v>34</v>
      </c>
      <c r="M938" s="12">
        <v>7863.12</v>
      </c>
      <c r="N938" s="12">
        <v>5242.08</v>
      </c>
      <c r="O938" s="10">
        <v>40</v>
      </c>
      <c r="P938" s="10" t="s">
        <v>26</v>
      </c>
      <c r="Q938" s="10">
        <v>12</v>
      </c>
      <c r="R938" s="10" t="s">
        <v>27</v>
      </c>
      <c r="S938" s="14" t="str">
        <f t="shared" si="14"/>
        <v>Week 4</v>
      </c>
    </row>
    <row r="939" spans="1:19" x14ac:dyDescent="0.3">
      <c r="A939" s="15" t="s">
        <v>1224</v>
      </c>
      <c r="B939" s="16">
        <v>43092</v>
      </c>
      <c r="C939" s="17" t="s">
        <v>509</v>
      </c>
      <c r="D939" s="17" t="s">
        <v>43</v>
      </c>
      <c r="E939" s="17" t="s">
        <v>44</v>
      </c>
      <c r="F939" s="18">
        <v>9</v>
      </c>
      <c r="G939" s="19">
        <v>964.8</v>
      </c>
      <c r="H939" s="19">
        <v>8683.1999999999989</v>
      </c>
      <c r="I939" s="20">
        <v>520.99199999999996</v>
      </c>
      <c r="J939" s="17" t="s">
        <v>94</v>
      </c>
      <c r="K939" s="17" t="s">
        <v>95</v>
      </c>
      <c r="L939" s="17" t="s">
        <v>40</v>
      </c>
      <c r="M939" s="19">
        <v>4688.9279999999999</v>
      </c>
      <c r="N939" s="19">
        <v>3994.2719999999999</v>
      </c>
      <c r="O939" s="17">
        <v>46</v>
      </c>
      <c r="P939" s="17" t="s">
        <v>26</v>
      </c>
      <c r="Q939" s="17">
        <v>12</v>
      </c>
      <c r="R939" s="17" t="s">
        <v>27</v>
      </c>
      <c r="S939" s="14" t="str">
        <f t="shared" si="14"/>
        <v>Week 4</v>
      </c>
    </row>
    <row r="940" spans="1:19" x14ac:dyDescent="0.3">
      <c r="A940" s="8" t="s">
        <v>1225</v>
      </c>
      <c r="B940" s="9">
        <v>43092</v>
      </c>
      <c r="C940" s="10" t="s">
        <v>112</v>
      </c>
      <c r="D940" s="10" t="s">
        <v>30</v>
      </c>
      <c r="E940" s="10" t="s">
        <v>73</v>
      </c>
      <c r="F940" s="11">
        <v>12</v>
      </c>
      <c r="G940" s="12">
        <v>234.5</v>
      </c>
      <c r="H940" s="12">
        <v>2814</v>
      </c>
      <c r="I940" s="13">
        <v>126.63</v>
      </c>
      <c r="J940" s="10" t="s">
        <v>1226</v>
      </c>
      <c r="K940" s="10" t="s">
        <v>1227</v>
      </c>
      <c r="L940" s="10" t="s">
        <v>25</v>
      </c>
      <c r="M940" s="12">
        <v>1519.56</v>
      </c>
      <c r="N940" s="12">
        <v>1294.4399999999901</v>
      </c>
      <c r="O940" s="10">
        <v>46</v>
      </c>
      <c r="P940" s="10" t="s">
        <v>26</v>
      </c>
      <c r="Q940" s="10">
        <v>12</v>
      </c>
      <c r="R940" s="10" t="s">
        <v>27</v>
      </c>
      <c r="S940" s="14" t="str">
        <f t="shared" si="14"/>
        <v>Week 4</v>
      </c>
    </row>
    <row r="941" spans="1:19" x14ac:dyDescent="0.3">
      <c r="A941" s="15" t="s">
        <v>1228</v>
      </c>
      <c r="B941" s="16">
        <v>43092</v>
      </c>
      <c r="C941" s="17" t="s">
        <v>354</v>
      </c>
      <c r="D941" s="17" t="s">
        <v>21</v>
      </c>
      <c r="E941" s="17" t="s">
        <v>103</v>
      </c>
      <c r="F941" s="18">
        <v>8</v>
      </c>
      <c r="G941" s="19">
        <v>3899.4</v>
      </c>
      <c r="H941" s="19">
        <v>31195.200000000001</v>
      </c>
      <c r="I941" s="20">
        <v>2573.6039999999998</v>
      </c>
      <c r="J941" s="17" t="s">
        <v>1229</v>
      </c>
      <c r="K941" s="17" t="s">
        <v>1230</v>
      </c>
      <c r="L941" s="17" t="s">
        <v>56</v>
      </c>
      <c r="M941" s="19">
        <v>20588.831999999999</v>
      </c>
      <c r="N941" s="19">
        <v>10606.3679999999</v>
      </c>
      <c r="O941" s="17">
        <v>34</v>
      </c>
      <c r="P941" s="17" t="s">
        <v>26</v>
      </c>
      <c r="Q941" s="17">
        <v>12</v>
      </c>
      <c r="R941" s="17" t="s">
        <v>27</v>
      </c>
      <c r="S941" s="14" t="str">
        <f t="shared" si="14"/>
        <v>Week 4</v>
      </c>
    </row>
    <row r="942" spans="1:19" x14ac:dyDescent="0.3">
      <c r="A942" s="8" t="s">
        <v>1231</v>
      </c>
      <c r="B942" s="9">
        <v>43092</v>
      </c>
      <c r="C942" s="10" t="s">
        <v>119</v>
      </c>
      <c r="D942" s="10" t="s">
        <v>21</v>
      </c>
      <c r="E942" s="10" t="s">
        <v>127</v>
      </c>
      <c r="F942" s="11">
        <v>7</v>
      </c>
      <c r="G942" s="12">
        <v>5540.9</v>
      </c>
      <c r="H942" s="12">
        <v>38786.299999999996</v>
      </c>
      <c r="I942" s="13">
        <v>2437.9960000000001</v>
      </c>
      <c r="J942" s="10" t="s">
        <v>69</v>
      </c>
      <c r="K942" s="10" t="s">
        <v>70</v>
      </c>
      <c r="L942" s="10" t="s">
        <v>25</v>
      </c>
      <c r="M942" s="12">
        <v>17065.972000000002</v>
      </c>
      <c r="N942" s="12">
        <v>21720.328000000001</v>
      </c>
      <c r="O942" s="10">
        <v>55.999999999999901</v>
      </c>
      <c r="P942" s="10" t="s">
        <v>26</v>
      </c>
      <c r="Q942" s="10">
        <v>12</v>
      </c>
      <c r="R942" s="10" t="s">
        <v>27</v>
      </c>
      <c r="S942" s="14" t="str">
        <f t="shared" si="14"/>
        <v>Week 4</v>
      </c>
    </row>
    <row r="943" spans="1:19" x14ac:dyDescent="0.3">
      <c r="A943" s="15" t="s">
        <v>1232</v>
      </c>
      <c r="B943" s="16">
        <v>43093</v>
      </c>
      <c r="C943" s="17" t="s">
        <v>304</v>
      </c>
      <c r="D943" s="17" t="s">
        <v>30</v>
      </c>
      <c r="E943" s="17" t="s">
        <v>284</v>
      </c>
      <c r="F943" s="18">
        <v>8</v>
      </c>
      <c r="G943" s="19">
        <v>2653.2</v>
      </c>
      <c r="H943" s="19">
        <v>21225.599999999999</v>
      </c>
      <c r="I943" s="20">
        <v>1857.24</v>
      </c>
      <c r="J943" s="17" t="s">
        <v>132</v>
      </c>
      <c r="K943" s="17" t="s">
        <v>133</v>
      </c>
      <c r="L943" s="17" t="s">
        <v>34</v>
      </c>
      <c r="M943" s="19">
        <v>14857.92</v>
      </c>
      <c r="N943" s="19">
        <v>6367.68</v>
      </c>
      <c r="O943" s="17">
        <v>30</v>
      </c>
      <c r="P943" s="17" t="s">
        <v>26</v>
      </c>
      <c r="Q943" s="17">
        <v>12</v>
      </c>
      <c r="R943" s="17" t="s">
        <v>27</v>
      </c>
      <c r="S943" s="14" t="str">
        <f t="shared" si="14"/>
        <v>Week 4</v>
      </c>
    </row>
    <row r="944" spans="1:19" x14ac:dyDescent="0.3">
      <c r="A944" s="8" t="s">
        <v>1233</v>
      </c>
      <c r="B944" s="9">
        <v>43093</v>
      </c>
      <c r="C944" s="10" t="s">
        <v>369</v>
      </c>
      <c r="D944" s="10" t="s">
        <v>30</v>
      </c>
      <c r="E944" s="10" t="s">
        <v>191</v>
      </c>
      <c r="F944" s="11">
        <v>6</v>
      </c>
      <c r="G944" s="12">
        <v>2485.6999999999998</v>
      </c>
      <c r="H944" s="12">
        <v>14914.199999999999</v>
      </c>
      <c r="I944" s="13">
        <v>1292.5640000000001</v>
      </c>
      <c r="J944" s="10" t="s">
        <v>23</v>
      </c>
      <c r="K944" s="10" t="s">
        <v>24</v>
      </c>
      <c r="L944" s="10" t="s">
        <v>25</v>
      </c>
      <c r="M944" s="12">
        <v>7755.384</v>
      </c>
      <c r="N944" s="12">
        <v>7158.8159999999998</v>
      </c>
      <c r="O944" s="10">
        <v>48</v>
      </c>
      <c r="P944" s="10" t="s">
        <v>26</v>
      </c>
      <c r="Q944" s="10">
        <v>12</v>
      </c>
      <c r="R944" s="10" t="s">
        <v>27</v>
      </c>
      <c r="S944" s="14" t="str">
        <f t="shared" si="14"/>
        <v>Week 4</v>
      </c>
    </row>
    <row r="945" spans="1:19" x14ac:dyDescent="0.3">
      <c r="A945" s="15" t="s">
        <v>1234</v>
      </c>
      <c r="B945" s="16">
        <v>43093</v>
      </c>
      <c r="C945" s="17" t="s">
        <v>718</v>
      </c>
      <c r="D945" s="17" t="s">
        <v>21</v>
      </c>
      <c r="E945" s="17" t="s">
        <v>146</v>
      </c>
      <c r="F945" s="18">
        <v>7</v>
      </c>
      <c r="G945" s="19">
        <v>227.8</v>
      </c>
      <c r="H945" s="19">
        <v>1594.6000000000001</v>
      </c>
      <c r="I945" s="20">
        <v>175.40600000000001</v>
      </c>
      <c r="J945" s="17" t="s">
        <v>393</v>
      </c>
      <c r="K945" s="17" t="s">
        <v>394</v>
      </c>
      <c r="L945" s="17" t="s">
        <v>56</v>
      </c>
      <c r="M945" s="19">
        <v>1227.8420000000001</v>
      </c>
      <c r="N945" s="19">
        <v>366.75799999999998</v>
      </c>
      <c r="O945" s="17">
        <v>23</v>
      </c>
      <c r="P945" s="17" t="s">
        <v>26</v>
      </c>
      <c r="Q945" s="17">
        <v>12</v>
      </c>
      <c r="R945" s="17" t="s">
        <v>27</v>
      </c>
      <c r="S945" s="14" t="str">
        <f t="shared" si="14"/>
        <v>Week 4</v>
      </c>
    </row>
    <row r="946" spans="1:19" x14ac:dyDescent="0.3">
      <c r="A946" s="8" t="s">
        <v>1235</v>
      </c>
      <c r="B946" s="9">
        <v>43093</v>
      </c>
      <c r="C946" s="10" t="s">
        <v>474</v>
      </c>
      <c r="D946" s="10" t="s">
        <v>30</v>
      </c>
      <c r="E946" s="10" t="s">
        <v>93</v>
      </c>
      <c r="F946" s="11">
        <v>7</v>
      </c>
      <c r="G946" s="12">
        <v>2566.1</v>
      </c>
      <c r="H946" s="12">
        <v>17962.7</v>
      </c>
      <c r="I946" s="13">
        <v>1103.423</v>
      </c>
      <c r="J946" s="10" t="s">
        <v>94</v>
      </c>
      <c r="K946" s="10" t="s">
        <v>95</v>
      </c>
      <c r="L946" s="10" t="s">
        <v>40</v>
      </c>
      <c r="M946" s="12">
        <v>7723.9610000000002</v>
      </c>
      <c r="N946" s="12">
        <v>10238.739</v>
      </c>
      <c r="O946" s="10">
        <v>57</v>
      </c>
      <c r="P946" s="10" t="s">
        <v>26</v>
      </c>
      <c r="Q946" s="10">
        <v>12</v>
      </c>
      <c r="R946" s="10" t="s">
        <v>27</v>
      </c>
      <c r="S946" s="14" t="str">
        <f t="shared" si="14"/>
        <v>Week 4</v>
      </c>
    </row>
    <row r="947" spans="1:19" x14ac:dyDescent="0.3">
      <c r="A947" s="15" t="s">
        <v>1236</v>
      </c>
      <c r="B947" s="16">
        <v>43093</v>
      </c>
      <c r="C947" s="17" t="s">
        <v>435</v>
      </c>
      <c r="D947" s="17" t="s">
        <v>21</v>
      </c>
      <c r="E947" s="17" t="s">
        <v>167</v>
      </c>
      <c r="F947" s="18">
        <v>10</v>
      </c>
      <c r="G947" s="19">
        <v>984.9</v>
      </c>
      <c r="H947" s="19">
        <v>9849</v>
      </c>
      <c r="I947" s="20">
        <v>778.07100000000003</v>
      </c>
      <c r="J947" s="17" t="s">
        <v>45</v>
      </c>
      <c r="K947" s="17" t="s">
        <v>46</v>
      </c>
      <c r="L947" s="17" t="s">
        <v>34</v>
      </c>
      <c r="M947" s="19">
        <v>7780.71</v>
      </c>
      <c r="N947" s="19">
        <v>2068.29</v>
      </c>
      <c r="O947" s="17">
        <v>21</v>
      </c>
      <c r="P947" s="17" t="s">
        <v>26</v>
      </c>
      <c r="Q947" s="17">
        <v>12</v>
      </c>
      <c r="R947" s="17" t="s">
        <v>27</v>
      </c>
      <c r="S947" s="14" t="str">
        <f t="shared" si="14"/>
        <v>Week 4</v>
      </c>
    </row>
    <row r="948" spans="1:19" x14ac:dyDescent="0.3">
      <c r="A948" s="8" t="s">
        <v>1237</v>
      </c>
      <c r="B948" s="9">
        <v>43093</v>
      </c>
      <c r="C948" s="10" t="s">
        <v>126</v>
      </c>
      <c r="D948" s="10" t="s">
        <v>21</v>
      </c>
      <c r="E948" s="10" t="s">
        <v>91</v>
      </c>
      <c r="F948" s="11">
        <v>11</v>
      </c>
      <c r="G948" s="12">
        <v>5058.5</v>
      </c>
      <c r="H948" s="12">
        <v>55643.5</v>
      </c>
      <c r="I948" s="13">
        <v>3591.5349999999999</v>
      </c>
      <c r="J948" s="10" t="s">
        <v>104</v>
      </c>
      <c r="K948" s="10" t="s">
        <v>105</v>
      </c>
      <c r="L948" s="10" t="s">
        <v>25</v>
      </c>
      <c r="M948" s="12">
        <v>39506.8849999999</v>
      </c>
      <c r="N948" s="12">
        <v>16136.615</v>
      </c>
      <c r="O948" s="10">
        <v>29</v>
      </c>
      <c r="P948" s="10" t="s">
        <v>26</v>
      </c>
      <c r="Q948" s="10">
        <v>12</v>
      </c>
      <c r="R948" s="10" t="s">
        <v>27</v>
      </c>
      <c r="S948" s="14" t="str">
        <f t="shared" si="14"/>
        <v>Week 4</v>
      </c>
    </row>
    <row r="949" spans="1:19" x14ac:dyDescent="0.3">
      <c r="A949" s="15" t="s">
        <v>1238</v>
      </c>
      <c r="B949" s="16">
        <v>43093</v>
      </c>
      <c r="C949" s="17" t="s">
        <v>356</v>
      </c>
      <c r="D949" s="17" t="s">
        <v>21</v>
      </c>
      <c r="E949" s="17" t="s">
        <v>31</v>
      </c>
      <c r="F949" s="18">
        <v>8</v>
      </c>
      <c r="G949" s="19">
        <v>221.1</v>
      </c>
      <c r="H949" s="19">
        <v>1768.8</v>
      </c>
      <c r="I949" s="20">
        <v>181.30199999999999</v>
      </c>
      <c r="J949" s="17" t="s">
        <v>23</v>
      </c>
      <c r="K949" s="17" t="s">
        <v>24</v>
      </c>
      <c r="L949" s="17" t="s">
        <v>25</v>
      </c>
      <c r="M949" s="19">
        <v>1450.4159999999999</v>
      </c>
      <c r="N949" s="19">
        <v>318.38400000000001</v>
      </c>
      <c r="O949" s="17">
        <v>18</v>
      </c>
      <c r="P949" s="17" t="s">
        <v>26</v>
      </c>
      <c r="Q949" s="17">
        <v>12</v>
      </c>
      <c r="R949" s="17" t="s">
        <v>27</v>
      </c>
      <c r="S949" s="14" t="str">
        <f t="shared" si="14"/>
        <v>Week 4</v>
      </c>
    </row>
    <row r="950" spans="1:19" x14ac:dyDescent="0.3">
      <c r="A950" s="8" t="s">
        <v>1239</v>
      </c>
      <c r="B950" s="9">
        <v>43093</v>
      </c>
      <c r="C950" s="10" t="s">
        <v>703</v>
      </c>
      <c r="D950" s="10" t="s">
        <v>21</v>
      </c>
      <c r="E950" s="10" t="s">
        <v>49</v>
      </c>
      <c r="F950" s="11">
        <v>11</v>
      </c>
      <c r="G950" s="12">
        <v>3242.8</v>
      </c>
      <c r="H950" s="12">
        <v>35670.800000000003</v>
      </c>
      <c r="I950" s="13">
        <v>2594.2399999999998</v>
      </c>
      <c r="J950" s="10" t="s">
        <v>54</v>
      </c>
      <c r="K950" s="10" t="s">
        <v>55</v>
      </c>
      <c r="L950" s="10" t="s">
        <v>56</v>
      </c>
      <c r="M950" s="12">
        <v>28536.639999999999</v>
      </c>
      <c r="N950" s="12">
        <v>7134.16</v>
      </c>
      <c r="O950" s="10">
        <v>20</v>
      </c>
      <c r="P950" s="10" t="s">
        <v>26</v>
      </c>
      <c r="Q950" s="10">
        <v>12</v>
      </c>
      <c r="R950" s="10" t="s">
        <v>27</v>
      </c>
      <c r="S950" s="14" t="str">
        <f t="shared" si="14"/>
        <v>Week 4</v>
      </c>
    </row>
    <row r="951" spans="1:19" x14ac:dyDescent="0.3">
      <c r="A951" s="15" t="s">
        <v>1240</v>
      </c>
      <c r="B951" s="16">
        <v>43093</v>
      </c>
      <c r="C951" s="17" t="s">
        <v>207</v>
      </c>
      <c r="D951" s="17" t="s">
        <v>21</v>
      </c>
      <c r="E951" s="17" t="s">
        <v>91</v>
      </c>
      <c r="F951" s="18">
        <v>9</v>
      </c>
      <c r="G951" s="19">
        <v>2793.9</v>
      </c>
      <c r="H951" s="19">
        <v>25145.100000000002</v>
      </c>
      <c r="I951" s="20">
        <v>1201.377</v>
      </c>
      <c r="J951" s="17" t="s">
        <v>54</v>
      </c>
      <c r="K951" s="17" t="s">
        <v>55</v>
      </c>
      <c r="L951" s="17" t="s">
        <v>56</v>
      </c>
      <c r="M951" s="19">
        <v>10812.393</v>
      </c>
      <c r="N951" s="19">
        <v>14332.707</v>
      </c>
      <c r="O951" s="17">
        <v>57</v>
      </c>
      <c r="P951" s="17" t="s">
        <v>26</v>
      </c>
      <c r="Q951" s="17">
        <v>12</v>
      </c>
      <c r="R951" s="17" t="s">
        <v>27</v>
      </c>
      <c r="S951" s="14" t="str">
        <f t="shared" si="14"/>
        <v>Week 4</v>
      </c>
    </row>
    <row r="952" spans="1:19" x14ac:dyDescent="0.3">
      <c r="A952" s="8" t="s">
        <v>1241</v>
      </c>
      <c r="B952" s="9">
        <v>43093</v>
      </c>
      <c r="C952" s="10" t="s">
        <v>754</v>
      </c>
      <c r="D952" s="10" t="s">
        <v>30</v>
      </c>
      <c r="E952" s="10" t="s">
        <v>146</v>
      </c>
      <c r="F952" s="11">
        <v>5</v>
      </c>
      <c r="G952" s="12">
        <v>3986.5</v>
      </c>
      <c r="H952" s="12">
        <v>19932.5</v>
      </c>
      <c r="I952" s="13">
        <v>3149.335</v>
      </c>
      <c r="J952" s="10" t="s">
        <v>94</v>
      </c>
      <c r="K952" s="10" t="s">
        <v>95</v>
      </c>
      <c r="L952" s="10" t="s">
        <v>40</v>
      </c>
      <c r="M952" s="12">
        <v>15746.674999999999</v>
      </c>
      <c r="N952" s="12">
        <v>4185.8249999999998</v>
      </c>
      <c r="O952" s="10">
        <v>21</v>
      </c>
      <c r="P952" s="10" t="s">
        <v>26</v>
      </c>
      <c r="Q952" s="10">
        <v>12</v>
      </c>
      <c r="R952" s="10" t="s">
        <v>27</v>
      </c>
      <c r="S952" s="14" t="str">
        <f t="shared" si="14"/>
        <v>Week 4</v>
      </c>
    </row>
    <row r="953" spans="1:19" x14ac:dyDescent="0.3">
      <c r="A953" s="15" t="s">
        <v>1242</v>
      </c>
      <c r="B953" s="16">
        <v>43093</v>
      </c>
      <c r="C953" s="17" t="s">
        <v>1128</v>
      </c>
      <c r="D953" s="17" t="s">
        <v>30</v>
      </c>
      <c r="E953" s="17" t="s">
        <v>80</v>
      </c>
      <c r="F953" s="18">
        <v>10</v>
      </c>
      <c r="G953" s="19">
        <v>1902.8</v>
      </c>
      <c r="H953" s="19">
        <v>19028</v>
      </c>
      <c r="I953" s="20">
        <v>1046.54</v>
      </c>
      <c r="J953" s="17" t="s">
        <v>159</v>
      </c>
      <c r="K953" s="17" t="s">
        <v>160</v>
      </c>
      <c r="L953" s="17" t="s">
        <v>25</v>
      </c>
      <c r="M953" s="19">
        <v>10465.4</v>
      </c>
      <c r="N953" s="19">
        <v>8562.6</v>
      </c>
      <c r="O953" s="17">
        <v>45</v>
      </c>
      <c r="P953" s="17" t="s">
        <v>26</v>
      </c>
      <c r="Q953" s="17">
        <v>12</v>
      </c>
      <c r="R953" s="17" t="s">
        <v>27</v>
      </c>
      <c r="S953" s="14" t="str">
        <f t="shared" si="14"/>
        <v>Week 4</v>
      </c>
    </row>
    <row r="954" spans="1:19" x14ac:dyDescent="0.3">
      <c r="A954" s="8" t="s">
        <v>1243</v>
      </c>
      <c r="B954" s="9">
        <v>43093</v>
      </c>
      <c r="C954" s="10" t="s">
        <v>138</v>
      </c>
      <c r="D954" s="10" t="s">
        <v>21</v>
      </c>
      <c r="E954" s="10" t="s">
        <v>31</v>
      </c>
      <c r="F954" s="11">
        <v>11</v>
      </c>
      <c r="G954" s="12">
        <v>1172.5</v>
      </c>
      <c r="H954" s="12">
        <v>12897.5</v>
      </c>
      <c r="I954" s="13">
        <v>492.45</v>
      </c>
      <c r="J954" s="10" t="s">
        <v>63</v>
      </c>
      <c r="K954" s="10" t="s">
        <v>64</v>
      </c>
      <c r="L954" s="10" t="s">
        <v>34</v>
      </c>
      <c r="M954" s="12">
        <v>5416.95</v>
      </c>
      <c r="N954" s="12">
        <v>7480.55</v>
      </c>
      <c r="O954" s="10">
        <v>57.999999999999901</v>
      </c>
      <c r="P954" s="10" t="s">
        <v>26</v>
      </c>
      <c r="Q954" s="10">
        <v>12</v>
      </c>
      <c r="R954" s="10" t="s">
        <v>27</v>
      </c>
      <c r="S954" s="14" t="str">
        <f t="shared" si="14"/>
        <v>Week 4</v>
      </c>
    </row>
    <row r="955" spans="1:19" x14ac:dyDescent="0.3">
      <c r="A955" s="15" t="s">
        <v>1244</v>
      </c>
      <c r="B955" s="16">
        <v>43093</v>
      </c>
      <c r="C955" s="17" t="s">
        <v>864</v>
      </c>
      <c r="D955" s="17" t="s">
        <v>21</v>
      </c>
      <c r="E955" s="17" t="s">
        <v>103</v>
      </c>
      <c r="F955" s="18">
        <v>8</v>
      </c>
      <c r="G955" s="19">
        <v>1045.2</v>
      </c>
      <c r="H955" s="19">
        <v>8361.6</v>
      </c>
      <c r="I955" s="20">
        <v>742.09199999999998</v>
      </c>
      <c r="J955" s="17" t="s">
        <v>32</v>
      </c>
      <c r="K955" s="17" t="s">
        <v>33</v>
      </c>
      <c r="L955" s="17" t="s">
        <v>34</v>
      </c>
      <c r="M955" s="19">
        <v>5936.7359999999999</v>
      </c>
      <c r="N955" s="19">
        <v>2424.864</v>
      </c>
      <c r="O955" s="17">
        <v>29</v>
      </c>
      <c r="P955" s="17" t="s">
        <v>26</v>
      </c>
      <c r="Q955" s="17">
        <v>12</v>
      </c>
      <c r="R955" s="17" t="s">
        <v>27</v>
      </c>
      <c r="S955" s="14" t="str">
        <f t="shared" si="14"/>
        <v>Week 4</v>
      </c>
    </row>
    <row r="956" spans="1:19" x14ac:dyDescent="0.3">
      <c r="A956" s="8" t="s">
        <v>1245</v>
      </c>
      <c r="B956" s="9">
        <v>43093</v>
      </c>
      <c r="C956" s="10" t="s">
        <v>754</v>
      </c>
      <c r="D956" s="10" t="s">
        <v>30</v>
      </c>
      <c r="E956" s="10" t="s">
        <v>31</v>
      </c>
      <c r="F956" s="11">
        <v>10</v>
      </c>
      <c r="G956" s="12">
        <v>241.2</v>
      </c>
      <c r="H956" s="12">
        <v>2412</v>
      </c>
      <c r="I956" s="13">
        <v>154.36799999999999</v>
      </c>
      <c r="J956" s="10" t="s">
        <v>177</v>
      </c>
      <c r="K956" s="10" t="s">
        <v>178</v>
      </c>
      <c r="L956" s="10" t="s">
        <v>40</v>
      </c>
      <c r="M956" s="12">
        <v>1543.68</v>
      </c>
      <c r="N956" s="12">
        <v>868.31999999999903</v>
      </c>
      <c r="O956" s="10">
        <v>35.999999999999901</v>
      </c>
      <c r="P956" s="10" t="s">
        <v>26</v>
      </c>
      <c r="Q956" s="10">
        <v>12</v>
      </c>
      <c r="R956" s="10" t="s">
        <v>27</v>
      </c>
      <c r="S956" s="14" t="str">
        <f t="shared" si="14"/>
        <v>Week 4</v>
      </c>
    </row>
    <row r="957" spans="1:19" x14ac:dyDescent="0.3">
      <c r="A957" s="15" t="s">
        <v>565</v>
      </c>
      <c r="B957" s="16">
        <v>43093</v>
      </c>
      <c r="C957" s="17" t="s">
        <v>347</v>
      </c>
      <c r="D957" s="17" t="s">
        <v>43</v>
      </c>
      <c r="E957" s="17" t="s">
        <v>191</v>
      </c>
      <c r="F957" s="18">
        <v>7</v>
      </c>
      <c r="G957" s="19">
        <v>1072</v>
      </c>
      <c r="H957" s="19">
        <v>7504</v>
      </c>
      <c r="I957" s="20">
        <v>836.16</v>
      </c>
      <c r="J957" s="17" t="s">
        <v>32</v>
      </c>
      <c r="K957" s="17" t="s">
        <v>33</v>
      </c>
      <c r="L957" s="17" t="s">
        <v>34</v>
      </c>
      <c r="M957" s="19">
        <v>5853.12</v>
      </c>
      <c r="N957" s="19">
        <v>1650.8799999999901</v>
      </c>
      <c r="O957" s="17">
        <v>21.999999999999901</v>
      </c>
      <c r="P957" s="17" t="s">
        <v>26</v>
      </c>
      <c r="Q957" s="17">
        <v>12</v>
      </c>
      <c r="R957" s="17" t="s">
        <v>27</v>
      </c>
      <c r="S957" s="14" t="str">
        <f t="shared" si="14"/>
        <v>Week 4</v>
      </c>
    </row>
    <row r="958" spans="1:19" x14ac:dyDescent="0.3">
      <c r="A958" s="8" t="s">
        <v>334</v>
      </c>
      <c r="B958" s="9">
        <v>43093</v>
      </c>
      <c r="C958" s="10" t="s">
        <v>335</v>
      </c>
      <c r="D958" s="10" t="s">
        <v>30</v>
      </c>
      <c r="E958" s="10" t="s">
        <v>59</v>
      </c>
      <c r="F958" s="11">
        <v>12</v>
      </c>
      <c r="G958" s="12">
        <v>1098.8</v>
      </c>
      <c r="H958" s="12">
        <v>13185.599999999999</v>
      </c>
      <c r="I958" s="13">
        <v>681.25599999999997</v>
      </c>
      <c r="J958" s="10" t="s">
        <v>32</v>
      </c>
      <c r="K958" s="10" t="s">
        <v>33</v>
      </c>
      <c r="L958" s="10" t="s">
        <v>34</v>
      </c>
      <c r="M958" s="12">
        <v>8175.0720000000001</v>
      </c>
      <c r="N958" s="12">
        <v>5010.5279999999902</v>
      </c>
      <c r="O958" s="10">
        <v>37.999999999999901</v>
      </c>
      <c r="P958" s="10" t="s">
        <v>26</v>
      </c>
      <c r="Q958" s="10">
        <v>12</v>
      </c>
      <c r="R958" s="10" t="s">
        <v>27</v>
      </c>
      <c r="S958" s="14" t="str">
        <f t="shared" si="14"/>
        <v>Week 4</v>
      </c>
    </row>
    <row r="959" spans="1:19" x14ac:dyDescent="0.3">
      <c r="A959" s="15" t="s">
        <v>489</v>
      </c>
      <c r="B959" s="16">
        <v>43093</v>
      </c>
      <c r="C959" s="17" t="s">
        <v>299</v>
      </c>
      <c r="D959" s="17" t="s">
        <v>21</v>
      </c>
      <c r="E959" s="17" t="s">
        <v>228</v>
      </c>
      <c r="F959" s="18">
        <v>9</v>
      </c>
      <c r="G959" s="19">
        <v>750.4</v>
      </c>
      <c r="H959" s="19">
        <v>6753.5999999999995</v>
      </c>
      <c r="I959" s="20">
        <v>405.21600000000001</v>
      </c>
      <c r="J959" s="17" t="s">
        <v>54</v>
      </c>
      <c r="K959" s="17" t="s">
        <v>55</v>
      </c>
      <c r="L959" s="17" t="s">
        <v>56</v>
      </c>
      <c r="M959" s="19">
        <v>3646.944</v>
      </c>
      <c r="N959" s="19">
        <v>3106.6559999999899</v>
      </c>
      <c r="O959" s="17">
        <v>46</v>
      </c>
      <c r="P959" s="17" t="s">
        <v>26</v>
      </c>
      <c r="Q959" s="17">
        <v>12</v>
      </c>
      <c r="R959" s="17" t="s">
        <v>27</v>
      </c>
      <c r="S959" s="14" t="str">
        <f t="shared" si="14"/>
        <v>Week 4</v>
      </c>
    </row>
    <row r="960" spans="1:19" x14ac:dyDescent="0.3">
      <c r="A960" s="8" t="s">
        <v>1246</v>
      </c>
      <c r="B960" s="9">
        <v>43093</v>
      </c>
      <c r="C960" s="10" t="s">
        <v>448</v>
      </c>
      <c r="D960" s="10" t="s">
        <v>30</v>
      </c>
      <c r="E960" s="10" t="s">
        <v>110</v>
      </c>
      <c r="F960" s="11">
        <v>10</v>
      </c>
      <c r="G960" s="12">
        <v>6210.9</v>
      </c>
      <c r="H960" s="12">
        <v>62109</v>
      </c>
      <c r="I960" s="13">
        <v>2857.0140000000001</v>
      </c>
      <c r="J960" s="10" t="s">
        <v>32</v>
      </c>
      <c r="K960" s="10" t="s">
        <v>33</v>
      </c>
      <c r="L960" s="10" t="s">
        <v>34</v>
      </c>
      <c r="M960" s="12">
        <v>28570.14</v>
      </c>
      <c r="N960" s="12">
        <v>33538.86</v>
      </c>
      <c r="O960" s="10">
        <v>53.999999999999901</v>
      </c>
      <c r="P960" s="10" t="s">
        <v>26</v>
      </c>
      <c r="Q960" s="10">
        <v>12</v>
      </c>
      <c r="R960" s="10" t="s">
        <v>27</v>
      </c>
      <c r="S960" s="14" t="str">
        <f t="shared" si="14"/>
        <v>Week 4</v>
      </c>
    </row>
    <row r="961" spans="1:19" x14ac:dyDescent="0.3">
      <c r="A961" s="15" t="s">
        <v>1247</v>
      </c>
      <c r="B961" s="16">
        <v>43093</v>
      </c>
      <c r="C961" s="17" t="s">
        <v>371</v>
      </c>
      <c r="D961" s="17" t="s">
        <v>21</v>
      </c>
      <c r="E961" s="17" t="s">
        <v>103</v>
      </c>
      <c r="F961" s="18">
        <v>5</v>
      </c>
      <c r="G961" s="19">
        <v>3986.5</v>
      </c>
      <c r="H961" s="19">
        <v>19932.5</v>
      </c>
      <c r="I961" s="20">
        <v>2910.145</v>
      </c>
      <c r="J961" s="17" t="s">
        <v>225</v>
      </c>
      <c r="K961" s="17" t="s">
        <v>226</v>
      </c>
      <c r="L961" s="17" t="s">
        <v>25</v>
      </c>
      <c r="M961" s="19">
        <v>14550.725</v>
      </c>
      <c r="N961" s="19">
        <v>5381.7749999999996</v>
      </c>
      <c r="O961" s="17">
        <v>26.999999999999901</v>
      </c>
      <c r="P961" s="17" t="s">
        <v>26</v>
      </c>
      <c r="Q961" s="17">
        <v>12</v>
      </c>
      <c r="R961" s="17" t="s">
        <v>27</v>
      </c>
      <c r="S961" s="14" t="str">
        <f t="shared" si="14"/>
        <v>Week 4</v>
      </c>
    </row>
    <row r="962" spans="1:19" x14ac:dyDescent="0.3">
      <c r="A962" s="8" t="s">
        <v>1248</v>
      </c>
      <c r="B962" s="9">
        <v>43093</v>
      </c>
      <c r="C962" s="10" t="s">
        <v>487</v>
      </c>
      <c r="D962" s="10" t="s">
        <v>30</v>
      </c>
      <c r="E962" s="10" t="s">
        <v>110</v>
      </c>
      <c r="F962" s="11">
        <v>7</v>
      </c>
      <c r="G962" s="12">
        <v>1139</v>
      </c>
      <c r="H962" s="12">
        <v>7973</v>
      </c>
      <c r="I962" s="13">
        <v>877.03</v>
      </c>
      <c r="J962" s="10" t="s">
        <v>45</v>
      </c>
      <c r="K962" s="10" t="s">
        <v>46</v>
      </c>
      <c r="L962" s="10" t="s">
        <v>34</v>
      </c>
      <c r="M962" s="12">
        <v>6139.21</v>
      </c>
      <c r="N962" s="12">
        <v>1833.79</v>
      </c>
      <c r="O962" s="10">
        <v>23</v>
      </c>
      <c r="P962" s="10" t="s">
        <v>26</v>
      </c>
      <c r="Q962" s="10">
        <v>12</v>
      </c>
      <c r="R962" s="10" t="s">
        <v>27</v>
      </c>
      <c r="S962" s="14" t="str">
        <f t="shared" si="14"/>
        <v>Week 4</v>
      </c>
    </row>
    <row r="963" spans="1:19" x14ac:dyDescent="0.3">
      <c r="A963" s="15" t="s">
        <v>1249</v>
      </c>
      <c r="B963" s="16">
        <v>43093</v>
      </c>
      <c r="C963" s="17" t="s">
        <v>856</v>
      </c>
      <c r="D963" s="17" t="s">
        <v>21</v>
      </c>
      <c r="E963" s="17" t="s">
        <v>103</v>
      </c>
      <c r="F963" s="18">
        <v>12</v>
      </c>
      <c r="G963" s="19">
        <v>2512.5</v>
      </c>
      <c r="H963" s="19">
        <v>30150</v>
      </c>
      <c r="I963" s="20">
        <v>1231.125</v>
      </c>
      <c r="J963" s="17" t="s">
        <v>54</v>
      </c>
      <c r="K963" s="17" t="s">
        <v>55</v>
      </c>
      <c r="L963" s="17" t="s">
        <v>56</v>
      </c>
      <c r="M963" s="19">
        <v>14773.5</v>
      </c>
      <c r="N963" s="19">
        <v>15376.5</v>
      </c>
      <c r="O963" s="17">
        <v>51</v>
      </c>
      <c r="P963" s="17" t="s">
        <v>26</v>
      </c>
      <c r="Q963" s="17">
        <v>12</v>
      </c>
      <c r="R963" s="17" t="s">
        <v>27</v>
      </c>
      <c r="S963" s="14" t="str">
        <f t="shared" ref="S963:S1026" si="15">"Week "&amp;INT((DAY(B963)-1)/7)+1</f>
        <v>Week 4</v>
      </c>
    </row>
    <row r="964" spans="1:19" x14ac:dyDescent="0.3">
      <c r="A964" s="8" t="s">
        <v>1250</v>
      </c>
      <c r="B964" s="9">
        <v>43093</v>
      </c>
      <c r="C964" s="10" t="s">
        <v>632</v>
      </c>
      <c r="D964" s="10" t="s">
        <v>21</v>
      </c>
      <c r="E964" s="10" t="s">
        <v>62</v>
      </c>
      <c r="F964" s="11">
        <v>8</v>
      </c>
      <c r="G964" s="12">
        <v>1031.8</v>
      </c>
      <c r="H964" s="12">
        <v>8254.4</v>
      </c>
      <c r="I964" s="13">
        <v>825.44</v>
      </c>
      <c r="J964" s="10" t="s">
        <v>38</v>
      </c>
      <c r="K964" s="10" t="s">
        <v>39</v>
      </c>
      <c r="L964" s="10" t="s">
        <v>40</v>
      </c>
      <c r="M964" s="12">
        <v>6603.52</v>
      </c>
      <c r="N964" s="12">
        <v>1650.8799999999901</v>
      </c>
      <c r="O964" s="10">
        <v>19.999999999999901</v>
      </c>
      <c r="P964" s="10" t="s">
        <v>26</v>
      </c>
      <c r="Q964" s="10">
        <v>12</v>
      </c>
      <c r="R964" s="10" t="s">
        <v>27</v>
      </c>
      <c r="S964" s="14" t="str">
        <f t="shared" si="15"/>
        <v>Week 4</v>
      </c>
    </row>
    <row r="965" spans="1:19" x14ac:dyDescent="0.3">
      <c r="A965" s="15" t="s">
        <v>1251</v>
      </c>
      <c r="B965" s="16">
        <v>43093</v>
      </c>
      <c r="C965" s="17" t="s">
        <v>402</v>
      </c>
      <c r="D965" s="17" t="s">
        <v>30</v>
      </c>
      <c r="E965" s="17" t="s">
        <v>31</v>
      </c>
      <c r="F965" s="18">
        <v>12</v>
      </c>
      <c r="G965" s="19">
        <v>3993.2</v>
      </c>
      <c r="H965" s="19">
        <v>47918.399999999994</v>
      </c>
      <c r="I965" s="20">
        <v>3034.8319999999999</v>
      </c>
      <c r="J965" s="17" t="s">
        <v>54</v>
      </c>
      <c r="K965" s="17" t="s">
        <v>55</v>
      </c>
      <c r="L965" s="17" t="s">
        <v>56</v>
      </c>
      <c r="M965" s="19">
        <v>36417.983999999997</v>
      </c>
      <c r="N965" s="19">
        <v>11500.415999999899</v>
      </c>
      <c r="O965" s="17">
        <v>23.999999999999901</v>
      </c>
      <c r="P965" s="17" t="s">
        <v>26</v>
      </c>
      <c r="Q965" s="17">
        <v>12</v>
      </c>
      <c r="R965" s="17" t="s">
        <v>27</v>
      </c>
      <c r="S965" s="14" t="str">
        <f t="shared" si="15"/>
        <v>Week 4</v>
      </c>
    </row>
    <row r="966" spans="1:19" x14ac:dyDescent="0.3">
      <c r="A966" s="8" t="s">
        <v>1252</v>
      </c>
      <c r="B966" s="9">
        <v>43093</v>
      </c>
      <c r="C966" s="10" t="s">
        <v>380</v>
      </c>
      <c r="D966" s="10" t="s">
        <v>21</v>
      </c>
      <c r="E966" s="10" t="s">
        <v>49</v>
      </c>
      <c r="F966" s="11">
        <v>11</v>
      </c>
      <c r="G966" s="12">
        <v>3886</v>
      </c>
      <c r="H966" s="12">
        <v>42746</v>
      </c>
      <c r="I966" s="13">
        <v>2020.72</v>
      </c>
      <c r="J966" s="10" t="s">
        <v>436</v>
      </c>
      <c r="K966" s="10" t="s">
        <v>437</v>
      </c>
      <c r="L966" s="10" t="s">
        <v>25</v>
      </c>
      <c r="M966" s="12">
        <v>22227.919999999998</v>
      </c>
      <c r="N966" s="12">
        <v>20518.0799999999</v>
      </c>
      <c r="O966" s="10">
        <v>48</v>
      </c>
      <c r="P966" s="10" t="s">
        <v>26</v>
      </c>
      <c r="Q966" s="10">
        <v>12</v>
      </c>
      <c r="R966" s="10" t="s">
        <v>27</v>
      </c>
      <c r="S966" s="14" t="str">
        <f t="shared" si="15"/>
        <v>Week 4</v>
      </c>
    </row>
    <row r="967" spans="1:19" x14ac:dyDescent="0.3">
      <c r="A967" s="15" t="s">
        <v>1253</v>
      </c>
      <c r="B967" s="16">
        <v>43093</v>
      </c>
      <c r="C967" s="17" t="s">
        <v>325</v>
      </c>
      <c r="D967" s="17" t="s">
        <v>30</v>
      </c>
      <c r="E967" s="17" t="s">
        <v>37</v>
      </c>
      <c r="F967" s="18">
        <v>8</v>
      </c>
      <c r="G967" s="19">
        <v>1809</v>
      </c>
      <c r="H967" s="19">
        <v>14472</v>
      </c>
      <c r="I967" s="20">
        <v>1465.29</v>
      </c>
      <c r="J967" s="17" t="s">
        <v>177</v>
      </c>
      <c r="K967" s="17" t="s">
        <v>178</v>
      </c>
      <c r="L967" s="17" t="s">
        <v>40</v>
      </c>
      <c r="M967" s="19">
        <v>11722.32</v>
      </c>
      <c r="N967" s="19">
        <v>2749.6799999999898</v>
      </c>
      <c r="O967" s="17">
        <v>18.999999999999901</v>
      </c>
      <c r="P967" s="17" t="s">
        <v>26</v>
      </c>
      <c r="Q967" s="17">
        <v>12</v>
      </c>
      <c r="R967" s="17" t="s">
        <v>27</v>
      </c>
      <c r="S967" s="14" t="str">
        <f t="shared" si="15"/>
        <v>Week 4</v>
      </c>
    </row>
    <row r="968" spans="1:19" x14ac:dyDescent="0.3">
      <c r="A968" s="8" t="s">
        <v>1254</v>
      </c>
      <c r="B968" s="9">
        <v>43093</v>
      </c>
      <c r="C968" s="10" t="s">
        <v>408</v>
      </c>
      <c r="D968" s="10" t="s">
        <v>30</v>
      </c>
      <c r="E968" s="10" t="s">
        <v>91</v>
      </c>
      <c r="F968" s="11">
        <v>6</v>
      </c>
      <c r="G968" s="12">
        <v>3678.3</v>
      </c>
      <c r="H968" s="12">
        <v>22069.800000000003</v>
      </c>
      <c r="I968" s="13">
        <v>3052.989</v>
      </c>
      <c r="J968" s="10" t="s">
        <v>104</v>
      </c>
      <c r="K968" s="10" t="s">
        <v>105</v>
      </c>
      <c r="L968" s="10" t="s">
        <v>25</v>
      </c>
      <c r="M968" s="12">
        <v>18317.934000000001</v>
      </c>
      <c r="N968" s="12">
        <v>3751.866</v>
      </c>
      <c r="O968" s="10">
        <v>17</v>
      </c>
      <c r="P968" s="10" t="s">
        <v>26</v>
      </c>
      <c r="Q968" s="10">
        <v>12</v>
      </c>
      <c r="R968" s="10" t="s">
        <v>27</v>
      </c>
      <c r="S968" s="14" t="str">
        <f t="shared" si="15"/>
        <v>Week 4</v>
      </c>
    </row>
    <row r="969" spans="1:19" x14ac:dyDescent="0.3">
      <c r="A969" s="15" t="s">
        <v>1255</v>
      </c>
      <c r="B969" s="16">
        <v>43093</v>
      </c>
      <c r="C969" s="17" t="s">
        <v>221</v>
      </c>
      <c r="D969" s="17" t="s">
        <v>21</v>
      </c>
      <c r="E969" s="17" t="s">
        <v>49</v>
      </c>
      <c r="F969" s="18">
        <v>12</v>
      </c>
      <c r="G969" s="19">
        <v>6184.1</v>
      </c>
      <c r="H969" s="19">
        <v>74209.200000000012</v>
      </c>
      <c r="I969" s="20">
        <v>3772.3009999999999</v>
      </c>
      <c r="J969" s="17" t="s">
        <v>23</v>
      </c>
      <c r="K969" s="17" t="s">
        <v>24</v>
      </c>
      <c r="L969" s="17" t="s">
        <v>25</v>
      </c>
      <c r="M969" s="19">
        <v>45267.612000000001</v>
      </c>
      <c r="N969" s="19">
        <v>28941.588</v>
      </c>
      <c r="O969" s="17">
        <v>39</v>
      </c>
      <c r="P969" s="17" t="s">
        <v>26</v>
      </c>
      <c r="Q969" s="17">
        <v>12</v>
      </c>
      <c r="R969" s="17" t="s">
        <v>27</v>
      </c>
      <c r="S969" s="14" t="str">
        <f t="shared" si="15"/>
        <v>Week 4</v>
      </c>
    </row>
    <row r="970" spans="1:19" x14ac:dyDescent="0.3">
      <c r="A970" s="8" t="s">
        <v>1256</v>
      </c>
      <c r="B970" s="9">
        <v>43093</v>
      </c>
      <c r="C970" s="10" t="s">
        <v>478</v>
      </c>
      <c r="D970" s="10" t="s">
        <v>21</v>
      </c>
      <c r="E970" s="10" t="s">
        <v>127</v>
      </c>
      <c r="F970" s="11">
        <v>7</v>
      </c>
      <c r="G970" s="12">
        <v>3926.2</v>
      </c>
      <c r="H970" s="12">
        <v>27483.399999999998</v>
      </c>
      <c r="I970" s="13">
        <v>2002.3620000000001</v>
      </c>
      <c r="J970" s="10" t="s">
        <v>38</v>
      </c>
      <c r="K970" s="10" t="s">
        <v>39</v>
      </c>
      <c r="L970" s="10" t="s">
        <v>40</v>
      </c>
      <c r="M970" s="12">
        <v>14016.534</v>
      </c>
      <c r="N970" s="12">
        <v>13466.866</v>
      </c>
      <c r="O970" s="10">
        <v>49</v>
      </c>
      <c r="P970" s="10" t="s">
        <v>26</v>
      </c>
      <c r="Q970" s="10">
        <v>12</v>
      </c>
      <c r="R970" s="10" t="s">
        <v>27</v>
      </c>
      <c r="S970" s="14" t="str">
        <f t="shared" si="15"/>
        <v>Week 4</v>
      </c>
    </row>
    <row r="971" spans="1:19" x14ac:dyDescent="0.3">
      <c r="A971" s="15" t="s">
        <v>1257</v>
      </c>
      <c r="B971" s="16">
        <v>43093</v>
      </c>
      <c r="C971" s="17" t="s">
        <v>162</v>
      </c>
      <c r="D971" s="17" t="s">
        <v>21</v>
      </c>
      <c r="E971" s="17" t="s">
        <v>49</v>
      </c>
      <c r="F971" s="18">
        <v>12</v>
      </c>
      <c r="G971" s="19">
        <v>3993.2</v>
      </c>
      <c r="H971" s="19">
        <v>47918.399999999994</v>
      </c>
      <c r="I971" s="20">
        <v>1916.7360000000001</v>
      </c>
      <c r="J971" s="17" t="s">
        <v>54</v>
      </c>
      <c r="K971" s="17" t="s">
        <v>55</v>
      </c>
      <c r="L971" s="17" t="s">
        <v>56</v>
      </c>
      <c r="M971" s="19">
        <v>23000.831999999999</v>
      </c>
      <c r="N971" s="19">
        <v>24917.567999999999</v>
      </c>
      <c r="O971" s="17">
        <v>52</v>
      </c>
      <c r="P971" s="17" t="s">
        <v>26</v>
      </c>
      <c r="Q971" s="17">
        <v>12</v>
      </c>
      <c r="R971" s="17" t="s">
        <v>27</v>
      </c>
      <c r="S971" s="14" t="str">
        <f t="shared" si="15"/>
        <v>Week 4</v>
      </c>
    </row>
    <row r="972" spans="1:19" x14ac:dyDescent="0.3">
      <c r="A972" s="8" t="s">
        <v>1258</v>
      </c>
      <c r="B972" s="9">
        <v>43093</v>
      </c>
      <c r="C972" s="10" t="s">
        <v>428</v>
      </c>
      <c r="D972" s="10" t="s">
        <v>43</v>
      </c>
      <c r="E972" s="10" t="s">
        <v>230</v>
      </c>
      <c r="F972" s="11">
        <v>12</v>
      </c>
      <c r="G972" s="12">
        <v>1072</v>
      </c>
      <c r="H972" s="12">
        <v>12864</v>
      </c>
      <c r="I972" s="13">
        <v>439.52</v>
      </c>
      <c r="J972" s="10" t="s">
        <v>155</v>
      </c>
      <c r="K972" s="10" t="s">
        <v>156</v>
      </c>
      <c r="L972" s="10" t="s">
        <v>56</v>
      </c>
      <c r="M972" s="12">
        <v>5274.24</v>
      </c>
      <c r="N972" s="12">
        <v>7589.76</v>
      </c>
      <c r="O972" s="10">
        <v>59</v>
      </c>
      <c r="P972" s="10" t="s">
        <v>26</v>
      </c>
      <c r="Q972" s="10">
        <v>12</v>
      </c>
      <c r="R972" s="10" t="s">
        <v>27</v>
      </c>
      <c r="S972" s="14" t="str">
        <f t="shared" si="15"/>
        <v>Week 4</v>
      </c>
    </row>
    <row r="973" spans="1:19" x14ac:dyDescent="0.3">
      <c r="A973" s="15" t="s">
        <v>1259</v>
      </c>
      <c r="B973" s="16">
        <v>43093</v>
      </c>
      <c r="C973" s="17" t="s">
        <v>341</v>
      </c>
      <c r="D973" s="17" t="s">
        <v>43</v>
      </c>
      <c r="E973" s="17" t="s">
        <v>197</v>
      </c>
      <c r="F973" s="18">
        <v>8</v>
      </c>
      <c r="G973" s="19">
        <v>2358.4</v>
      </c>
      <c r="H973" s="19">
        <v>18867.2</v>
      </c>
      <c r="I973" s="20">
        <v>1815.9680000000001</v>
      </c>
      <c r="J973" s="17" t="s">
        <v>32</v>
      </c>
      <c r="K973" s="17" t="s">
        <v>33</v>
      </c>
      <c r="L973" s="17" t="s">
        <v>34</v>
      </c>
      <c r="M973" s="19">
        <v>14527.744000000001</v>
      </c>
      <c r="N973" s="19">
        <v>4339.4560000000001</v>
      </c>
      <c r="O973" s="17">
        <v>23</v>
      </c>
      <c r="P973" s="17" t="s">
        <v>26</v>
      </c>
      <c r="Q973" s="17">
        <v>12</v>
      </c>
      <c r="R973" s="17" t="s">
        <v>27</v>
      </c>
      <c r="S973" s="14" t="str">
        <f t="shared" si="15"/>
        <v>Week 4</v>
      </c>
    </row>
    <row r="974" spans="1:19" x14ac:dyDescent="0.3">
      <c r="A974" s="8" t="s">
        <v>1260</v>
      </c>
      <c r="B974" s="9">
        <v>43093</v>
      </c>
      <c r="C974" s="10" t="s">
        <v>174</v>
      </c>
      <c r="D974" s="10" t="s">
        <v>43</v>
      </c>
      <c r="E974" s="10" t="s">
        <v>149</v>
      </c>
      <c r="F974" s="11">
        <v>5</v>
      </c>
      <c r="G974" s="12">
        <v>3001.6</v>
      </c>
      <c r="H974" s="12">
        <v>15008</v>
      </c>
      <c r="I974" s="13">
        <v>2251.1999999999998</v>
      </c>
      <c r="J974" s="10" t="s">
        <v>54</v>
      </c>
      <c r="K974" s="10" t="s">
        <v>55</v>
      </c>
      <c r="L974" s="10" t="s">
        <v>56</v>
      </c>
      <c r="M974" s="12">
        <v>11256</v>
      </c>
      <c r="N974" s="12">
        <v>3752</v>
      </c>
      <c r="O974" s="10">
        <v>25</v>
      </c>
      <c r="P974" s="10" t="s">
        <v>26</v>
      </c>
      <c r="Q974" s="10">
        <v>12</v>
      </c>
      <c r="R974" s="10" t="s">
        <v>27</v>
      </c>
      <c r="S974" s="14" t="str">
        <f t="shared" si="15"/>
        <v>Week 4</v>
      </c>
    </row>
    <row r="975" spans="1:19" x14ac:dyDescent="0.3">
      <c r="A975" s="15" t="s">
        <v>1261</v>
      </c>
      <c r="B975" s="16">
        <v>43093</v>
      </c>
      <c r="C975" s="17" t="s">
        <v>82</v>
      </c>
      <c r="D975" s="17" t="s">
        <v>30</v>
      </c>
      <c r="E975" s="17" t="s">
        <v>103</v>
      </c>
      <c r="F975" s="18">
        <v>11</v>
      </c>
      <c r="G975" s="19">
        <v>1031.8</v>
      </c>
      <c r="H975" s="19">
        <v>11349.8</v>
      </c>
      <c r="I975" s="20">
        <v>505.58199999999999</v>
      </c>
      <c r="J975" s="17" t="s">
        <v>32</v>
      </c>
      <c r="K975" s="17" t="s">
        <v>33</v>
      </c>
      <c r="L975" s="17" t="s">
        <v>34</v>
      </c>
      <c r="M975" s="19">
        <v>5561.402</v>
      </c>
      <c r="N975" s="19">
        <v>5788.3979999999901</v>
      </c>
      <c r="O975" s="17">
        <v>51</v>
      </c>
      <c r="P975" s="17" t="s">
        <v>26</v>
      </c>
      <c r="Q975" s="17">
        <v>12</v>
      </c>
      <c r="R975" s="17" t="s">
        <v>27</v>
      </c>
      <c r="S975" s="14" t="str">
        <f t="shared" si="15"/>
        <v>Week 4</v>
      </c>
    </row>
    <row r="976" spans="1:19" x14ac:dyDescent="0.3">
      <c r="A976" s="8" t="s">
        <v>1262</v>
      </c>
      <c r="B976" s="9">
        <v>43093</v>
      </c>
      <c r="C976" s="10" t="s">
        <v>404</v>
      </c>
      <c r="D976" s="10" t="s">
        <v>21</v>
      </c>
      <c r="E976" s="10" t="s">
        <v>120</v>
      </c>
      <c r="F976" s="11">
        <v>6</v>
      </c>
      <c r="G976" s="12">
        <v>1809</v>
      </c>
      <c r="H976" s="12">
        <v>10854</v>
      </c>
      <c r="I976" s="13">
        <v>1266.3</v>
      </c>
      <c r="J976" s="10" t="s">
        <v>458</v>
      </c>
      <c r="K976" s="10" t="s">
        <v>459</v>
      </c>
      <c r="L976" s="10" t="s">
        <v>34</v>
      </c>
      <c r="M976" s="12">
        <v>7597.7999999999902</v>
      </c>
      <c r="N976" s="12">
        <v>3256.2</v>
      </c>
      <c r="O976" s="10">
        <v>30</v>
      </c>
      <c r="P976" s="10" t="s">
        <v>26</v>
      </c>
      <c r="Q976" s="10">
        <v>12</v>
      </c>
      <c r="R976" s="10" t="s">
        <v>27</v>
      </c>
      <c r="S976" s="14" t="str">
        <f t="shared" si="15"/>
        <v>Week 4</v>
      </c>
    </row>
    <row r="977" spans="1:19" x14ac:dyDescent="0.3">
      <c r="A977" s="15" t="s">
        <v>1263</v>
      </c>
      <c r="B977" s="16">
        <v>43093</v>
      </c>
      <c r="C977" s="17" t="s">
        <v>249</v>
      </c>
      <c r="D977" s="17" t="s">
        <v>21</v>
      </c>
      <c r="E977" s="17" t="s">
        <v>73</v>
      </c>
      <c r="F977" s="18">
        <v>6</v>
      </c>
      <c r="G977" s="19">
        <v>1072</v>
      </c>
      <c r="H977" s="19">
        <v>6432</v>
      </c>
      <c r="I977" s="20">
        <v>825.44</v>
      </c>
      <c r="J977" s="17" t="s">
        <v>54</v>
      </c>
      <c r="K977" s="17" t="s">
        <v>55</v>
      </c>
      <c r="L977" s="17" t="s">
        <v>56</v>
      </c>
      <c r="M977" s="19">
        <v>4952.6400000000003</v>
      </c>
      <c r="N977" s="19">
        <v>1479.3599999999899</v>
      </c>
      <c r="O977" s="17">
        <v>22.999999999999901</v>
      </c>
      <c r="P977" s="17" t="s">
        <v>26</v>
      </c>
      <c r="Q977" s="17">
        <v>12</v>
      </c>
      <c r="R977" s="17" t="s">
        <v>27</v>
      </c>
      <c r="S977" s="14" t="str">
        <f t="shared" si="15"/>
        <v>Week 4</v>
      </c>
    </row>
    <row r="978" spans="1:19" x14ac:dyDescent="0.3">
      <c r="A978" s="8" t="s">
        <v>1264</v>
      </c>
      <c r="B978" s="9">
        <v>43093</v>
      </c>
      <c r="C978" s="10" t="s">
        <v>247</v>
      </c>
      <c r="D978" s="10" t="s">
        <v>21</v>
      </c>
      <c r="E978" s="10" t="s">
        <v>73</v>
      </c>
      <c r="F978" s="11">
        <v>5</v>
      </c>
      <c r="G978" s="12">
        <v>247.9</v>
      </c>
      <c r="H978" s="12">
        <v>1239.5</v>
      </c>
      <c r="I978" s="13">
        <v>185.92500000000001</v>
      </c>
      <c r="J978" s="10" t="s">
        <v>45</v>
      </c>
      <c r="K978" s="10" t="s">
        <v>46</v>
      </c>
      <c r="L978" s="10" t="s">
        <v>34</v>
      </c>
      <c r="M978" s="12">
        <v>929.625</v>
      </c>
      <c r="N978" s="12">
        <v>309.875</v>
      </c>
      <c r="O978" s="10">
        <v>25</v>
      </c>
      <c r="P978" s="10" t="s">
        <v>26</v>
      </c>
      <c r="Q978" s="10">
        <v>12</v>
      </c>
      <c r="R978" s="10" t="s">
        <v>27</v>
      </c>
      <c r="S978" s="14" t="str">
        <f t="shared" si="15"/>
        <v>Week 4</v>
      </c>
    </row>
    <row r="979" spans="1:19" x14ac:dyDescent="0.3">
      <c r="A979" s="15" t="s">
        <v>1265</v>
      </c>
      <c r="B979" s="16">
        <v>43093</v>
      </c>
      <c r="C979" s="17" t="s">
        <v>138</v>
      </c>
      <c r="D979" s="17" t="s">
        <v>43</v>
      </c>
      <c r="E979" s="17" t="s">
        <v>37</v>
      </c>
      <c r="F979" s="18">
        <v>7</v>
      </c>
      <c r="G979" s="19">
        <v>241.2</v>
      </c>
      <c r="H979" s="19">
        <v>1688.3999999999999</v>
      </c>
      <c r="I979" s="20">
        <v>154.36799999999999</v>
      </c>
      <c r="J979" s="17" t="s">
        <v>54</v>
      </c>
      <c r="K979" s="17" t="s">
        <v>55</v>
      </c>
      <c r="L979" s="17" t="s">
        <v>56</v>
      </c>
      <c r="M979" s="19">
        <v>1080.576</v>
      </c>
      <c r="N979" s="19">
        <v>607.82399999999905</v>
      </c>
      <c r="O979" s="17">
        <v>35.999999999999901</v>
      </c>
      <c r="P979" s="17" t="s">
        <v>26</v>
      </c>
      <c r="Q979" s="17">
        <v>12</v>
      </c>
      <c r="R979" s="17" t="s">
        <v>27</v>
      </c>
      <c r="S979" s="14" t="str">
        <f t="shared" si="15"/>
        <v>Week 4</v>
      </c>
    </row>
    <row r="980" spans="1:19" x14ac:dyDescent="0.3">
      <c r="A980" s="8" t="s">
        <v>1266</v>
      </c>
      <c r="B980" s="9">
        <v>43093</v>
      </c>
      <c r="C980" s="10" t="s">
        <v>241</v>
      </c>
      <c r="D980" s="10" t="s">
        <v>43</v>
      </c>
      <c r="E980" s="10" t="s">
        <v>146</v>
      </c>
      <c r="F980" s="11">
        <v>7</v>
      </c>
      <c r="G980" s="12">
        <v>3852.5</v>
      </c>
      <c r="H980" s="12">
        <v>26967.5</v>
      </c>
      <c r="I980" s="13">
        <v>3197.5749999999998</v>
      </c>
      <c r="J980" s="10" t="s">
        <v>23</v>
      </c>
      <c r="K980" s="10" t="s">
        <v>24</v>
      </c>
      <c r="L980" s="10" t="s">
        <v>25</v>
      </c>
      <c r="M980" s="12">
        <v>22383.0249999999</v>
      </c>
      <c r="N980" s="12">
        <v>4584.4750000000004</v>
      </c>
      <c r="O980" s="10">
        <v>17</v>
      </c>
      <c r="P980" s="10" t="s">
        <v>26</v>
      </c>
      <c r="Q980" s="10">
        <v>12</v>
      </c>
      <c r="R980" s="10" t="s">
        <v>27</v>
      </c>
      <c r="S980" s="14" t="str">
        <f t="shared" si="15"/>
        <v>Week 4</v>
      </c>
    </row>
    <row r="981" spans="1:19" x14ac:dyDescent="0.3">
      <c r="A981" s="15" t="s">
        <v>1267</v>
      </c>
      <c r="B981" s="16">
        <v>43093</v>
      </c>
      <c r="C981" s="17" t="s">
        <v>236</v>
      </c>
      <c r="D981" s="17" t="s">
        <v>21</v>
      </c>
      <c r="E981" s="17" t="s">
        <v>80</v>
      </c>
      <c r="F981" s="18">
        <v>7</v>
      </c>
      <c r="G981" s="19">
        <v>5085.3</v>
      </c>
      <c r="H981" s="19">
        <v>35597.1</v>
      </c>
      <c r="I981" s="20">
        <v>2695.2089999999998</v>
      </c>
      <c r="J981" s="17" t="s">
        <v>45</v>
      </c>
      <c r="K981" s="17" t="s">
        <v>46</v>
      </c>
      <c r="L981" s="17" t="s">
        <v>34</v>
      </c>
      <c r="M981" s="19">
        <v>18866.463</v>
      </c>
      <c r="N981" s="19">
        <v>16730.636999999901</v>
      </c>
      <c r="O981" s="17">
        <v>46.999999999999901</v>
      </c>
      <c r="P981" s="17" t="s">
        <v>26</v>
      </c>
      <c r="Q981" s="17">
        <v>12</v>
      </c>
      <c r="R981" s="17" t="s">
        <v>27</v>
      </c>
      <c r="S981" s="14" t="str">
        <f t="shared" si="15"/>
        <v>Week 4</v>
      </c>
    </row>
    <row r="982" spans="1:19" x14ac:dyDescent="0.3">
      <c r="A982" s="8" t="s">
        <v>1268</v>
      </c>
      <c r="B982" s="9">
        <v>43093</v>
      </c>
      <c r="C982" s="10" t="s">
        <v>380</v>
      </c>
      <c r="D982" s="10" t="s">
        <v>30</v>
      </c>
      <c r="E982" s="10" t="s">
        <v>115</v>
      </c>
      <c r="F982" s="11">
        <v>8</v>
      </c>
      <c r="G982" s="12">
        <v>998.3</v>
      </c>
      <c r="H982" s="12">
        <v>7986.4</v>
      </c>
      <c r="I982" s="13">
        <v>848.55499999999995</v>
      </c>
      <c r="J982" s="10" t="s">
        <v>23</v>
      </c>
      <c r="K982" s="10" t="s">
        <v>24</v>
      </c>
      <c r="L982" s="10" t="s">
        <v>25</v>
      </c>
      <c r="M982" s="12">
        <v>6788.44</v>
      </c>
      <c r="N982" s="12">
        <v>1197.96</v>
      </c>
      <c r="O982" s="10">
        <v>15</v>
      </c>
      <c r="P982" s="10" t="s">
        <v>26</v>
      </c>
      <c r="Q982" s="10">
        <v>12</v>
      </c>
      <c r="R982" s="10" t="s">
        <v>27</v>
      </c>
      <c r="S982" s="14" t="str">
        <f t="shared" si="15"/>
        <v>Week 4</v>
      </c>
    </row>
    <row r="983" spans="1:19" x14ac:dyDescent="0.3">
      <c r="A983" s="15" t="s">
        <v>1269</v>
      </c>
      <c r="B983" s="16">
        <v>43093</v>
      </c>
      <c r="C983" s="17" t="s">
        <v>182</v>
      </c>
      <c r="D983" s="17" t="s">
        <v>21</v>
      </c>
      <c r="E983" s="17" t="s">
        <v>167</v>
      </c>
      <c r="F983" s="18">
        <v>5</v>
      </c>
      <c r="G983" s="19">
        <v>3852.5</v>
      </c>
      <c r="H983" s="19">
        <v>19262.5</v>
      </c>
      <c r="I983" s="20">
        <v>2080.35</v>
      </c>
      <c r="J983" s="17" t="s">
        <v>159</v>
      </c>
      <c r="K983" s="17" t="s">
        <v>160</v>
      </c>
      <c r="L983" s="17" t="s">
        <v>25</v>
      </c>
      <c r="M983" s="19">
        <v>10401.75</v>
      </c>
      <c r="N983" s="19">
        <v>8860.7499999999909</v>
      </c>
      <c r="O983" s="17">
        <v>45.999999999999901</v>
      </c>
      <c r="P983" s="17" t="s">
        <v>26</v>
      </c>
      <c r="Q983" s="17">
        <v>12</v>
      </c>
      <c r="R983" s="17" t="s">
        <v>27</v>
      </c>
      <c r="S983" s="14" t="str">
        <f t="shared" si="15"/>
        <v>Week 4</v>
      </c>
    </row>
    <row r="984" spans="1:19" x14ac:dyDescent="0.3">
      <c r="A984" s="8" t="s">
        <v>1129</v>
      </c>
      <c r="B984" s="9">
        <v>43093</v>
      </c>
      <c r="C984" s="10" t="s">
        <v>239</v>
      </c>
      <c r="D984" s="10" t="s">
        <v>21</v>
      </c>
      <c r="E984" s="10" t="s">
        <v>103</v>
      </c>
      <c r="F984" s="11">
        <v>11</v>
      </c>
      <c r="G984" s="12">
        <v>3685</v>
      </c>
      <c r="H984" s="12">
        <v>40535</v>
      </c>
      <c r="I984" s="13">
        <v>2395.25</v>
      </c>
      <c r="J984" s="10" t="s">
        <v>23</v>
      </c>
      <c r="K984" s="10" t="s">
        <v>24</v>
      </c>
      <c r="L984" s="10" t="s">
        <v>25</v>
      </c>
      <c r="M984" s="12">
        <v>26347.75</v>
      </c>
      <c r="N984" s="12">
        <v>14187.25</v>
      </c>
      <c r="O984" s="10">
        <v>35</v>
      </c>
      <c r="P984" s="10" t="s">
        <v>26</v>
      </c>
      <c r="Q984" s="10">
        <v>12</v>
      </c>
      <c r="R984" s="10" t="s">
        <v>27</v>
      </c>
      <c r="S984" s="14" t="str">
        <f t="shared" si="15"/>
        <v>Week 4</v>
      </c>
    </row>
    <row r="985" spans="1:19" x14ac:dyDescent="0.3">
      <c r="A985" s="15" t="s">
        <v>1270</v>
      </c>
      <c r="B985" s="16">
        <v>43093</v>
      </c>
      <c r="C985" s="17" t="s">
        <v>664</v>
      </c>
      <c r="D985" s="17" t="s">
        <v>21</v>
      </c>
      <c r="E985" s="17" t="s">
        <v>91</v>
      </c>
      <c r="F985" s="18">
        <v>12</v>
      </c>
      <c r="G985" s="19">
        <v>241.2</v>
      </c>
      <c r="H985" s="19">
        <v>2894.3999999999996</v>
      </c>
      <c r="I985" s="20">
        <v>149.54400000000001</v>
      </c>
      <c r="J985" s="17" t="s">
        <v>38</v>
      </c>
      <c r="K985" s="17" t="s">
        <v>39</v>
      </c>
      <c r="L985" s="17" t="s">
        <v>40</v>
      </c>
      <c r="M985" s="19">
        <v>1794.528</v>
      </c>
      <c r="N985" s="19">
        <v>1099.8719999999901</v>
      </c>
      <c r="O985" s="17">
        <v>37.999999999999901</v>
      </c>
      <c r="P985" s="17" t="s">
        <v>26</v>
      </c>
      <c r="Q985" s="17">
        <v>12</v>
      </c>
      <c r="R985" s="17" t="s">
        <v>27</v>
      </c>
      <c r="S985" s="14" t="str">
        <f t="shared" si="15"/>
        <v>Week 4</v>
      </c>
    </row>
    <row r="986" spans="1:19" x14ac:dyDescent="0.3">
      <c r="A986" s="8" t="s">
        <v>1271</v>
      </c>
      <c r="B986" s="9">
        <v>43093</v>
      </c>
      <c r="C986" s="10" t="s">
        <v>461</v>
      </c>
      <c r="D986" s="10" t="s">
        <v>21</v>
      </c>
      <c r="E986" s="10" t="s">
        <v>44</v>
      </c>
      <c r="F986" s="11">
        <v>9</v>
      </c>
      <c r="G986" s="12">
        <v>1051.9000000000001</v>
      </c>
      <c r="H986" s="12">
        <v>9467.1</v>
      </c>
      <c r="I986" s="13">
        <v>557.50699999999995</v>
      </c>
      <c r="J986" s="10" t="s">
        <v>177</v>
      </c>
      <c r="K986" s="10" t="s">
        <v>178</v>
      </c>
      <c r="L986" s="10" t="s">
        <v>40</v>
      </c>
      <c r="M986" s="12">
        <v>5017.5630000000001</v>
      </c>
      <c r="N986" s="12">
        <v>4449.5370000000003</v>
      </c>
      <c r="O986" s="10">
        <v>47</v>
      </c>
      <c r="P986" s="10" t="s">
        <v>26</v>
      </c>
      <c r="Q986" s="10">
        <v>12</v>
      </c>
      <c r="R986" s="10" t="s">
        <v>27</v>
      </c>
      <c r="S986" s="14" t="str">
        <f t="shared" si="15"/>
        <v>Week 4</v>
      </c>
    </row>
    <row r="987" spans="1:19" x14ac:dyDescent="0.3">
      <c r="A987" s="15" t="s">
        <v>983</v>
      </c>
      <c r="B987" s="16">
        <v>43093</v>
      </c>
      <c r="C987" s="17" t="s">
        <v>264</v>
      </c>
      <c r="D987" s="17" t="s">
        <v>21</v>
      </c>
      <c r="E987" s="17" t="s">
        <v>306</v>
      </c>
      <c r="F987" s="18">
        <v>6</v>
      </c>
      <c r="G987" s="19">
        <v>6009.9</v>
      </c>
      <c r="H987" s="19">
        <v>36059.399999999994</v>
      </c>
      <c r="I987" s="20">
        <v>4928.1180000000004</v>
      </c>
      <c r="J987" s="17" t="s">
        <v>54</v>
      </c>
      <c r="K987" s="17" t="s">
        <v>55</v>
      </c>
      <c r="L987" s="17" t="s">
        <v>56</v>
      </c>
      <c r="M987" s="19">
        <v>29568.707999999999</v>
      </c>
      <c r="N987" s="19">
        <v>6490.69199999999</v>
      </c>
      <c r="O987" s="17">
        <v>17.999999999999901</v>
      </c>
      <c r="P987" s="17" t="s">
        <v>26</v>
      </c>
      <c r="Q987" s="17">
        <v>12</v>
      </c>
      <c r="R987" s="17" t="s">
        <v>27</v>
      </c>
      <c r="S987" s="14" t="str">
        <f t="shared" si="15"/>
        <v>Week 4</v>
      </c>
    </row>
    <row r="988" spans="1:19" x14ac:dyDescent="0.3">
      <c r="A988" s="8" t="s">
        <v>1272</v>
      </c>
      <c r="B988" s="9">
        <v>43094</v>
      </c>
      <c r="C988" s="10" t="s">
        <v>282</v>
      </c>
      <c r="D988" s="10" t="s">
        <v>43</v>
      </c>
      <c r="E988" s="10" t="s">
        <v>31</v>
      </c>
      <c r="F988" s="11">
        <v>11</v>
      </c>
      <c r="G988" s="12">
        <v>2586.1999999999998</v>
      </c>
      <c r="H988" s="12">
        <v>28448.199999999997</v>
      </c>
      <c r="I988" s="13">
        <v>1629.306</v>
      </c>
      <c r="J988" s="10" t="s">
        <v>54</v>
      </c>
      <c r="K988" s="10" t="s">
        <v>55</v>
      </c>
      <c r="L988" s="10" t="s">
        <v>56</v>
      </c>
      <c r="M988" s="12">
        <v>17922.366000000002</v>
      </c>
      <c r="N988" s="12">
        <v>10525.834000000001</v>
      </c>
      <c r="O988" s="10">
        <v>37</v>
      </c>
      <c r="P988" s="10" t="s">
        <v>26</v>
      </c>
      <c r="Q988" s="10">
        <v>12</v>
      </c>
      <c r="R988" s="10" t="s">
        <v>27</v>
      </c>
      <c r="S988" s="14" t="str">
        <f t="shared" si="15"/>
        <v>Week 4</v>
      </c>
    </row>
    <row r="989" spans="1:19" x14ac:dyDescent="0.3">
      <c r="A989" s="15" t="s">
        <v>1273</v>
      </c>
      <c r="B989" s="16">
        <v>43094</v>
      </c>
      <c r="C989" s="17" t="s">
        <v>543</v>
      </c>
      <c r="D989" s="17" t="s">
        <v>43</v>
      </c>
      <c r="E989" s="17" t="s">
        <v>103</v>
      </c>
      <c r="F989" s="18">
        <v>5</v>
      </c>
      <c r="G989" s="19">
        <v>3470.6</v>
      </c>
      <c r="H989" s="19">
        <v>17353</v>
      </c>
      <c r="I989" s="20">
        <v>1561.77</v>
      </c>
      <c r="J989" s="17" t="s">
        <v>212</v>
      </c>
      <c r="K989" s="17" t="s">
        <v>213</v>
      </c>
      <c r="L989" s="17" t="s">
        <v>34</v>
      </c>
      <c r="M989" s="19">
        <v>7808.85</v>
      </c>
      <c r="N989" s="19">
        <v>9544.15</v>
      </c>
      <c r="O989" s="17">
        <v>54.999999999999901</v>
      </c>
      <c r="P989" s="17" t="s">
        <v>26</v>
      </c>
      <c r="Q989" s="17">
        <v>12</v>
      </c>
      <c r="R989" s="17" t="s">
        <v>27</v>
      </c>
      <c r="S989" s="14" t="str">
        <f t="shared" si="15"/>
        <v>Week 4</v>
      </c>
    </row>
    <row r="990" spans="1:19" x14ac:dyDescent="0.3">
      <c r="A990" s="8" t="s">
        <v>1274</v>
      </c>
      <c r="B990" s="9">
        <v>43094</v>
      </c>
      <c r="C990" s="10" t="s">
        <v>316</v>
      </c>
      <c r="D990" s="10" t="s">
        <v>21</v>
      </c>
      <c r="E990" s="10" t="s">
        <v>73</v>
      </c>
      <c r="F990" s="11">
        <v>12</v>
      </c>
      <c r="G990" s="12">
        <v>2814</v>
      </c>
      <c r="H990" s="12">
        <v>33768</v>
      </c>
      <c r="I990" s="13">
        <v>2166.7800000000002</v>
      </c>
      <c r="J990" s="10" t="s">
        <v>76</v>
      </c>
      <c r="K990" s="10" t="s">
        <v>77</v>
      </c>
      <c r="L990" s="10" t="s">
        <v>56</v>
      </c>
      <c r="M990" s="12">
        <v>26001.360000000001</v>
      </c>
      <c r="N990" s="12">
        <v>7766.6399999999903</v>
      </c>
      <c r="O990" s="10">
        <v>23</v>
      </c>
      <c r="P990" s="10" t="s">
        <v>26</v>
      </c>
      <c r="Q990" s="10">
        <v>12</v>
      </c>
      <c r="R990" s="10" t="s">
        <v>27</v>
      </c>
      <c r="S990" s="14" t="str">
        <f t="shared" si="15"/>
        <v>Week 4</v>
      </c>
    </row>
    <row r="991" spans="1:19" x14ac:dyDescent="0.3">
      <c r="A991" s="15" t="s">
        <v>1275</v>
      </c>
      <c r="B991" s="16">
        <v>43094</v>
      </c>
      <c r="C991" s="17" t="s">
        <v>408</v>
      </c>
      <c r="D991" s="17" t="s">
        <v>21</v>
      </c>
      <c r="E991" s="17" t="s">
        <v>62</v>
      </c>
      <c r="F991" s="18">
        <v>12</v>
      </c>
      <c r="G991" s="19">
        <v>5534.2</v>
      </c>
      <c r="H991" s="19">
        <v>66410.399999999994</v>
      </c>
      <c r="I991" s="20">
        <v>4095.308</v>
      </c>
      <c r="J991" s="17" t="s">
        <v>38</v>
      </c>
      <c r="K991" s="17" t="s">
        <v>39</v>
      </c>
      <c r="L991" s="17" t="s">
        <v>40</v>
      </c>
      <c r="M991" s="19">
        <v>49143.695999999902</v>
      </c>
      <c r="N991" s="19">
        <v>17266.7039999999</v>
      </c>
      <c r="O991" s="17">
        <v>26</v>
      </c>
      <c r="P991" s="17" t="s">
        <v>26</v>
      </c>
      <c r="Q991" s="17">
        <v>12</v>
      </c>
      <c r="R991" s="17" t="s">
        <v>27</v>
      </c>
      <c r="S991" s="14" t="str">
        <f t="shared" si="15"/>
        <v>Week 4</v>
      </c>
    </row>
    <row r="992" spans="1:19" x14ac:dyDescent="0.3">
      <c r="A992" s="8" t="s">
        <v>1276</v>
      </c>
      <c r="B992" s="9">
        <v>43094</v>
      </c>
      <c r="C992" s="10" t="s">
        <v>474</v>
      </c>
      <c r="D992" s="10" t="s">
        <v>43</v>
      </c>
      <c r="E992" s="10" t="s">
        <v>326</v>
      </c>
      <c r="F992" s="11">
        <v>8</v>
      </c>
      <c r="G992" s="12">
        <v>1092.0999999999999</v>
      </c>
      <c r="H992" s="12">
        <v>8736.7999999999993</v>
      </c>
      <c r="I992" s="13">
        <v>775.39099999999996</v>
      </c>
      <c r="J992" s="10" t="s">
        <v>83</v>
      </c>
      <c r="K992" s="10" t="s">
        <v>84</v>
      </c>
      <c r="L992" s="10" t="s">
        <v>34</v>
      </c>
      <c r="M992" s="12">
        <v>6203.1279999999997</v>
      </c>
      <c r="N992" s="12">
        <v>2533.672</v>
      </c>
      <c r="O992" s="10">
        <v>29</v>
      </c>
      <c r="P992" s="10" t="s">
        <v>26</v>
      </c>
      <c r="Q992" s="10">
        <v>12</v>
      </c>
      <c r="R992" s="10" t="s">
        <v>27</v>
      </c>
      <c r="S992" s="14" t="str">
        <f t="shared" si="15"/>
        <v>Week 4</v>
      </c>
    </row>
    <row r="993" spans="1:19" x14ac:dyDescent="0.3">
      <c r="A993" s="15" t="s">
        <v>1277</v>
      </c>
      <c r="B993" s="16">
        <v>43094</v>
      </c>
      <c r="C993" s="17" t="s">
        <v>378</v>
      </c>
      <c r="D993" s="17" t="s">
        <v>21</v>
      </c>
      <c r="E993" s="17" t="s">
        <v>44</v>
      </c>
      <c r="F993" s="18">
        <v>10</v>
      </c>
      <c r="G993" s="19">
        <v>3872.6</v>
      </c>
      <c r="H993" s="19">
        <v>38726</v>
      </c>
      <c r="I993" s="20">
        <v>2284.8339999999998</v>
      </c>
      <c r="J993" s="17" t="s">
        <v>766</v>
      </c>
      <c r="K993" s="17" t="s">
        <v>767</v>
      </c>
      <c r="L993" s="17" t="s">
        <v>56</v>
      </c>
      <c r="M993" s="19">
        <v>22848.339999999898</v>
      </c>
      <c r="N993" s="19">
        <v>15877.66</v>
      </c>
      <c r="O993" s="17">
        <v>41</v>
      </c>
      <c r="P993" s="17" t="s">
        <v>26</v>
      </c>
      <c r="Q993" s="17">
        <v>12</v>
      </c>
      <c r="R993" s="17" t="s">
        <v>27</v>
      </c>
      <c r="S993" s="14" t="str">
        <f t="shared" si="15"/>
        <v>Week 4</v>
      </c>
    </row>
    <row r="994" spans="1:19" x14ac:dyDescent="0.3">
      <c r="A994" s="8" t="s">
        <v>1278</v>
      </c>
      <c r="B994" s="9">
        <v>43094</v>
      </c>
      <c r="C994" s="10" t="s">
        <v>435</v>
      </c>
      <c r="D994" s="10" t="s">
        <v>30</v>
      </c>
      <c r="E994" s="10" t="s">
        <v>73</v>
      </c>
      <c r="F994" s="11">
        <v>8</v>
      </c>
      <c r="G994" s="12">
        <v>1139</v>
      </c>
      <c r="H994" s="12">
        <v>9112</v>
      </c>
      <c r="I994" s="13">
        <v>501.16</v>
      </c>
      <c r="J994" s="10" t="s">
        <v>94</v>
      </c>
      <c r="K994" s="10" t="s">
        <v>95</v>
      </c>
      <c r="L994" s="10" t="s">
        <v>40</v>
      </c>
      <c r="M994" s="12">
        <v>4009.28</v>
      </c>
      <c r="N994" s="12">
        <v>5102.7199999999903</v>
      </c>
      <c r="O994" s="10">
        <v>55.999999999999901</v>
      </c>
      <c r="P994" s="10" t="s">
        <v>26</v>
      </c>
      <c r="Q994" s="10">
        <v>12</v>
      </c>
      <c r="R994" s="10" t="s">
        <v>27</v>
      </c>
      <c r="S994" s="14" t="str">
        <f t="shared" si="15"/>
        <v>Week 4</v>
      </c>
    </row>
    <row r="995" spans="1:19" x14ac:dyDescent="0.3">
      <c r="A995" s="15" t="s">
        <v>1279</v>
      </c>
      <c r="B995" s="16">
        <v>43094</v>
      </c>
      <c r="C995" s="17" t="s">
        <v>217</v>
      </c>
      <c r="D995" s="17" t="s">
        <v>43</v>
      </c>
      <c r="E995" s="17" t="s">
        <v>115</v>
      </c>
      <c r="F995" s="18">
        <v>6</v>
      </c>
      <c r="G995" s="19">
        <v>3845.8</v>
      </c>
      <c r="H995" s="19">
        <v>23074.800000000003</v>
      </c>
      <c r="I995" s="20">
        <v>1653.694</v>
      </c>
      <c r="J995" s="17" t="s">
        <v>38</v>
      </c>
      <c r="K995" s="17" t="s">
        <v>39</v>
      </c>
      <c r="L995" s="17" t="s">
        <v>40</v>
      </c>
      <c r="M995" s="19">
        <v>9922.1640000000007</v>
      </c>
      <c r="N995" s="19">
        <v>13152.636</v>
      </c>
      <c r="O995" s="17">
        <v>57</v>
      </c>
      <c r="P995" s="17" t="s">
        <v>26</v>
      </c>
      <c r="Q995" s="17">
        <v>12</v>
      </c>
      <c r="R995" s="17" t="s">
        <v>27</v>
      </c>
      <c r="S995" s="14" t="str">
        <f t="shared" si="15"/>
        <v>Week 4</v>
      </c>
    </row>
    <row r="996" spans="1:19" x14ac:dyDescent="0.3">
      <c r="A996" s="8" t="s">
        <v>1280</v>
      </c>
      <c r="B996" s="9">
        <v>43094</v>
      </c>
      <c r="C996" s="10" t="s">
        <v>211</v>
      </c>
      <c r="D996" s="10" t="s">
        <v>21</v>
      </c>
      <c r="E996" s="10" t="s">
        <v>146</v>
      </c>
      <c r="F996" s="11">
        <v>5</v>
      </c>
      <c r="G996" s="12">
        <v>1788.9</v>
      </c>
      <c r="H996" s="12">
        <v>8944.5</v>
      </c>
      <c r="I996" s="13">
        <v>983.89499999999998</v>
      </c>
      <c r="J996" s="10" t="s">
        <v>411</v>
      </c>
      <c r="K996" s="10" t="s">
        <v>412</v>
      </c>
      <c r="L996" s="10" t="s">
        <v>56</v>
      </c>
      <c r="M996" s="12">
        <v>4919.4750000000004</v>
      </c>
      <c r="N996" s="12">
        <v>4025.0249999999901</v>
      </c>
      <c r="O996" s="10">
        <v>44.999999999999901</v>
      </c>
      <c r="P996" s="10" t="s">
        <v>26</v>
      </c>
      <c r="Q996" s="10">
        <v>12</v>
      </c>
      <c r="R996" s="10" t="s">
        <v>27</v>
      </c>
      <c r="S996" s="14" t="str">
        <f t="shared" si="15"/>
        <v>Week 4</v>
      </c>
    </row>
    <row r="997" spans="1:19" x14ac:dyDescent="0.3">
      <c r="A997" s="15" t="s">
        <v>1281</v>
      </c>
      <c r="B997" s="16">
        <v>43094</v>
      </c>
      <c r="C997" s="17" t="s">
        <v>211</v>
      </c>
      <c r="D997" s="17" t="s">
        <v>21</v>
      </c>
      <c r="E997" s="17" t="s">
        <v>197</v>
      </c>
      <c r="F997" s="18">
        <v>9</v>
      </c>
      <c r="G997" s="19">
        <v>958.1</v>
      </c>
      <c r="H997" s="19">
        <v>8622.9</v>
      </c>
      <c r="I997" s="20">
        <v>814.38499999999999</v>
      </c>
      <c r="J997" s="17" t="s">
        <v>177</v>
      </c>
      <c r="K997" s="17" t="s">
        <v>178</v>
      </c>
      <c r="L997" s="17" t="s">
        <v>40</v>
      </c>
      <c r="M997" s="19">
        <v>7329.4650000000001</v>
      </c>
      <c r="N997" s="19">
        <v>1293.4349999999899</v>
      </c>
      <c r="O997" s="17">
        <v>14.999999999999901</v>
      </c>
      <c r="P997" s="17" t="s">
        <v>26</v>
      </c>
      <c r="Q997" s="17">
        <v>12</v>
      </c>
      <c r="R997" s="17" t="s">
        <v>27</v>
      </c>
      <c r="S997" s="14" t="str">
        <f t="shared" si="15"/>
        <v>Week 4</v>
      </c>
    </row>
    <row r="998" spans="1:19" x14ac:dyDescent="0.3">
      <c r="A998" s="8" t="s">
        <v>1282</v>
      </c>
      <c r="B998" s="9">
        <v>43094</v>
      </c>
      <c r="C998" s="10" t="s">
        <v>714</v>
      </c>
      <c r="D998" s="10" t="s">
        <v>21</v>
      </c>
      <c r="E998" s="10" t="s">
        <v>284</v>
      </c>
      <c r="F998" s="11">
        <v>9</v>
      </c>
      <c r="G998" s="12">
        <v>1018.4</v>
      </c>
      <c r="H998" s="12">
        <v>9165.6</v>
      </c>
      <c r="I998" s="13">
        <v>488.83199999999999</v>
      </c>
      <c r="J998" s="10" t="s">
        <v>257</v>
      </c>
      <c r="K998" s="10" t="s">
        <v>258</v>
      </c>
      <c r="L998" s="10" t="s">
        <v>25</v>
      </c>
      <c r="M998" s="12">
        <v>4399.4880000000003</v>
      </c>
      <c r="N998" s="12">
        <v>4766.1120000000001</v>
      </c>
      <c r="O998" s="10">
        <v>52</v>
      </c>
      <c r="P998" s="10" t="s">
        <v>26</v>
      </c>
      <c r="Q998" s="10">
        <v>12</v>
      </c>
      <c r="R998" s="10" t="s">
        <v>27</v>
      </c>
      <c r="S998" s="14" t="str">
        <f t="shared" si="15"/>
        <v>Week 4</v>
      </c>
    </row>
    <row r="999" spans="1:19" x14ac:dyDescent="0.3">
      <c r="A999" s="15" t="s">
        <v>1283</v>
      </c>
      <c r="B999" s="16">
        <v>43094</v>
      </c>
      <c r="C999" s="17" t="s">
        <v>61</v>
      </c>
      <c r="D999" s="17" t="s">
        <v>30</v>
      </c>
      <c r="E999" s="17" t="s">
        <v>252</v>
      </c>
      <c r="F999" s="18">
        <v>9</v>
      </c>
      <c r="G999" s="19">
        <v>2539.3000000000002</v>
      </c>
      <c r="H999" s="19">
        <v>22853.7</v>
      </c>
      <c r="I999" s="20">
        <v>1472.7940000000001</v>
      </c>
      <c r="J999" s="17" t="s">
        <v>54</v>
      </c>
      <c r="K999" s="17" t="s">
        <v>55</v>
      </c>
      <c r="L999" s="17" t="s">
        <v>56</v>
      </c>
      <c r="M999" s="19">
        <v>13255.146000000001</v>
      </c>
      <c r="N999" s="19">
        <v>9598.5540000000001</v>
      </c>
      <c r="O999" s="17">
        <v>42</v>
      </c>
      <c r="P999" s="17" t="s">
        <v>26</v>
      </c>
      <c r="Q999" s="17">
        <v>12</v>
      </c>
      <c r="R999" s="17" t="s">
        <v>27</v>
      </c>
      <c r="S999" s="14" t="str">
        <f t="shared" si="15"/>
        <v>Week 4</v>
      </c>
    </row>
    <row r="1000" spans="1:19" x14ac:dyDescent="0.3">
      <c r="A1000" s="8" t="s">
        <v>1284</v>
      </c>
      <c r="B1000" s="9">
        <v>43094</v>
      </c>
      <c r="C1000" s="10" t="s">
        <v>288</v>
      </c>
      <c r="D1000" s="10" t="s">
        <v>21</v>
      </c>
      <c r="E1000" s="10" t="s">
        <v>149</v>
      </c>
      <c r="F1000" s="11">
        <v>10</v>
      </c>
      <c r="G1000" s="12">
        <v>3939.6</v>
      </c>
      <c r="H1000" s="12">
        <v>39396</v>
      </c>
      <c r="I1000" s="13">
        <v>2048.5920000000001</v>
      </c>
      <c r="J1000" s="10" t="s">
        <v>218</v>
      </c>
      <c r="K1000" s="10" t="s">
        <v>219</v>
      </c>
      <c r="L1000" s="10" t="s">
        <v>34</v>
      </c>
      <c r="M1000" s="12">
        <v>20485.919999999998</v>
      </c>
      <c r="N1000" s="12">
        <v>18910.0799999999</v>
      </c>
      <c r="O1000" s="10">
        <v>47.999999999999901</v>
      </c>
      <c r="P1000" s="10" t="s">
        <v>26</v>
      </c>
      <c r="Q1000" s="10">
        <v>12</v>
      </c>
      <c r="R1000" s="10" t="s">
        <v>27</v>
      </c>
      <c r="S1000" s="14" t="str">
        <f t="shared" si="15"/>
        <v>Week 4</v>
      </c>
    </row>
    <row r="1001" spans="1:19" x14ac:dyDescent="0.3">
      <c r="A1001" s="15" t="s">
        <v>1285</v>
      </c>
      <c r="B1001" s="16">
        <v>43094</v>
      </c>
      <c r="C1001" s="17" t="s">
        <v>453</v>
      </c>
      <c r="D1001" s="17" t="s">
        <v>21</v>
      </c>
      <c r="E1001" s="17" t="s">
        <v>103</v>
      </c>
      <c r="F1001" s="18">
        <v>11</v>
      </c>
      <c r="G1001" s="19">
        <v>2572.8000000000002</v>
      </c>
      <c r="H1001" s="19">
        <v>28300.800000000003</v>
      </c>
      <c r="I1001" s="20">
        <v>1852.4159999999999</v>
      </c>
      <c r="J1001" s="17" t="s">
        <v>405</v>
      </c>
      <c r="K1001" s="17" t="s">
        <v>406</v>
      </c>
      <c r="L1001" s="17" t="s">
        <v>56</v>
      </c>
      <c r="M1001" s="19">
        <v>20376.576000000001</v>
      </c>
      <c r="N1001" s="19">
        <v>7924.2240000000002</v>
      </c>
      <c r="O1001" s="17">
        <v>28</v>
      </c>
      <c r="P1001" s="17" t="s">
        <v>26</v>
      </c>
      <c r="Q1001" s="17">
        <v>12</v>
      </c>
      <c r="R1001" s="17" t="s">
        <v>27</v>
      </c>
      <c r="S1001" s="14" t="str">
        <f t="shared" si="15"/>
        <v>Week 4</v>
      </c>
    </row>
    <row r="1002" spans="1:19" x14ac:dyDescent="0.3">
      <c r="A1002" s="8" t="s">
        <v>1286</v>
      </c>
      <c r="B1002" s="9">
        <v>43094</v>
      </c>
      <c r="C1002" s="10" t="s">
        <v>1128</v>
      </c>
      <c r="D1002" s="10" t="s">
        <v>30</v>
      </c>
      <c r="E1002" s="10" t="s">
        <v>37</v>
      </c>
      <c r="F1002" s="11">
        <v>7</v>
      </c>
      <c r="G1002" s="12">
        <v>1038.5</v>
      </c>
      <c r="H1002" s="12">
        <v>7269.5</v>
      </c>
      <c r="I1002" s="13">
        <v>633.48500000000001</v>
      </c>
      <c r="J1002" s="10" t="s">
        <v>212</v>
      </c>
      <c r="K1002" s="10" t="s">
        <v>213</v>
      </c>
      <c r="L1002" s="10" t="s">
        <v>34</v>
      </c>
      <c r="M1002" s="12">
        <v>4434.3950000000004</v>
      </c>
      <c r="N1002" s="12">
        <v>2835.10499999999</v>
      </c>
      <c r="O1002" s="10">
        <v>38.999999999999901</v>
      </c>
      <c r="P1002" s="10" t="s">
        <v>26</v>
      </c>
      <c r="Q1002" s="10">
        <v>12</v>
      </c>
      <c r="R1002" s="10" t="s">
        <v>27</v>
      </c>
      <c r="S1002" s="14" t="str">
        <f t="shared" si="15"/>
        <v>Week 4</v>
      </c>
    </row>
    <row r="1003" spans="1:19" x14ac:dyDescent="0.3">
      <c r="A1003" s="15" t="s">
        <v>1287</v>
      </c>
      <c r="B1003" s="16">
        <v>43094</v>
      </c>
      <c r="C1003" s="17" t="s">
        <v>468</v>
      </c>
      <c r="D1003" s="17" t="s">
        <v>21</v>
      </c>
      <c r="E1003" s="17" t="s">
        <v>73</v>
      </c>
      <c r="F1003" s="18">
        <v>10</v>
      </c>
      <c r="G1003" s="19">
        <v>1681.7</v>
      </c>
      <c r="H1003" s="19">
        <v>16817</v>
      </c>
      <c r="I1003" s="20">
        <v>908.11800000000005</v>
      </c>
      <c r="J1003" s="17" t="s">
        <v>54</v>
      </c>
      <c r="K1003" s="17" t="s">
        <v>55</v>
      </c>
      <c r="L1003" s="17" t="s">
        <v>56</v>
      </c>
      <c r="M1003" s="19">
        <v>9081.18</v>
      </c>
      <c r="N1003" s="19">
        <v>7735.82</v>
      </c>
      <c r="O1003" s="17">
        <v>46</v>
      </c>
      <c r="P1003" s="17" t="s">
        <v>26</v>
      </c>
      <c r="Q1003" s="17">
        <v>12</v>
      </c>
      <c r="R1003" s="17" t="s">
        <v>27</v>
      </c>
      <c r="S1003" s="14" t="str">
        <f t="shared" si="15"/>
        <v>Week 4</v>
      </c>
    </row>
    <row r="1004" spans="1:19" x14ac:dyDescent="0.3">
      <c r="A1004" s="8" t="s">
        <v>1288</v>
      </c>
      <c r="B1004" s="9">
        <v>43094</v>
      </c>
      <c r="C1004" s="10" t="s">
        <v>720</v>
      </c>
      <c r="D1004" s="10" t="s">
        <v>21</v>
      </c>
      <c r="E1004" s="10" t="s">
        <v>103</v>
      </c>
      <c r="F1004" s="11">
        <v>5</v>
      </c>
      <c r="G1004" s="12">
        <v>1051.9000000000001</v>
      </c>
      <c r="H1004" s="12">
        <v>5259.5</v>
      </c>
      <c r="I1004" s="13">
        <v>725.81100000000004</v>
      </c>
      <c r="J1004" s="10" t="s">
        <v>23</v>
      </c>
      <c r="K1004" s="10" t="s">
        <v>24</v>
      </c>
      <c r="L1004" s="10" t="s">
        <v>25</v>
      </c>
      <c r="M1004" s="12">
        <v>3629.0549999999998</v>
      </c>
      <c r="N1004" s="12">
        <v>1630.4449999999899</v>
      </c>
      <c r="O1004" s="10">
        <v>30.999999999999901</v>
      </c>
      <c r="P1004" s="10" t="s">
        <v>26</v>
      </c>
      <c r="Q1004" s="10">
        <v>12</v>
      </c>
      <c r="R1004" s="10" t="s">
        <v>27</v>
      </c>
      <c r="S1004" s="14" t="str">
        <f t="shared" si="15"/>
        <v>Week 4</v>
      </c>
    </row>
    <row r="1005" spans="1:19" x14ac:dyDescent="0.3">
      <c r="A1005" s="15" t="s">
        <v>392</v>
      </c>
      <c r="B1005" s="16">
        <v>43094</v>
      </c>
      <c r="C1005" s="17" t="s">
        <v>384</v>
      </c>
      <c r="D1005" s="17" t="s">
        <v>30</v>
      </c>
      <c r="E1005" s="17" t="s">
        <v>326</v>
      </c>
      <c r="F1005" s="18">
        <v>7</v>
      </c>
      <c r="G1005" s="19">
        <v>6030</v>
      </c>
      <c r="H1005" s="19">
        <v>42210</v>
      </c>
      <c r="I1005" s="20">
        <v>2894.4</v>
      </c>
      <c r="J1005" s="17" t="s">
        <v>54</v>
      </c>
      <c r="K1005" s="17" t="s">
        <v>55</v>
      </c>
      <c r="L1005" s="17" t="s">
        <v>56</v>
      </c>
      <c r="M1005" s="19">
        <v>20260.8</v>
      </c>
      <c r="N1005" s="19">
        <v>21949.200000000001</v>
      </c>
      <c r="O1005" s="17">
        <v>52</v>
      </c>
      <c r="P1005" s="17" t="s">
        <v>26</v>
      </c>
      <c r="Q1005" s="17">
        <v>12</v>
      </c>
      <c r="R1005" s="17" t="s">
        <v>27</v>
      </c>
      <c r="S1005" s="14" t="str">
        <f t="shared" si="15"/>
        <v>Week 4</v>
      </c>
    </row>
    <row r="1006" spans="1:19" x14ac:dyDescent="0.3">
      <c r="A1006" s="8" t="s">
        <v>1289</v>
      </c>
      <c r="B1006" s="9">
        <v>43094</v>
      </c>
      <c r="C1006" s="10" t="s">
        <v>277</v>
      </c>
      <c r="D1006" s="10" t="s">
        <v>43</v>
      </c>
      <c r="E1006" s="10" t="s">
        <v>326</v>
      </c>
      <c r="F1006" s="11">
        <v>7</v>
      </c>
      <c r="G1006" s="12">
        <v>1098.8</v>
      </c>
      <c r="H1006" s="12">
        <v>7691.5999999999995</v>
      </c>
      <c r="I1006" s="13">
        <v>791.13599999999997</v>
      </c>
      <c r="J1006" s="10" t="s">
        <v>212</v>
      </c>
      <c r="K1006" s="10" t="s">
        <v>213</v>
      </c>
      <c r="L1006" s="10" t="s">
        <v>34</v>
      </c>
      <c r="M1006" s="12">
        <v>5537.9519999999902</v>
      </c>
      <c r="N1006" s="12">
        <v>2153.6480000000001</v>
      </c>
      <c r="O1006" s="10">
        <v>28</v>
      </c>
      <c r="P1006" s="10" t="s">
        <v>26</v>
      </c>
      <c r="Q1006" s="10">
        <v>12</v>
      </c>
      <c r="R1006" s="10" t="s">
        <v>27</v>
      </c>
      <c r="S1006" s="14" t="str">
        <f t="shared" si="15"/>
        <v>Week 4</v>
      </c>
    </row>
    <row r="1007" spans="1:19" x14ac:dyDescent="0.3">
      <c r="A1007" s="15" t="s">
        <v>1290</v>
      </c>
      <c r="B1007" s="16">
        <v>43094</v>
      </c>
      <c r="C1007" s="17" t="s">
        <v>746</v>
      </c>
      <c r="D1007" s="17" t="s">
        <v>30</v>
      </c>
      <c r="E1007" s="17" t="s">
        <v>418</v>
      </c>
      <c r="F1007" s="18">
        <v>7</v>
      </c>
      <c r="G1007" s="19">
        <v>241.2</v>
      </c>
      <c r="H1007" s="19">
        <v>1688.3999999999999</v>
      </c>
      <c r="I1007" s="20">
        <v>202.608</v>
      </c>
      <c r="J1007" s="17" t="s">
        <v>104</v>
      </c>
      <c r="K1007" s="17" t="s">
        <v>105</v>
      </c>
      <c r="L1007" s="17" t="s">
        <v>25</v>
      </c>
      <c r="M1007" s="19">
        <v>1418.2560000000001</v>
      </c>
      <c r="N1007" s="19">
        <v>270.14400000000001</v>
      </c>
      <c r="O1007" s="17">
        <v>16</v>
      </c>
      <c r="P1007" s="17" t="s">
        <v>26</v>
      </c>
      <c r="Q1007" s="17">
        <v>12</v>
      </c>
      <c r="R1007" s="17" t="s">
        <v>27</v>
      </c>
      <c r="S1007" s="14" t="str">
        <f t="shared" si="15"/>
        <v>Week 4</v>
      </c>
    </row>
    <row r="1008" spans="1:19" x14ac:dyDescent="0.3">
      <c r="A1008" s="8" t="s">
        <v>1291</v>
      </c>
      <c r="B1008" s="9">
        <v>43094</v>
      </c>
      <c r="C1008" s="10" t="s">
        <v>1128</v>
      </c>
      <c r="D1008" s="10" t="s">
        <v>21</v>
      </c>
      <c r="E1008" s="10" t="s">
        <v>73</v>
      </c>
      <c r="F1008" s="11">
        <v>5</v>
      </c>
      <c r="G1008" s="12">
        <v>6231</v>
      </c>
      <c r="H1008" s="12">
        <v>31155</v>
      </c>
      <c r="I1008" s="13">
        <v>4174.7700000000004</v>
      </c>
      <c r="J1008" s="10" t="s">
        <v>23</v>
      </c>
      <c r="K1008" s="10" t="s">
        <v>24</v>
      </c>
      <c r="L1008" s="10" t="s">
        <v>25</v>
      </c>
      <c r="M1008" s="12">
        <v>20873.849999999999</v>
      </c>
      <c r="N1008" s="12">
        <v>10281.1499999999</v>
      </c>
      <c r="O1008" s="10">
        <v>32.999999999999901</v>
      </c>
      <c r="P1008" s="10" t="s">
        <v>26</v>
      </c>
      <c r="Q1008" s="10">
        <v>12</v>
      </c>
      <c r="R1008" s="10" t="s">
        <v>27</v>
      </c>
      <c r="S1008" s="14" t="str">
        <f t="shared" si="15"/>
        <v>Week 4</v>
      </c>
    </row>
    <row r="1009" spans="1:19" x14ac:dyDescent="0.3">
      <c r="A1009" s="15" t="s">
        <v>1292</v>
      </c>
      <c r="B1009" s="16">
        <v>43094</v>
      </c>
      <c r="C1009" s="17" t="s">
        <v>261</v>
      </c>
      <c r="D1009" s="17" t="s">
        <v>30</v>
      </c>
      <c r="E1009" s="17" t="s">
        <v>62</v>
      </c>
      <c r="F1009" s="18">
        <v>6</v>
      </c>
      <c r="G1009" s="19">
        <v>5735.2</v>
      </c>
      <c r="H1009" s="19">
        <v>34411.199999999997</v>
      </c>
      <c r="I1009" s="20">
        <v>4186.6959999999999</v>
      </c>
      <c r="J1009" s="17" t="s">
        <v>614</v>
      </c>
      <c r="K1009" s="17" t="s">
        <v>615</v>
      </c>
      <c r="L1009" s="17" t="s">
        <v>34</v>
      </c>
      <c r="M1009" s="19">
        <v>25120.175999999999</v>
      </c>
      <c r="N1009" s="19">
        <v>9291.0239999999903</v>
      </c>
      <c r="O1009" s="17">
        <v>26.999999999999901</v>
      </c>
      <c r="P1009" s="17" t="s">
        <v>26</v>
      </c>
      <c r="Q1009" s="17">
        <v>12</v>
      </c>
      <c r="R1009" s="17" t="s">
        <v>27</v>
      </c>
      <c r="S1009" s="14" t="str">
        <f t="shared" si="15"/>
        <v>Week 4</v>
      </c>
    </row>
    <row r="1010" spans="1:19" x14ac:dyDescent="0.3">
      <c r="A1010" s="8" t="s">
        <v>1293</v>
      </c>
      <c r="B1010" s="9">
        <v>43094</v>
      </c>
      <c r="C1010" s="10" t="s">
        <v>190</v>
      </c>
      <c r="D1010" s="10" t="s">
        <v>21</v>
      </c>
      <c r="E1010" s="10" t="s">
        <v>91</v>
      </c>
      <c r="F1010" s="11">
        <v>8</v>
      </c>
      <c r="G1010" s="12">
        <v>1165.8</v>
      </c>
      <c r="H1010" s="12">
        <v>9326.4</v>
      </c>
      <c r="I1010" s="13">
        <v>524.61</v>
      </c>
      <c r="J1010" s="10" t="s">
        <v>139</v>
      </c>
      <c r="K1010" s="10" t="s">
        <v>140</v>
      </c>
      <c r="L1010" s="10" t="s">
        <v>34</v>
      </c>
      <c r="M1010" s="12">
        <v>4196.88</v>
      </c>
      <c r="N1010" s="12">
        <v>5129.5199999999904</v>
      </c>
      <c r="O1010" s="10">
        <v>54.999999999999901</v>
      </c>
      <c r="P1010" s="10" t="s">
        <v>26</v>
      </c>
      <c r="Q1010" s="10">
        <v>12</v>
      </c>
      <c r="R1010" s="10" t="s">
        <v>27</v>
      </c>
      <c r="S1010" s="14" t="str">
        <f t="shared" si="15"/>
        <v>Week 4</v>
      </c>
    </row>
    <row r="1011" spans="1:19" x14ac:dyDescent="0.3">
      <c r="A1011" s="15" t="s">
        <v>1294</v>
      </c>
      <c r="B1011" s="16">
        <v>43094</v>
      </c>
      <c r="C1011" s="17" t="s">
        <v>791</v>
      </c>
      <c r="D1011" s="17" t="s">
        <v>21</v>
      </c>
      <c r="E1011" s="17" t="s">
        <v>93</v>
      </c>
      <c r="F1011" s="18">
        <v>10</v>
      </c>
      <c r="G1011" s="19">
        <v>1246.2</v>
      </c>
      <c r="H1011" s="19">
        <v>12462</v>
      </c>
      <c r="I1011" s="20">
        <v>847.41600000000005</v>
      </c>
      <c r="J1011" s="17" t="s">
        <v>257</v>
      </c>
      <c r="K1011" s="17" t="s">
        <v>258</v>
      </c>
      <c r="L1011" s="17" t="s">
        <v>25</v>
      </c>
      <c r="M1011" s="19">
        <v>8474.16</v>
      </c>
      <c r="N1011" s="19">
        <v>3987.84</v>
      </c>
      <c r="O1011" s="17">
        <v>32</v>
      </c>
      <c r="P1011" s="17" t="s">
        <v>26</v>
      </c>
      <c r="Q1011" s="17">
        <v>12</v>
      </c>
      <c r="R1011" s="17" t="s">
        <v>27</v>
      </c>
      <c r="S1011" s="14" t="str">
        <f t="shared" si="15"/>
        <v>Week 4</v>
      </c>
    </row>
    <row r="1012" spans="1:19" x14ac:dyDescent="0.3">
      <c r="A1012" s="8" t="s">
        <v>1295</v>
      </c>
      <c r="B1012" s="9">
        <v>43094</v>
      </c>
      <c r="C1012" s="10" t="s">
        <v>470</v>
      </c>
      <c r="D1012" s="10" t="s">
        <v>21</v>
      </c>
      <c r="E1012" s="10" t="s">
        <v>418</v>
      </c>
      <c r="F1012" s="11">
        <v>12</v>
      </c>
      <c r="G1012" s="12">
        <v>978.2</v>
      </c>
      <c r="H1012" s="12">
        <v>11738.400000000001</v>
      </c>
      <c r="I1012" s="13">
        <v>674.95799999999997</v>
      </c>
      <c r="J1012" s="10" t="s">
        <v>45</v>
      </c>
      <c r="K1012" s="10" t="s">
        <v>46</v>
      </c>
      <c r="L1012" s="10" t="s">
        <v>34</v>
      </c>
      <c r="M1012" s="12">
        <v>8099.4959999999901</v>
      </c>
      <c r="N1012" s="12">
        <v>3638.904</v>
      </c>
      <c r="O1012" s="10">
        <v>31</v>
      </c>
      <c r="P1012" s="10" t="s">
        <v>26</v>
      </c>
      <c r="Q1012" s="10">
        <v>12</v>
      </c>
      <c r="R1012" s="10" t="s">
        <v>27</v>
      </c>
      <c r="S1012" s="14" t="str">
        <f t="shared" si="15"/>
        <v>Week 4</v>
      </c>
    </row>
    <row r="1013" spans="1:19" x14ac:dyDescent="0.3">
      <c r="A1013" s="15" t="s">
        <v>1296</v>
      </c>
      <c r="B1013" s="16">
        <v>43094</v>
      </c>
      <c r="C1013" s="17" t="s">
        <v>29</v>
      </c>
      <c r="D1013" s="17" t="s">
        <v>21</v>
      </c>
      <c r="E1013" s="17" t="s">
        <v>146</v>
      </c>
      <c r="F1013" s="18">
        <v>12</v>
      </c>
      <c r="G1013" s="19">
        <v>1098.8</v>
      </c>
      <c r="H1013" s="19">
        <v>13185.599999999999</v>
      </c>
      <c r="I1013" s="20">
        <v>813.11199999999997</v>
      </c>
      <c r="J1013" s="17" t="s">
        <v>32</v>
      </c>
      <c r="K1013" s="17" t="s">
        <v>33</v>
      </c>
      <c r="L1013" s="17" t="s">
        <v>34</v>
      </c>
      <c r="M1013" s="19">
        <v>9757.3439999999991</v>
      </c>
      <c r="N1013" s="19">
        <v>3428.2559999999899</v>
      </c>
      <c r="O1013" s="17">
        <v>26</v>
      </c>
      <c r="P1013" s="17" t="s">
        <v>26</v>
      </c>
      <c r="Q1013" s="17">
        <v>12</v>
      </c>
      <c r="R1013" s="17" t="s">
        <v>27</v>
      </c>
      <c r="S1013" s="14" t="str">
        <f t="shared" si="15"/>
        <v>Week 4</v>
      </c>
    </row>
    <row r="1014" spans="1:19" x14ac:dyDescent="0.3">
      <c r="A1014" s="8" t="s">
        <v>1297</v>
      </c>
      <c r="B1014" s="9">
        <v>43094</v>
      </c>
      <c r="C1014" s="10" t="s">
        <v>75</v>
      </c>
      <c r="D1014" s="10" t="s">
        <v>21</v>
      </c>
      <c r="E1014" s="10" t="s">
        <v>103</v>
      </c>
      <c r="F1014" s="11">
        <v>5</v>
      </c>
      <c r="G1014" s="12">
        <v>3859.2</v>
      </c>
      <c r="H1014" s="12">
        <v>19296</v>
      </c>
      <c r="I1014" s="13">
        <v>2662.848</v>
      </c>
      <c r="J1014" s="10" t="s">
        <v>32</v>
      </c>
      <c r="K1014" s="10" t="s">
        <v>33</v>
      </c>
      <c r="L1014" s="10" t="s">
        <v>34</v>
      </c>
      <c r="M1014" s="12">
        <v>13314.24</v>
      </c>
      <c r="N1014" s="12">
        <v>5981.76</v>
      </c>
      <c r="O1014" s="10">
        <v>31</v>
      </c>
      <c r="P1014" s="10" t="s">
        <v>26</v>
      </c>
      <c r="Q1014" s="10">
        <v>12</v>
      </c>
      <c r="R1014" s="10" t="s">
        <v>27</v>
      </c>
      <c r="S1014" s="14" t="str">
        <f t="shared" si="15"/>
        <v>Week 4</v>
      </c>
    </row>
    <row r="1015" spans="1:19" x14ac:dyDescent="0.3">
      <c r="A1015" s="15" t="s">
        <v>1298</v>
      </c>
      <c r="B1015" s="16">
        <v>43094</v>
      </c>
      <c r="C1015" s="17" t="s">
        <v>328</v>
      </c>
      <c r="D1015" s="17" t="s">
        <v>21</v>
      </c>
      <c r="E1015" s="17" t="s">
        <v>146</v>
      </c>
      <c r="F1015" s="18">
        <v>12</v>
      </c>
      <c r="G1015" s="19">
        <v>2452.1999999999998</v>
      </c>
      <c r="H1015" s="19">
        <v>29426.399999999998</v>
      </c>
      <c r="I1015" s="20">
        <v>1814.6279999999999</v>
      </c>
      <c r="J1015" s="17" t="s">
        <v>257</v>
      </c>
      <c r="K1015" s="17" t="s">
        <v>258</v>
      </c>
      <c r="L1015" s="17" t="s">
        <v>25</v>
      </c>
      <c r="M1015" s="19">
        <v>21775.536</v>
      </c>
      <c r="N1015" s="19">
        <v>7650.8639999999996</v>
      </c>
      <c r="O1015" s="17">
        <v>26</v>
      </c>
      <c r="P1015" s="17" t="s">
        <v>26</v>
      </c>
      <c r="Q1015" s="17">
        <v>12</v>
      </c>
      <c r="R1015" s="17" t="s">
        <v>27</v>
      </c>
      <c r="S1015" s="14" t="str">
        <f t="shared" si="15"/>
        <v>Week 4</v>
      </c>
    </row>
    <row r="1016" spans="1:19" x14ac:dyDescent="0.3">
      <c r="A1016" s="8" t="s">
        <v>1299</v>
      </c>
      <c r="B1016" s="9">
        <v>43094</v>
      </c>
      <c r="C1016" s="10" t="s">
        <v>499</v>
      </c>
      <c r="D1016" s="10" t="s">
        <v>30</v>
      </c>
      <c r="E1016" s="10" t="s">
        <v>306</v>
      </c>
      <c r="F1016" s="11">
        <v>7</v>
      </c>
      <c r="G1016" s="12">
        <v>2324.9</v>
      </c>
      <c r="H1016" s="12">
        <v>16274.300000000001</v>
      </c>
      <c r="I1016" s="13">
        <v>1069.454</v>
      </c>
      <c r="J1016" s="10" t="s">
        <v>132</v>
      </c>
      <c r="K1016" s="10" t="s">
        <v>133</v>
      </c>
      <c r="L1016" s="10" t="s">
        <v>34</v>
      </c>
      <c r="M1016" s="12">
        <v>7486.1779999999999</v>
      </c>
      <c r="N1016" s="12">
        <v>8788.1219999999994</v>
      </c>
      <c r="O1016" s="10">
        <v>53.999999999999901</v>
      </c>
      <c r="P1016" s="10" t="s">
        <v>26</v>
      </c>
      <c r="Q1016" s="10">
        <v>12</v>
      </c>
      <c r="R1016" s="10" t="s">
        <v>27</v>
      </c>
      <c r="S1016" s="14" t="str">
        <f t="shared" si="15"/>
        <v>Week 4</v>
      </c>
    </row>
    <row r="1017" spans="1:19" x14ac:dyDescent="0.3">
      <c r="A1017" s="15" t="s">
        <v>1300</v>
      </c>
      <c r="B1017" s="16">
        <v>43094</v>
      </c>
      <c r="C1017" s="17" t="s">
        <v>591</v>
      </c>
      <c r="D1017" s="17" t="s">
        <v>43</v>
      </c>
      <c r="E1017" s="17" t="s">
        <v>284</v>
      </c>
      <c r="F1017" s="18">
        <v>11</v>
      </c>
      <c r="G1017" s="19">
        <v>2278</v>
      </c>
      <c r="H1017" s="19">
        <v>25058</v>
      </c>
      <c r="I1017" s="20">
        <v>956.76</v>
      </c>
      <c r="J1017" s="17" t="s">
        <v>116</v>
      </c>
      <c r="K1017" s="17" t="s">
        <v>117</v>
      </c>
      <c r="L1017" s="17" t="s">
        <v>40</v>
      </c>
      <c r="M1017" s="19">
        <v>10524.36</v>
      </c>
      <c r="N1017" s="19">
        <v>14533.64</v>
      </c>
      <c r="O1017" s="17">
        <v>57.999999999999901</v>
      </c>
      <c r="P1017" s="17" t="s">
        <v>26</v>
      </c>
      <c r="Q1017" s="17">
        <v>12</v>
      </c>
      <c r="R1017" s="17" t="s">
        <v>27</v>
      </c>
      <c r="S1017" s="14" t="str">
        <f t="shared" si="15"/>
        <v>Week 4</v>
      </c>
    </row>
    <row r="1018" spans="1:19" x14ac:dyDescent="0.3">
      <c r="A1018" s="8" t="s">
        <v>1301</v>
      </c>
      <c r="B1018" s="9">
        <v>43094</v>
      </c>
      <c r="C1018" s="10" t="s">
        <v>1048</v>
      </c>
      <c r="D1018" s="10" t="s">
        <v>30</v>
      </c>
      <c r="E1018" s="10" t="s">
        <v>149</v>
      </c>
      <c r="F1018" s="11">
        <v>7</v>
      </c>
      <c r="G1018" s="12">
        <v>1688.4</v>
      </c>
      <c r="H1018" s="12">
        <v>11818.800000000001</v>
      </c>
      <c r="I1018" s="13">
        <v>1215.6479999999999</v>
      </c>
      <c r="J1018" s="10" t="s">
        <v>222</v>
      </c>
      <c r="K1018" s="10" t="s">
        <v>223</v>
      </c>
      <c r="L1018" s="10" t="s">
        <v>25</v>
      </c>
      <c r="M1018" s="12">
        <v>8509.5360000000001</v>
      </c>
      <c r="N1018" s="12">
        <v>3309.2640000000001</v>
      </c>
      <c r="O1018" s="10">
        <v>28</v>
      </c>
      <c r="P1018" s="10" t="s">
        <v>26</v>
      </c>
      <c r="Q1018" s="10">
        <v>12</v>
      </c>
      <c r="R1018" s="10" t="s">
        <v>27</v>
      </c>
      <c r="S1018" s="14" t="str">
        <f t="shared" si="15"/>
        <v>Week 4</v>
      </c>
    </row>
    <row r="1019" spans="1:19" x14ac:dyDescent="0.3">
      <c r="A1019" s="15" t="s">
        <v>1302</v>
      </c>
      <c r="B1019" s="16">
        <v>43094</v>
      </c>
      <c r="C1019" s="17" t="s">
        <v>521</v>
      </c>
      <c r="D1019" s="17" t="s">
        <v>21</v>
      </c>
      <c r="E1019" s="17" t="s">
        <v>31</v>
      </c>
      <c r="F1019" s="18">
        <v>7</v>
      </c>
      <c r="G1019" s="19">
        <v>911.2</v>
      </c>
      <c r="H1019" s="19">
        <v>6378.4000000000005</v>
      </c>
      <c r="I1019" s="20">
        <v>646.952</v>
      </c>
      <c r="J1019" s="17" t="s">
        <v>212</v>
      </c>
      <c r="K1019" s="17" t="s">
        <v>213</v>
      </c>
      <c r="L1019" s="17" t="s">
        <v>34</v>
      </c>
      <c r="M1019" s="19">
        <v>4528.6639999999998</v>
      </c>
      <c r="N1019" s="19">
        <v>1849.7360000000001</v>
      </c>
      <c r="O1019" s="17">
        <v>29</v>
      </c>
      <c r="P1019" s="17" t="s">
        <v>26</v>
      </c>
      <c r="Q1019" s="17">
        <v>12</v>
      </c>
      <c r="R1019" s="17" t="s">
        <v>27</v>
      </c>
      <c r="S1019" s="14" t="str">
        <f t="shared" si="15"/>
        <v>Week 4</v>
      </c>
    </row>
    <row r="1020" spans="1:19" x14ac:dyDescent="0.3">
      <c r="A1020" s="8" t="s">
        <v>1303</v>
      </c>
      <c r="B1020" s="9">
        <v>43094</v>
      </c>
      <c r="C1020" s="10" t="s">
        <v>551</v>
      </c>
      <c r="D1020" s="10" t="s">
        <v>21</v>
      </c>
      <c r="E1020" s="10" t="s">
        <v>149</v>
      </c>
      <c r="F1020" s="11">
        <v>11</v>
      </c>
      <c r="G1020" s="12">
        <v>3926.2</v>
      </c>
      <c r="H1020" s="12">
        <v>43188.2</v>
      </c>
      <c r="I1020" s="13">
        <v>1766.79</v>
      </c>
      <c r="J1020" s="10" t="s">
        <v>54</v>
      </c>
      <c r="K1020" s="10" t="s">
        <v>55</v>
      </c>
      <c r="L1020" s="10" t="s">
        <v>56</v>
      </c>
      <c r="M1020" s="12">
        <v>19434.689999999999</v>
      </c>
      <c r="N1020" s="12">
        <v>23753.51</v>
      </c>
      <c r="O1020" s="10">
        <v>55</v>
      </c>
      <c r="P1020" s="10" t="s">
        <v>26</v>
      </c>
      <c r="Q1020" s="10">
        <v>12</v>
      </c>
      <c r="R1020" s="10" t="s">
        <v>27</v>
      </c>
      <c r="S1020" s="14" t="str">
        <f t="shared" si="15"/>
        <v>Week 4</v>
      </c>
    </row>
    <row r="1021" spans="1:19" x14ac:dyDescent="0.3">
      <c r="A1021" s="15" t="s">
        <v>1304</v>
      </c>
      <c r="B1021" s="16">
        <v>43094</v>
      </c>
      <c r="C1021" s="17" t="s">
        <v>380</v>
      </c>
      <c r="D1021" s="17" t="s">
        <v>30</v>
      </c>
      <c r="E1021" s="17" t="s">
        <v>93</v>
      </c>
      <c r="F1021" s="18">
        <v>10</v>
      </c>
      <c r="G1021" s="19">
        <v>3953</v>
      </c>
      <c r="H1021" s="19">
        <v>39530</v>
      </c>
      <c r="I1021" s="20">
        <v>2569.4499999999998</v>
      </c>
      <c r="J1021" s="17" t="s">
        <v>177</v>
      </c>
      <c r="K1021" s="17" t="s">
        <v>178</v>
      </c>
      <c r="L1021" s="17" t="s">
        <v>40</v>
      </c>
      <c r="M1021" s="19">
        <v>25694.5</v>
      </c>
      <c r="N1021" s="19">
        <v>13835.4999999999</v>
      </c>
      <c r="O1021" s="17">
        <v>34.999999999999901</v>
      </c>
      <c r="P1021" s="17" t="s">
        <v>26</v>
      </c>
      <c r="Q1021" s="17">
        <v>12</v>
      </c>
      <c r="R1021" s="17" t="s">
        <v>27</v>
      </c>
      <c r="S1021" s="14" t="str">
        <f t="shared" si="15"/>
        <v>Week 4</v>
      </c>
    </row>
    <row r="1022" spans="1:19" x14ac:dyDescent="0.3">
      <c r="A1022" s="8" t="s">
        <v>1305</v>
      </c>
      <c r="B1022" s="9">
        <v>43094</v>
      </c>
      <c r="C1022" s="10" t="s">
        <v>217</v>
      </c>
      <c r="D1022" s="10" t="s">
        <v>43</v>
      </c>
      <c r="E1022" s="10" t="s">
        <v>49</v>
      </c>
      <c r="F1022" s="11">
        <v>6</v>
      </c>
      <c r="G1022" s="12">
        <v>1125.5999999999999</v>
      </c>
      <c r="H1022" s="12">
        <v>6753.5999999999995</v>
      </c>
      <c r="I1022" s="13">
        <v>934.24800000000005</v>
      </c>
      <c r="J1022" s="10" t="s">
        <v>218</v>
      </c>
      <c r="K1022" s="10" t="s">
        <v>219</v>
      </c>
      <c r="L1022" s="10" t="s">
        <v>34</v>
      </c>
      <c r="M1022" s="12">
        <v>5605.4880000000003</v>
      </c>
      <c r="N1022" s="12">
        <v>1148.1120000000001</v>
      </c>
      <c r="O1022" s="10">
        <v>17</v>
      </c>
      <c r="P1022" s="10" t="s">
        <v>26</v>
      </c>
      <c r="Q1022" s="10">
        <v>12</v>
      </c>
      <c r="R1022" s="10" t="s">
        <v>27</v>
      </c>
      <c r="S1022" s="14" t="str">
        <f t="shared" si="15"/>
        <v>Week 4</v>
      </c>
    </row>
    <row r="1023" spans="1:19" x14ac:dyDescent="0.3">
      <c r="A1023" s="15" t="s">
        <v>1306</v>
      </c>
      <c r="B1023" s="16">
        <v>43094</v>
      </c>
      <c r="C1023" s="17" t="s">
        <v>714</v>
      </c>
      <c r="D1023" s="17" t="s">
        <v>30</v>
      </c>
      <c r="E1023" s="17" t="s">
        <v>110</v>
      </c>
      <c r="F1023" s="18">
        <v>10</v>
      </c>
      <c r="G1023" s="19">
        <v>1748.7</v>
      </c>
      <c r="H1023" s="19">
        <v>17487</v>
      </c>
      <c r="I1023" s="20">
        <v>1381.473</v>
      </c>
      <c r="J1023" s="17" t="s">
        <v>38</v>
      </c>
      <c r="K1023" s="17" t="s">
        <v>39</v>
      </c>
      <c r="L1023" s="17" t="s">
        <v>40</v>
      </c>
      <c r="M1023" s="19">
        <v>13814.73</v>
      </c>
      <c r="N1023" s="19">
        <v>3672.26999999999</v>
      </c>
      <c r="O1023" s="17">
        <v>20.999999999999901</v>
      </c>
      <c r="P1023" s="17" t="s">
        <v>26</v>
      </c>
      <c r="Q1023" s="17">
        <v>12</v>
      </c>
      <c r="R1023" s="17" t="s">
        <v>27</v>
      </c>
      <c r="S1023" s="14" t="str">
        <f t="shared" si="15"/>
        <v>Week 4</v>
      </c>
    </row>
    <row r="1024" spans="1:19" x14ac:dyDescent="0.3">
      <c r="A1024" s="8" t="s">
        <v>1307</v>
      </c>
      <c r="B1024" s="9">
        <v>43094</v>
      </c>
      <c r="C1024" s="10" t="s">
        <v>514</v>
      </c>
      <c r="D1024" s="10" t="s">
        <v>21</v>
      </c>
      <c r="E1024" s="10" t="s">
        <v>31</v>
      </c>
      <c r="F1024" s="11">
        <v>10</v>
      </c>
      <c r="G1024" s="12">
        <v>1139</v>
      </c>
      <c r="H1024" s="12">
        <v>11390</v>
      </c>
      <c r="I1024" s="13">
        <v>672.01</v>
      </c>
      <c r="J1024" s="10" t="s">
        <v>218</v>
      </c>
      <c r="K1024" s="10" t="s">
        <v>219</v>
      </c>
      <c r="L1024" s="10" t="s">
        <v>34</v>
      </c>
      <c r="M1024" s="12">
        <v>6720.1</v>
      </c>
      <c r="N1024" s="12">
        <v>4669.8999999999996</v>
      </c>
      <c r="O1024" s="10">
        <v>41</v>
      </c>
      <c r="P1024" s="10" t="s">
        <v>26</v>
      </c>
      <c r="Q1024" s="10">
        <v>12</v>
      </c>
      <c r="R1024" s="10" t="s">
        <v>27</v>
      </c>
      <c r="S1024" s="14" t="str">
        <f t="shared" si="15"/>
        <v>Week 4</v>
      </c>
    </row>
    <row r="1025" spans="1:19" x14ac:dyDescent="0.3">
      <c r="A1025" s="15" t="s">
        <v>1308</v>
      </c>
      <c r="B1025" s="16">
        <v>43094</v>
      </c>
      <c r="C1025" s="17" t="s">
        <v>551</v>
      </c>
      <c r="D1025" s="17" t="s">
        <v>21</v>
      </c>
      <c r="E1025" s="17" t="s">
        <v>31</v>
      </c>
      <c r="F1025" s="18">
        <v>8</v>
      </c>
      <c r="G1025" s="19">
        <v>3959.7</v>
      </c>
      <c r="H1025" s="19">
        <v>31677.599999999999</v>
      </c>
      <c r="I1025" s="20">
        <v>2652.9989999999998</v>
      </c>
      <c r="J1025" s="17" t="s">
        <v>54</v>
      </c>
      <c r="K1025" s="17" t="s">
        <v>55</v>
      </c>
      <c r="L1025" s="17" t="s">
        <v>56</v>
      </c>
      <c r="M1025" s="19">
        <v>21223.991999999998</v>
      </c>
      <c r="N1025" s="19">
        <v>10453.608</v>
      </c>
      <c r="O1025" s="17">
        <v>32.999999999999901</v>
      </c>
      <c r="P1025" s="17" t="s">
        <v>26</v>
      </c>
      <c r="Q1025" s="17">
        <v>12</v>
      </c>
      <c r="R1025" s="17" t="s">
        <v>27</v>
      </c>
      <c r="S1025" s="14" t="str">
        <f t="shared" si="15"/>
        <v>Week 4</v>
      </c>
    </row>
    <row r="1026" spans="1:19" x14ac:dyDescent="0.3">
      <c r="A1026" s="8" t="s">
        <v>1309</v>
      </c>
      <c r="B1026" s="9">
        <v>43094</v>
      </c>
      <c r="C1026" s="10" t="s">
        <v>461</v>
      </c>
      <c r="D1026" s="10" t="s">
        <v>43</v>
      </c>
      <c r="E1026" s="10" t="s">
        <v>110</v>
      </c>
      <c r="F1026" s="11">
        <v>7</v>
      </c>
      <c r="G1026" s="12">
        <v>971.5</v>
      </c>
      <c r="H1026" s="12">
        <v>6800.5</v>
      </c>
      <c r="I1026" s="13">
        <v>573.18499999999995</v>
      </c>
      <c r="J1026" s="10" t="s">
        <v>32</v>
      </c>
      <c r="K1026" s="10" t="s">
        <v>33</v>
      </c>
      <c r="L1026" s="10" t="s">
        <v>34</v>
      </c>
      <c r="M1026" s="12">
        <v>4012.2949999999901</v>
      </c>
      <c r="N1026" s="12">
        <v>2788.2049999999999</v>
      </c>
      <c r="O1026" s="10">
        <v>41</v>
      </c>
      <c r="P1026" s="10" t="s">
        <v>26</v>
      </c>
      <c r="Q1026" s="10">
        <v>12</v>
      </c>
      <c r="R1026" s="10" t="s">
        <v>27</v>
      </c>
      <c r="S1026" s="14" t="str">
        <f t="shared" si="15"/>
        <v>Week 4</v>
      </c>
    </row>
    <row r="1027" spans="1:19" x14ac:dyDescent="0.3">
      <c r="A1027" s="15" t="s">
        <v>1033</v>
      </c>
      <c r="B1027" s="16">
        <v>43094</v>
      </c>
      <c r="C1027" s="17" t="s">
        <v>358</v>
      </c>
      <c r="D1027" s="17" t="s">
        <v>30</v>
      </c>
      <c r="E1027" s="17" t="s">
        <v>37</v>
      </c>
      <c r="F1027" s="18">
        <v>11</v>
      </c>
      <c r="G1027" s="19">
        <v>3899.4</v>
      </c>
      <c r="H1027" s="19">
        <v>42893.4</v>
      </c>
      <c r="I1027" s="20">
        <v>2456.6219999999998</v>
      </c>
      <c r="J1027" s="17" t="s">
        <v>87</v>
      </c>
      <c r="K1027" s="17" t="s">
        <v>88</v>
      </c>
      <c r="L1027" s="17" t="s">
        <v>56</v>
      </c>
      <c r="M1027" s="19">
        <v>27022.842000000001</v>
      </c>
      <c r="N1027" s="19">
        <v>15870.557999999901</v>
      </c>
      <c r="O1027" s="17">
        <v>36.999999999999901</v>
      </c>
      <c r="P1027" s="17" t="s">
        <v>26</v>
      </c>
      <c r="Q1027" s="17">
        <v>12</v>
      </c>
      <c r="R1027" s="17" t="s">
        <v>27</v>
      </c>
      <c r="S1027" s="14" t="str">
        <f t="shared" ref="S1027:S1090" si="16">"Week "&amp;INT((DAY(B1027)-1)/7)+1</f>
        <v>Week 4</v>
      </c>
    </row>
    <row r="1028" spans="1:19" x14ac:dyDescent="0.3">
      <c r="A1028" s="8" t="s">
        <v>1310</v>
      </c>
      <c r="B1028" s="9">
        <v>43094</v>
      </c>
      <c r="C1028" s="10" t="s">
        <v>68</v>
      </c>
      <c r="D1028" s="10" t="s">
        <v>21</v>
      </c>
      <c r="E1028" s="10" t="s">
        <v>191</v>
      </c>
      <c r="F1028" s="11">
        <v>11</v>
      </c>
      <c r="G1028" s="12">
        <v>1802.3</v>
      </c>
      <c r="H1028" s="12">
        <v>19825.3</v>
      </c>
      <c r="I1028" s="13">
        <v>1063.357</v>
      </c>
      <c r="J1028" s="10" t="s">
        <v>94</v>
      </c>
      <c r="K1028" s="10" t="s">
        <v>95</v>
      </c>
      <c r="L1028" s="10" t="s">
        <v>40</v>
      </c>
      <c r="M1028" s="12">
        <v>11696.927</v>
      </c>
      <c r="N1028" s="12">
        <v>8128.3729999999996</v>
      </c>
      <c r="O1028" s="10">
        <v>41</v>
      </c>
      <c r="P1028" s="10" t="s">
        <v>26</v>
      </c>
      <c r="Q1028" s="10">
        <v>12</v>
      </c>
      <c r="R1028" s="10" t="s">
        <v>27</v>
      </c>
      <c r="S1028" s="14" t="str">
        <f t="shared" si="16"/>
        <v>Week 4</v>
      </c>
    </row>
    <row r="1029" spans="1:19" x14ac:dyDescent="0.3">
      <c r="A1029" s="15" t="s">
        <v>1311</v>
      </c>
      <c r="B1029" s="16">
        <v>43094</v>
      </c>
      <c r="C1029" s="17" t="s">
        <v>549</v>
      </c>
      <c r="D1029" s="17" t="s">
        <v>30</v>
      </c>
      <c r="E1029" s="17" t="s">
        <v>49</v>
      </c>
      <c r="F1029" s="18">
        <v>11</v>
      </c>
      <c r="G1029" s="19">
        <v>1715.2</v>
      </c>
      <c r="H1029" s="19">
        <v>18867.2</v>
      </c>
      <c r="I1029" s="20">
        <v>1166.336</v>
      </c>
      <c r="J1029" s="17" t="s">
        <v>218</v>
      </c>
      <c r="K1029" s="17" t="s">
        <v>219</v>
      </c>
      <c r="L1029" s="17" t="s">
        <v>34</v>
      </c>
      <c r="M1029" s="19">
        <v>12829.696</v>
      </c>
      <c r="N1029" s="19">
        <v>6037.5039999999999</v>
      </c>
      <c r="O1029" s="17">
        <v>32</v>
      </c>
      <c r="P1029" s="17" t="s">
        <v>26</v>
      </c>
      <c r="Q1029" s="17">
        <v>12</v>
      </c>
      <c r="R1029" s="17" t="s">
        <v>27</v>
      </c>
      <c r="S1029" s="14" t="str">
        <f t="shared" si="16"/>
        <v>Week 4</v>
      </c>
    </row>
    <row r="1030" spans="1:19" x14ac:dyDescent="0.3">
      <c r="A1030" s="8" t="s">
        <v>1312</v>
      </c>
      <c r="B1030" s="9">
        <v>43094</v>
      </c>
      <c r="C1030" s="10" t="s">
        <v>170</v>
      </c>
      <c r="D1030" s="10" t="s">
        <v>43</v>
      </c>
      <c r="E1030" s="10" t="s">
        <v>31</v>
      </c>
      <c r="F1030" s="11">
        <v>8</v>
      </c>
      <c r="G1030" s="12">
        <v>3886</v>
      </c>
      <c r="H1030" s="12">
        <v>31088</v>
      </c>
      <c r="I1030" s="13">
        <v>2331.6</v>
      </c>
      <c r="J1030" s="10" t="s">
        <v>218</v>
      </c>
      <c r="K1030" s="10" t="s">
        <v>219</v>
      </c>
      <c r="L1030" s="10" t="s">
        <v>34</v>
      </c>
      <c r="M1030" s="12">
        <v>18652.8</v>
      </c>
      <c r="N1030" s="12">
        <v>12435.2</v>
      </c>
      <c r="O1030" s="10">
        <v>40</v>
      </c>
      <c r="P1030" s="10" t="s">
        <v>26</v>
      </c>
      <c r="Q1030" s="10">
        <v>12</v>
      </c>
      <c r="R1030" s="10" t="s">
        <v>27</v>
      </c>
      <c r="S1030" s="14" t="str">
        <f t="shared" si="16"/>
        <v>Week 4</v>
      </c>
    </row>
    <row r="1031" spans="1:19" x14ac:dyDescent="0.3">
      <c r="A1031" s="15" t="s">
        <v>1313</v>
      </c>
      <c r="B1031" s="16">
        <v>43094</v>
      </c>
      <c r="C1031" s="17" t="s">
        <v>75</v>
      </c>
      <c r="D1031" s="17" t="s">
        <v>21</v>
      </c>
      <c r="E1031" s="17" t="s">
        <v>31</v>
      </c>
      <c r="F1031" s="18">
        <v>9</v>
      </c>
      <c r="G1031" s="19">
        <v>998.3</v>
      </c>
      <c r="H1031" s="19">
        <v>8984.6999999999989</v>
      </c>
      <c r="I1031" s="20">
        <v>838.572</v>
      </c>
      <c r="J1031" s="17" t="s">
        <v>266</v>
      </c>
      <c r="K1031" s="17" t="s">
        <v>267</v>
      </c>
      <c r="L1031" s="17" t="s">
        <v>34</v>
      </c>
      <c r="M1031" s="19">
        <v>7547.1480000000001</v>
      </c>
      <c r="N1031" s="19">
        <v>1437.5519999999999</v>
      </c>
      <c r="O1031" s="17">
        <v>16</v>
      </c>
      <c r="P1031" s="17" t="s">
        <v>26</v>
      </c>
      <c r="Q1031" s="17">
        <v>12</v>
      </c>
      <c r="R1031" s="17" t="s">
        <v>27</v>
      </c>
      <c r="S1031" s="14" t="str">
        <f t="shared" si="16"/>
        <v>Week 4</v>
      </c>
    </row>
    <row r="1032" spans="1:19" x14ac:dyDescent="0.3">
      <c r="A1032" s="8" t="s">
        <v>1314</v>
      </c>
      <c r="B1032" s="9">
        <v>43094</v>
      </c>
      <c r="C1032" s="10" t="s">
        <v>345</v>
      </c>
      <c r="D1032" s="10" t="s">
        <v>21</v>
      </c>
      <c r="E1032" s="10" t="s">
        <v>146</v>
      </c>
      <c r="F1032" s="11">
        <v>8</v>
      </c>
      <c r="G1032" s="12">
        <v>857.6</v>
      </c>
      <c r="H1032" s="12">
        <v>6860.8</v>
      </c>
      <c r="I1032" s="13">
        <v>686.08</v>
      </c>
      <c r="J1032" s="10" t="s">
        <v>45</v>
      </c>
      <c r="K1032" s="10" t="s">
        <v>46</v>
      </c>
      <c r="L1032" s="10" t="s">
        <v>34</v>
      </c>
      <c r="M1032" s="12">
        <v>5488.64</v>
      </c>
      <c r="N1032" s="12">
        <v>1372.1599999999901</v>
      </c>
      <c r="O1032" s="10">
        <v>20</v>
      </c>
      <c r="P1032" s="10" t="s">
        <v>26</v>
      </c>
      <c r="Q1032" s="10">
        <v>12</v>
      </c>
      <c r="R1032" s="10" t="s">
        <v>27</v>
      </c>
      <c r="S1032" s="14" t="str">
        <f t="shared" si="16"/>
        <v>Week 4</v>
      </c>
    </row>
    <row r="1033" spans="1:19" x14ac:dyDescent="0.3">
      <c r="A1033" s="15" t="s">
        <v>1315</v>
      </c>
      <c r="B1033" s="16">
        <v>43094</v>
      </c>
      <c r="C1033" s="17" t="s">
        <v>182</v>
      </c>
      <c r="D1033" s="17" t="s">
        <v>30</v>
      </c>
      <c r="E1033" s="17" t="s">
        <v>191</v>
      </c>
      <c r="F1033" s="18">
        <v>7</v>
      </c>
      <c r="G1033" s="19">
        <v>5587.8</v>
      </c>
      <c r="H1033" s="19">
        <v>39114.6</v>
      </c>
      <c r="I1033" s="20">
        <v>2682.1439999999998</v>
      </c>
      <c r="J1033" s="17" t="s">
        <v>54</v>
      </c>
      <c r="K1033" s="17" t="s">
        <v>55</v>
      </c>
      <c r="L1033" s="17" t="s">
        <v>56</v>
      </c>
      <c r="M1033" s="19">
        <v>18775.0079999999</v>
      </c>
      <c r="N1033" s="19">
        <v>20339.592000000001</v>
      </c>
      <c r="O1033" s="17">
        <v>52</v>
      </c>
      <c r="P1033" s="17" t="s">
        <v>26</v>
      </c>
      <c r="Q1033" s="17">
        <v>12</v>
      </c>
      <c r="R1033" s="17" t="s">
        <v>27</v>
      </c>
      <c r="S1033" s="14" t="str">
        <f t="shared" si="16"/>
        <v>Week 4</v>
      </c>
    </row>
    <row r="1034" spans="1:19" x14ac:dyDescent="0.3">
      <c r="A1034" s="8" t="s">
        <v>1316</v>
      </c>
      <c r="B1034" s="9">
        <v>43094</v>
      </c>
      <c r="C1034" s="10" t="s">
        <v>316</v>
      </c>
      <c r="D1034" s="10" t="s">
        <v>43</v>
      </c>
      <c r="E1034" s="10" t="s">
        <v>103</v>
      </c>
      <c r="F1034" s="11">
        <v>6</v>
      </c>
      <c r="G1034" s="12">
        <v>1011.7</v>
      </c>
      <c r="H1034" s="12">
        <v>6070.2000000000007</v>
      </c>
      <c r="I1034" s="13">
        <v>455.26499999999999</v>
      </c>
      <c r="J1034" s="10" t="s">
        <v>45</v>
      </c>
      <c r="K1034" s="10" t="s">
        <v>46</v>
      </c>
      <c r="L1034" s="10" t="s">
        <v>34</v>
      </c>
      <c r="M1034" s="12">
        <v>2731.59</v>
      </c>
      <c r="N1034" s="12">
        <v>3338.61</v>
      </c>
      <c r="O1034" s="10">
        <v>55</v>
      </c>
      <c r="P1034" s="10" t="s">
        <v>26</v>
      </c>
      <c r="Q1034" s="10">
        <v>12</v>
      </c>
      <c r="R1034" s="10" t="s">
        <v>27</v>
      </c>
      <c r="S1034" s="14" t="str">
        <f t="shared" si="16"/>
        <v>Week 4</v>
      </c>
    </row>
    <row r="1035" spans="1:19" x14ac:dyDescent="0.3">
      <c r="A1035" s="15" t="s">
        <v>1317</v>
      </c>
      <c r="B1035" s="16">
        <v>43094</v>
      </c>
      <c r="C1035" s="17" t="s">
        <v>1048</v>
      </c>
      <c r="D1035" s="17" t="s">
        <v>21</v>
      </c>
      <c r="E1035" s="17" t="s">
        <v>73</v>
      </c>
      <c r="F1035" s="18">
        <v>7</v>
      </c>
      <c r="G1035" s="19">
        <v>6405.2</v>
      </c>
      <c r="H1035" s="19">
        <v>44836.4</v>
      </c>
      <c r="I1035" s="20">
        <v>4163.38</v>
      </c>
      <c r="J1035" s="17" t="s">
        <v>54</v>
      </c>
      <c r="K1035" s="17" t="s">
        <v>55</v>
      </c>
      <c r="L1035" s="17" t="s">
        <v>56</v>
      </c>
      <c r="M1035" s="19">
        <v>29143.66</v>
      </c>
      <c r="N1035" s="19">
        <v>15692.74</v>
      </c>
      <c r="O1035" s="17">
        <v>35</v>
      </c>
      <c r="P1035" s="17" t="s">
        <v>26</v>
      </c>
      <c r="Q1035" s="17">
        <v>12</v>
      </c>
      <c r="R1035" s="17" t="s">
        <v>27</v>
      </c>
      <c r="S1035" s="14" t="str">
        <f t="shared" si="16"/>
        <v>Week 4</v>
      </c>
    </row>
    <row r="1036" spans="1:19" x14ac:dyDescent="0.3">
      <c r="A1036" s="8" t="s">
        <v>1318</v>
      </c>
      <c r="B1036" s="9">
        <v>43094</v>
      </c>
      <c r="C1036" s="10" t="s">
        <v>646</v>
      </c>
      <c r="D1036" s="10" t="s">
        <v>21</v>
      </c>
      <c r="E1036" s="10" t="s">
        <v>31</v>
      </c>
      <c r="F1036" s="11">
        <v>5</v>
      </c>
      <c r="G1036" s="12">
        <v>3859.2</v>
      </c>
      <c r="H1036" s="12">
        <v>19296</v>
      </c>
      <c r="I1036" s="13">
        <v>2855.808</v>
      </c>
      <c r="J1036" s="10" t="s">
        <v>104</v>
      </c>
      <c r="K1036" s="10" t="s">
        <v>105</v>
      </c>
      <c r="L1036" s="10" t="s">
        <v>25</v>
      </c>
      <c r="M1036" s="12">
        <v>14279.04</v>
      </c>
      <c r="N1036" s="12">
        <v>5016.95999999999</v>
      </c>
      <c r="O1036" s="10">
        <v>25.999999999999901</v>
      </c>
      <c r="P1036" s="10" t="s">
        <v>26</v>
      </c>
      <c r="Q1036" s="10">
        <v>12</v>
      </c>
      <c r="R1036" s="10" t="s">
        <v>27</v>
      </c>
      <c r="S1036" s="14" t="str">
        <f t="shared" si="16"/>
        <v>Week 4</v>
      </c>
    </row>
    <row r="1037" spans="1:19" x14ac:dyDescent="0.3">
      <c r="A1037" s="15" t="s">
        <v>1319</v>
      </c>
      <c r="B1037" s="16">
        <v>43094</v>
      </c>
      <c r="C1037" s="17" t="s">
        <v>182</v>
      </c>
      <c r="D1037" s="17" t="s">
        <v>21</v>
      </c>
      <c r="E1037" s="17" t="s">
        <v>37</v>
      </c>
      <c r="F1037" s="18">
        <v>5</v>
      </c>
      <c r="G1037" s="19">
        <v>1058.5999999999999</v>
      </c>
      <c r="H1037" s="19">
        <v>5293</v>
      </c>
      <c r="I1037" s="20">
        <v>698.67600000000004</v>
      </c>
      <c r="J1037" s="17" t="s">
        <v>87</v>
      </c>
      <c r="K1037" s="17" t="s">
        <v>88</v>
      </c>
      <c r="L1037" s="17" t="s">
        <v>56</v>
      </c>
      <c r="M1037" s="19">
        <v>3493.38</v>
      </c>
      <c r="N1037" s="19">
        <v>1799.62</v>
      </c>
      <c r="O1037" s="17">
        <v>33.999999999999901</v>
      </c>
      <c r="P1037" s="17" t="s">
        <v>26</v>
      </c>
      <c r="Q1037" s="17">
        <v>12</v>
      </c>
      <c r="R1037" s="17" t="s">
        <v>27</v>
      </c>
      <c r="S1037" s="14" t="str">
        <f t="shared" si="16"/>
        <v>Week 4</v>
      </c>
    </row>
    <row r="1038" spans="1:19" x14ac:dyDescent="0.3">
      <c r="A1038" s="8" t="s">
        <v>1320</v>
      </c>
      <c r="B1038" s="9">
        <v>43094</v>
      </c>
      <c r="C1038" s="10" t="s">
        <v>478</v>
      </c>
      <c r="D1038" s="10" t="s">
        <v>21</v>
      </c>
      <c r="E1038" s="10" t="s">
        <v>31</v>
      </c>
      <c r="F1038" s="11">
        <v>7</v>
      </c>
      <c r="G1038" s="12">
        <v>2472.3000000000002</v>
      </c>
      <c r="H1038" s="12">
        <v>17306.100000000002</v>
      </c>
      <c r="I1038" s="13">
        <v>1236.1500000000001</v>
      </c>
      <c r="J1038" s="10" t="s">
        <v>155</v>
      </c>
      <c r="K1038" s="10" t="s">
        <v>156</v>
      </c>
      <c r="L1038" s="10" t="s">
        <v>56</v>
      </c>
      <c r="M1038" s="12">
        <v>8653.0499999999993</v>
      </c>
      <c r="N1038" s="12">
        <v>8653.0499999999993</v>
      </c>
      <c r="O1038" s="10">
        <v>50</v>
      </c>
      <c r="P1038" s="10" t="s">
        <v>26</v>
      </c>
      <c r="Q1038" s="10">
        <v>12</v>
      </c>
      <c r="R1038" s="10" t="s">
        <v>27</v>
      </c>
      <c r="S1038" s="14" t="str">
        <f t="shared" si="16"/>
        <v>Week 4</v>
      </c>
    </row>
    <row r="1039" spans="1:19" x14ac:dyDescent="0.3">
      <c r="A1039" s="15" t="s">
        <v>1321</v>
      </c>
      <c r="B1039" s="16">
        <v>43094</v>
      </c>
      <c r="C1039" s="17" t="s">
        <v>251</v>
      </c>
      <c r="D1039" s="17" t="s">
        <v>30</v>
      </c>
      <c r="E1039" s="17" t="s">
        <v>149</v>
      </c>
      <c r="F1039" s="18">
        <v>8</v>
      </c>
      <c r="G1039" s="19">
        <v>1078.7</v>
      </c>
      <c r="H1039" s="19">
        <v>8629.6</v>
      </c>
      <c r="I1039" s="20">
        <v>442.267</v>
      </c>
      <c r="J1039" s="17" t="s">
        <v>23</v>
      </c>
      <c r="K1039" s="17" t="s">
        <v>24</v>
      </c>
      <c r="L1039" s="17" t="s">
        <v>25</v>
      </c>
      <c r="M1039" s="19">
        <v>3538.136</v>
      </c>
      <c r="N1039" s="19">
        <v>5091.4639999999999</v>
      </c>
      <c r="O1039" s="17">
        <v>59</v>
      </c>
      <c r="P1039" s="17" t="s">
        <v>26</v>
      </c>
      <c r="Q1039" s="17">
        <v>12</v>
      </c>
      <c r="R1039" s="17" t="s">
        <v>27</v>
      </c>
      <c r="S1039" s="14" t="str">
        <f t="shared" si="16"/>
        <v>Week 4</v>
      </c>
    </row>
    <row r="1040" spans="1:19" x14ac:dyDescent="0.3">
      <c r="A1040" s="8" t="s">
        <v>1322</v>
      </c>
      <c r="B1040" s="9">
        <v>43095</v>
      </c>
      <c r="C1040" s="10" t="s">
        <v>746</v>
      </c>
      <c r="D1040" s="10" t="s">
        <v>21</v>
      </c>
      <c r="E1040" s="10" t="s">
        <v>115</v>
      </c>
      <c r="F1040" s="11">
        <v>10</v>
      </c>
      <c r="G1040" s="12">
        <v>1011.7</v>
      </c>
      <c r="H1040" s="12">
        <v>10117</v>
      </c>
      <c r="I1040" s="13">
        <v>627.25400000000002</v>
      </c>
      <c r="J1040" s="10" t="s">
        <v>45</v>
      </c>
      <c r="K1040" s="10" t="s">
        <v>46</v>
      </c>
      <c r="L1040" s="10" t="s">
        <v>34</v>
      </c>
      <c r="M1040" s="12">
        <v>6272.54</v>
      </c>
      <c r="N1040" s="12">
        <v>3844.46</v>
      </c>
      <c r="O1040" s="10">
        <v>38</v>
      </c>
      <c r="P1040" s="10" t="s">
        <v>26</v>
      </c>
      <c r="Q1040" s="10">
        <v>12</v>
      </c>
      <c r="R1040" s="10" t="s">
        <v>27</v>
      </c>
      <c r="S1040" s="14" t="str">
        <f t="shared" si="16"/>
        <v>Week 4</v>
      </c>
    </row>
    <row r="1041" spans="1:19" x14ac:dyDescent="0.3">
      <c r="A1041" s="15" t="s">
        <v>1323</v>
      </c>
      <c r="B1041" s="16">
        <v>43095</v>
      </c>
      <c r="C1041" s="17" t="s">
        <v>145</v>
      </c>
      <c r="D1041" s="17" t="s">
        <v>21</v>
      </c>
      <c r="E1041" s="17" t="s">
        <v>149</v>
      </c>
      <c r="F1041" s="18">
        <v>6</v>
      </c>
      <c r="G1041" s="19">
        <v>1916.2</v>
      </c>
      <c r="H1041" s="19">
        <v>11497.2</v>
      </c>
      <c r="I1041" s="20">
        <v>1207.2059999999999</v>
      </c>
      <c r="J1041" s="17" t="s">
        <v>54</v>
      </c>
      <c r="K1041" s="17" t="s">
        <v>55</v>
      </c>
      <c r="L1041" s="17" t="s">
        <v>56</v>
      </c>
      <c r="M1041" s="19">
        <v>7243.2359999999999</v>
      </c>
      <c r="N1041" s="19">
        <v>4253.9639999999999</v>
      </c>
      <c r="O1041" s="17">
        <v>37</v>
      </c>
      <c r="P1041" s="17" t="s">
        <v>26</v>
      </c>
      <c r="Q1041" s="17">
        <v>12</v>
      </c>
      <c r="R1041" s="17" t="s">
        <v>27</v>
      </c>
      <c r="S1041" s="14" t="str">
        <f t="shared" si="16"/>
        <v>Week 4</v>
      </c>
    </row>
    <row r="1042" spans="1:19" x14ac:dyDescent="0.3">
      <c r="A1042" s="8" t="s">
        <v>1324</v>
      </c>
      <c r="B1042" s="9">
        <v>43095</v>
      </c>
      <c r="C1042" s="10" t="s">
        <v>279</v>
      </c>
      <c r="D1042" s="10" t="s">
        <v>30</v>
      </c>
      <c r="E1042" s="10" t="s">
        <v>191</v>
      </c>
      <c r="F1042" s="11">
        <v>8</v>
      </c>
      <c r="G1042" s="12">
        <v>1078.7</v>
      </c>
      <c r="H1042" s="12">
        <v>8629.6</v>
      </c>
      <c r="I1042" s="13">
        <v>442.267</v>
      </c>
      <c r="J1042" s="10" t="s">
        <v>225</v>
      </c>
      <c r="K1042" s="10" t="s">
        <v>226</v>
      </c>
      <c r="L1042" s="10" t="s">
        <v>25</v>
      </c>
      <c r="M1042" s="12">
        <v>3538.136</v>
      </c>
      <c r="N1042" s="12">
        <v>5091.4639999999999</v>
      </c>
      <c r="O1042" s="10">
        <v>59</v>
      </c>
      <c r="P1042" s="10" t="s">
        <v>26</v>
      </c>
      <c r="Q1042" s="10">
        <v>12</v>
      </c>
      <c r="R1042" s="10" t="s">
        <v>27</v>
      </c>
      <c r="S1042" s="14" t="str">
        <f t="shared" si="16"/>
        <v>Week 4</v>
      </c>
    </row>
    <row r="1043" spans="1:19" x14ac:dyDescent="0.3">
      <c r="A1043" s="15" t="s">
        <v>1325</v>
      </c>
      <c r="B1043" s="16">
        <v>43095</v>
      </c>
      <c r="C1043" s="17" t="s">
        <v>286</v>
      </c>
      <c r="D1043" s="17" t="s">
        <v>21</v>
      </c>
      <c r="E1043" s="17" t="s">
        <v>93</v>
      </c>
      <c r="F1043" s="18">
        <v>5</v>
      </c>
      <c r="G1043" s="19">
        <v>1018.4</v>
      </c>
      <c r="H1043" s="19">
        <v>5092</v>
      </c>
      <c r="I1043" s="20">
        <v>661.96</v>
      </c>
      <c r="J1043" s="17" t="s">
        <v>69</v>
      </c>
      <c r="K1043" s="17" t="s">
        <v>70</v>
      </c>
      <c r="L1043" s="17" t="s">
        <v>25</v>
      </c>
      <c r="M1043" s="19">
        <v>3309.8</v>
      </c>
      <c r="N1043" s="19">
        <v>1782.19999999999</v>
      </c>
      <c r="O1043" s="17">
        <v>35</v>
      </c>
      <c r="P1043" s="17" t="s">
        <v>26</v>
      </c>
      <c r="Q1043" s="17">
        <v>12</v>
      </c>
      <c r="R1043" s="17" t="s">
        <v>27</v>
      </c>
      <c r="S1043" s="14" t="str">
        <f t="shared" si="16"/>
        <v>Week 4</v>
      </c>
    </row>
    <row r="1044" spans="1:19" x14ac:dyDescent="0.3">
      <c r="A1044" s="8" t="s">
        <v>1326</v>
      </c>
      <c r="B1044" s="9">
        <v>43095</v>
      </c>
      <c r="C1044" s="10" t="s">
        <v>158</v>
      </c>
      <c r="D1044" s="10" t="s">
        <v>30</v>
      </c>
      <c r="E1044" s="10" t="s">
        <v>103</v>
      </c>
      <c r="F1044" s="11">
        <v>6</v>
      </c>
      <c r="G1044" s="12">
        <v>1038.5</v>
      </c>
      <c r="H1044" s="12">
        <v>6231</v>
      </c>
      <c r="I1044" s="13">
        <v>768.49</v>
      </c>
      <c r="J1044" s="10" t="s">
        <v>257</v>
      </c>
      <c r="K1044" s="10" t="s">
        <v>258</v>
      </c>
      <c r="L1044" s="10" t="s">
        <v>25</v>
      </c>
      <c r="M1044" s="12">
        <v>4610.9399999999996</v>
      </c>
      <c r="N1044" s="12">
        <v>1620.0599999999899</v>
      </c>
      <c r="O1044" s="10">
        <v>25.999999999999901</v>
      </c>
      <c r="P1044" s="10" t="s">
        <v>26</v>
      </c>
      <c r="Q1044" s="10">
        <v>12</v>
      </c>
      <c r="R1044" s="10" t="s">
        <v>27</v>
      </c>
      <c r="S1044" s="14" t="str">
        <f t="shared" si="16"/>
        <v>Week 4</v>
      </c>
    </row>
    <row r="1045" spans="1:19" x14ac:dyDescent="0.3">
      <c r="A1045" s="15" t="s">
        <v>1327</v>
      </c>
      <c r="B1045" s="16">
        <v>43095</v>
      </c>
      <c r="C1045" s="17" t="s">
        <v>75</v>
      </c>
      <c r="D1045" s="17" t="s">
        <v>21</v>
      </c>
      <c r="E1045" s="17" t="s">
        <v>191</v>
      </c>
      <c r="F1045" s="18">
        <v>8</v>
      </c>
      <c r="G1045" s="19">
        <v>2472.3000000000002</v>
      </c>
      <c r="H1045" s="19">
        <v>19778.400000000001</v>
      </c>
      <c r="I1045" s="20">
        <v>988.92</v>
      </c>
      <c r="J1045" s="17" t="s">
        <v>97</v>
      </c>
      <c r="K1045" s="17" t="s">
        <v>98</v>
      </c>
      <c r="L1045" s="17" t="s">
        <v>56</v>
      </c>
      <c r="M1045" s="19">
        <v>7911.36</v>
      </c>
      <c r="N1045" s="19">
        <v>11867.04</v>
      </c>
      <c r="O1045" s="17">
        <v>60</v>
      </c>
      <c r="P1045" s="17" t="s">
        <v>26</v>
      </c>
      <c r="Q1045" s="17">
        <v>12</v>
      </c>
      <c r="R1045" s="17" t="s">
        <v>27</v>
      </c>
      <c r="S1045" s="14" t="str">
        <f t="shared" si="16"/>
        <v>Week 4</v>
      </c>
    </row>
    <row r="1046" spans="1:19" x14ac:dyDescent="0.3">
      <c r="A1046" s="8" t="s">
        <v>1328</v>
      </c>
      <c r="B1046" s="9">
        <v>43095</v>
      </c>
      <c r="C1046" s="10" t="s">
        <v>100</v>
      </c>
      <c r="D1046" s="10" t="s">
        <v>43</v>
      </c>
      <c r="E1046" s="10" t="s">
        <v>73</v>
      </c>
      <c r="F1046" s="11">
        <v>10</v>
      </c>
      <c r="G1046" s="12">
        <v>3932.9</v>
      </c>
      <c r="H1046" s="12">
        <v>39329</v>
      </c>
      <c r="I1046" s="13">
        <v>2123.7660000000001</v>
      </c>
      <c r="J1046" s="10" t="s">
        <v>32</v>
      </c>
      <c r="K1046" s="10" t="s">
        <v>33</v>
      </c>
      <c r="L1046" s="10" t="s">
        <v>34</v>
      </c>
      <c r="M1046" s="12">
        <v>21237.66</v>
      </c>
      <c r="N1046" s="12">
        <v>18091.34</v>
      </c>
      <c r="O1046" s="10">
        <v>46</v>
      </c>
      <c r="P1046" s="10" t="s">
        <v>26</v>
      </c>
      <c r="Q1046" s="10">
        <v>12</v>
      </c>
      <c r="R1046" s="10" t="s">
        <v>27</v>
      </c>
      <c r="S1046" s="14" t="str">
        <f t="shared" si="16"/>
        <v>Week 4</v>
      </c>
    </row>
    <row r="1047" spans="1:19" x14ac:dyDescent="0.3">
      <c r="A1047" s="15" t="s">
        <v>1329</v>
      </c>
      <c r="B1047" s="16">
        <v>43095</v>
      </c>
      <c r="C1047" s="17" t="s">
        <v>856</v>
      </c>
      <c r="D1047" s="17" t="s">
        <v>21</v>
      </c>
      <c r="E1047" s="17" t="s">
        <v>146</v>
      </c>
      <c r="F1047" s="18">
        <v>8</v>
      </c>
      <c r="G1047" s="19">
        <v>2231.1</v>
      </c>
      <c r="H1047" s="19">
        <v>17848.8</v>
      </c>
      <c r="I1047" s="20">
        <v>892.44</v>
      </c>
      <c r="J1047" s="17" t="s">
        <v>87</v>
      </c>
      <c r="K1047" s="17" t="s">
        <v>88</v>
      </c>
      <c r="L1047" s="17" t="s">
        <v>56</v>
      </c>
      <c r="M1047" s="19">
        <v>7139.52</v>
      </c>
      <c r="N1047" s="19">
        <v>10709.279999999901</v>
      </c>
      <c r="O1047" s="17">
        <v>60</v>
      </c>
      <c r="P1047" s="17" t="s">
        <v>26</v>
      </c>
      <c r="Q1047" s="17">
        <v>12</v>
      </c>
      <c r="R1047" s="17" t="s">
        <v>27</v>
      </c>
      <c r="S1047" s="14" t="str">
        <f t="shared" si="16"/>
        <v>Week 4</v>
      </c>
    </row>
    <row r="1048" spans="1:19" x14ac:dyDescent="0.3">
      <c r="A1048" s="8" t="s">
        <v>1330</v>
      </c>
      <c r="B1048" s="9">
        <v>43095</v>
      </c>
      <c r="C1048" s="10" t="s">
        <v>461</v>
      </c>
      <c r="D1048" s="10" t="s">
        <v>21</v>
      </c>
      <c r="E1048" s="10" t="s">
        <v>146</v>
      </c>
      <c r="F1048" s="11">
        <v>10</v>
      </c>
      <c r="G1048" s="12">
        <v>3959.7</v>
      </c>
      <c r="H1048" s="12">
        <v>39597</v>
      </c>
      <c r="I1048" s="13">
        <v>2930.1779999999999</v>
      </c>
      <c r="J1048" s="10" t="s">
        <v>54</v>
      </c>
      <c r="K1048" s="10" t="s">
        <v>55</v>
      </c>
      <c r="L1048" s="10" t="s">
        <v>56</v>
      </c>
      <c r="M1048" s="12">
        <v>29301.78</v>
      </c>
      <c r="N1048" s="12">
        <v>10295.219999999899</v>
      </c>
      <c r="O1048" s="10">
        <v>25.999999999999901</v>
      </c>
      <c r="P1048" s="10" t="s">
        <v>26</v>
      </c>
      <c r="Q1048" s="10">
        <v>12</v>
      </c>
      <c r="R1048" s="10" t="s">
        <v>27</v>
      </c>
      <c r="S1048" s="14" t="str">
        <f t="shared" si="16"/>
        <v>Week 4</v>
      </c>
    </row>
    <row r="1049" spans="1:19" x14ac:dyDescent="0.3">
      <c r="A1049" s="15" t="s">
        <v>1331</v>
      </c>
      <c r="B1049" s="16">
        <v>43095</v>
      </c>
      <c r="C1049" s="17" t="s">
        <v>207</v>
      </c>
      <c r="D1049" s="17" t="s">
        <v>43</v>
      </c>
      <c r="E1049" s="17" t="s">
        <v>31</v>
      </c>
      <c r="F1049" s="18">
        <v>7</v>
      </c>
      <c r="G1049" s="19">
        <v>6291.3</v>
      </c>
      <c r="H1049" s="19">
        <v>44039.1</v>
      </c>
      <c r="I1049" s="20">
        <v>5158.866</v>
      </c>
      <c r="J1049" s="17" t="s">
        <v>411</v>
      </c>
      <c r="K1049" s="17" t="s">
        <v>412</v>
      </c>
      <c r="L1049" s="17" t="s">
        <v>56</v>
      </c>
      <c r="M1049" s="19">
        <v>36112.061999999998</v>
      </c>
      <c r="N1049" s="19">
        <v>7927.0379999999996</v>
      </c>
      <c r="O1049" s="17">
        <v>18</v>
      </c>
      <c r="P1049" s="17" t="s">
        <v>26</v>
      </c>
      <c r="Q1049" s="17">
        <v>12</v>
      </c>
      <c r="R1049" s="17" t="s">
        <v>27</v>
      </c>
      <c r="S1049" s="14" t="str">
        <f t="shared" si="16"/>
        <v>Week 4</v>
      </c>
    </row>
    <row r="1050" spans="1:19" x14ac:dyDescent="0.3">
      <c r="A1050" s="8" t="s">
        <v>1332</v>
      </c>
      <c r="B1050" s="9">
        <v>43095</v>
      </c>
      <c r="C1050" s="10" t="s">
        <v>114</v>
      </c>
      <c r="D1050" s="10" t="s">
        <v>21</v>
      </c>
      <c r="E1050" s="10" t="s">
        <v>49</v>
      </c>
      <c r="F1050" s="11">
        <v>11</v>
      </c>
      <c r="G1050" s="12">
        <v>6210.9</v>
      </c>
      <c r="H1050" s="12">
        <v>68319.899999999994</v>
      </c>
      <c r="I1050" s="13">
        <v>3540.2130000000002</v>
      </c>
      <c r="J1050" s="10" t="s">
        <v>54</v>
      </c>
      <c r="K1050" s="10" t="s">
        <v>55</v>
      </c>
      <c r="L1050" s="10" t="s">
        <v>56</v>
      </c>
      <c r="M1050" s="12">
        <v>38942.343000000001</v>
      </c>
      <c r="N1050" s="12">
        <v>29377.557000000001</v>
      </c>
      <c r="O1050" s="10">
        <v>43</v>
      </c>
      <c r="P1050" s="10" t="s">
        <v>26</v>
      </c>
      <c r="Q1050" s="10">
        <v>12</v>
      </c>
      <c r="R1050" s="10" t="s">
        <v>27</v>
      </c>
      <c r="S1050" s="14" t="str">
        <f t="shared" si="16"/>
        <v>Week 4</v>
      </c>
    </row>
    <row r="1051" spans="1:19" x14ac:dyDescent="0.3">
      <c r="A1051" s="15" t="s">
        <v>759</v>
      </c>
      <c r="B1051" s="16">
        <v>43095</v>
      </c>
      <c r="C1051" s="17" t="s">
        <v>211</v>
      </c>
      <c r="D1051" s="17" t="s">
        <v>30</v>
      </c>
      <c r="E1051" s="17" t="s">
        <v>37</v>
      </c>
      <c r="F1051" s="18">
        <v>6</v>
      </c>
      <c r="G1051" s="19">
        <v>3832.4</v>
      </c>
      <c r="H1051" s="19">
        <v>22994.400000000001</v>
      </c>
      <c r="I1051" s="20">
        <v>3104.2440000000001</v>
      </c>
      <c r="J1051" s="17" t="s">
        <v>50</v>
      </c>
      <c r="K1051" s="17" t="s">
        <v>51</v>
      </c>
      <c r="L1051" s="17" t="s">
        <v>40</v>
      </c>
      <c r="M1051" s="19">
        <v>18625.464</v>
      </c>
      <c r="N1051" s="19">
        <v>4368.9359999999997</v>
      </c>
      <c r="O1051" s="17">
        <v>19</v>
      </c>
      <c r="P1051" s="17" t="s">
        <v>26</v>
      </c>
      <c r="Q1051" s="17">
        <v>12</v>
      </c>
      <c r="R1051" s="17" t="s">
        <v>27</v>
      </c>
      <c r="S1051" s="14" t="str">
        <f t="shared" si="16"/>
        <v>Week 4</v>
      </c>
    </row>
    <row r="1052" spans="1:19" x14ac:dyDescent="0.3">
      <c r="A1052" s="8" t="s">
        <v>1333</v>
      </c>
      <c r="B1052" s="9">
        <v>43095</v>
      </c>
      <c r="C1052" s="10" t="s">
        <v>487</v>
      </c>
      <c r="D1052" s="10" t="s">
        <v>43</v>
      </c>
      <c r="E1052" s="10" t="s">
        <v>73</v>
      </c>
      <c r="F1052" s="11">
        <v>12</v>
      </c>
      <c r="G1052" s="12">
        <v>3926.2</v>
      </c>
      <c r="H1052" s="12">
        <v>47114.399999999994</v>
      </c>
      <c r="I1052" s="13">
        <v>1845.3140000000001</v>
      </c>
      <c r="J1052" s="10" t="s">
        <v>54</v>
      </c>
      <c r="K1052" s="10" t="s">
        <v>55</v>
      </c>
      <c r="L1052" s="10" t="s">
        <v>56</v>
      </c>
      <c r="M1052" s="12">
        <v>22143.768</v>
      </c>
      <c r="N1052" s="12">
        <v>24970.632000000001</v>
      </c>
      <c r="O1052" s="10">
        <v>53</v>
      </c>
      <c r="P1052" s="10" t="s">
        <v>26</v>
      </c>
      <c r="Q1052" s="10">
        <v>12</v>
      </c>
      <c r="R1052" s="10" t="s">
        <v>27</v>
      </c>
      <c r="S1052" s="14" t="str">
        <f t="shared" si="16"/>
        <v>Week 4</v>
      </c>
    </row>
    <row r="1053" spans="1:19" x14ac:dyDescent="0.3">
      <c r="A1053" s="15" t="s">
        <v>1334</v>
      </c>
      <c r="B1053" s="16">
        <v>43095</v>
      </c>
      <c r="C1053" s="17" t="s">
        <v>247</v>
      </c>
      <c r="D1053" s="17" t="s">
        <v>43</v>
      </c>
      <c r="E1053" s="17" t="s">
        <v>37</v>
      </c>
      <c r="F1053" s="18">
        <v>7</v>
      </c>
      <c r="G1053" s="19">
        <v>1755.4</v>
      </c>
      <c r="H1053" s="19">
        <v>12287.800000000001</v>
      </c>
      <c r="I1053" s="20">
        <v>1298.9960000000001</v>
      </c>
      <c r="J1053" s="17" t="s">
        <v>38</v>
      </c>
      <c r="K1053" s="17" t="s">
        <v>39</v>
      </c>
      <c r="L1053" s="17" t="s">
        <v>40</v>
      </c>
      <c r="M1053" s="19">
        <v>9092.9719999999998</v>
      </c>
      <c r="N1053" s="19">
        <v>3194.82799999999</v>
      </c>
      <c r="O1053" s="17">
        <v>25.999999999999901</v>
      </c>
      <c r="P1053" s="17" t="s">
        <v>26</v>
      </c>
      <c r="Q1053" s="17">
        <v>12</v>
      </c>
      <c r="R1053" s="17" t="s">
        <v>27</v>
      </c>
      <c r="S1053" s="14" t="str">
        <f t="shared" si="16"/>
        <v>Week 4</v>
      </c>
    </row>
    <row r="1054" spans="1:19" x14ac:dyDescent="0.3">
      <c r="A1054" s="8" t="s">
        <v>1335</v>
      </c>
      <c r="B1054" s="9">
        <v>43095</v>
      </c>
      <c r="C1054" s="10" t="s">
        <v>499</v>
      </c>
      <c r="D1054" s="10" t="s">
        <v>43</v>
      </c>
      <c r="E1054" s="10" t="s">
        <v>197</v>
      </c>
      <c r="F1054" s="11">
        <v>9</v>
      </c>
      <c r="G1054" s="12">
        <v>254.6</v>
      </c>
      <c r="H1054" s="12">
        <v>2291.4</v>
      </c>
      <c r="I1054" s="13">
        <v>216.41</v>
      </c>
      <c r="J1054" s="10" t="s">
        <v>76</v>
      </c>
      <c r="K1054" s="10" t="s">
        <v>77</v>
      </c>
      <c r="L1054" s="10" t="s">
        <v>56</v>
      </c>
      <c r="M1054" s="12">
        <v>1947.69</v>
      </c>
      <c r="N1054" s="12">
        <v>343.71</v>
      </c>
      <c r="O1054" s="10">
        <v>15</v>
      </c>
      <c r="P1054" s="10" t="s">
        <v>26</v>
      </c>
      <c r="Q1054" s="10">
        <v>12</v>
      </c>
      <c r="R1054" s="10" t="s">
        <v>27</v>
      </c>
      <c r="S1054" s="14" t="str">
        <f t="shared" si="16"/>
        <v>Week 4</v>
      </c>
    </row>
    <row r="1055" spans="1:19" x14ac:dyDescent="0.3">
      <c r="A1055" s="15" t="s">
        <v>1336</v>
      </c>
      <c r="B1055" s="16">
        <v>43095</v>
      </c>
      <c r="C1055" s="17" t="s">
        <v>29</v>
      </c>
      <c r="D1055" s="17" t="s">
        <v>30</v>
      </c>
      <c r="E1055" s="17" t="s">
        <v>110</v>
      </c>
      <c r="F1055" s="18">
        <v>9</v>
      </c>
      <c r="G1055" s="19">
        <v>2579.5</v>
      </c>
      <c r="H1055" s="19">
        <v>23215.5</v>
      </c>
      <c r="I1055" s="20">
        <v>1599.29</v>
      </c>
      <c r="J1055" s="17" t="s">
        <v>104</v>
      </c>
      <c r="K1055" s="17" t="s">
        <v>105</v>
      </c>
      <c r="L1055" s="17" t="s">
        <v>25</v>
      </c>
      <c r="M1055" s="19">
        <v>14393.61</v>
      </c>
      <c r="N1055" s="19">
        <v>8821.89</v>
      </c>
      <c r="O1055" s="17">
        <v>37.999999999999901</v>
      </c>
      <c r="P1055" s="17" t="s">
        <v>26</v>
      </c>
      <c r="Q1055" s="17">
        <v>12</v>
      </c>
      <c r="R1055" s="17" t="s">
        <v>27</v>
      </c>
      <c r="S1055" s="14" t="str">
        <f t="shared" si="16"/>
        <v>Week 4</v>
      </c>
    </row>
    <row r="1056" spans="1:19" x14ac:dyDescent="0.3">
      <c r="A1056" s="8" t="s">
        <v>1337</v>
      </c>
      <c r="B1056" s="9">
        <v>43095</v>
      </c>
      <c r="C1056" s="10" t="s">
        <v>294</v>
      </c>
      <c r="D1056" s="10" t="s">
        <v>30</v>
      </c>
      <c r="E1056" s="10" t="s">
        <v>31</v>
      </c>
      <c r="F1056" s="11">
        <v>12</v>
      </c>
      <c r="G1056" s="12">
        <v>3356.7</v>
      </c>
      <c r="H1056" s="12">
        <v>40280.399999999994</v>
      </c>
      <c r="I1056" s="13">
        <v>2316.123</v>
      </c>
      <c r="J1056" s="10" t="s">
        <v>225</v>
      </c>
      <c r="K1056" s="10" t="s">
        <v>226</v>
      </c>
      <c r="L1056" s="10" t="s">
        <v>25</v>
      </c>
      <c r="M1056" s="12">
        <v>27793.475999999999</v>
      </c>
      <c r="N1056" s="12">
        <v>12486.923999999901</v>
      </c>
      <c r="O1056" s="10">
        <v>30.999999999999901</v>
      </c>
      <c r="P1056" s="10" t="s">
        <v>26</v>
      </c>
      <c r="Q1056" s="10">
        <v>12</v>
      </c>
      <c r="R1056" s="10" t="s">
        <v>27</v>
      </c>
      <c r="S1056" s="14" t="str">
        <f t="shared" si="16"/>
        <v>Week 4</v>
      </c>
    </row>
    <row r="1057" spans="1:19" x14ac:dyDescent="0.3">
      <c r="A1057" s="15" t="s">
        <v>1338</v>
      </c>
      <c r="B1057" s="16">
        <v>43095</v>
      </c>
      <c r="C1057" s="17" t="s">
        <v>107</v>
      </c>
      <c r="D1057" s="17" t="s">
        <v>21</v>
      </c>
      <c r="E1057" s="17" t="s">
        <v>31</v>
      </c>
      <c r="F1057" s="18">
        <v>7</v>
      </c>
      <c r="G1057" s="19">
        <v>3865.9</v>
      </c>
      <c r="H1057" s="19">
        <v>27061.3</v>
      </c>
      <c r="I1057" s="20">
        <v>1700.9960000000001</v>
      </c>
      <c r="J1057" s="17" t="s">
        <v>177</v>
      </c>
      <c r="K1057" s="17" t="s">
        <v>178</v>
      </c>
      <c r="L1057" s="17" t="s">
        <v>40</v>
      </c>
      <c r="M1057" s="19">
        <v>11906.972</v>
      </c>
      <c r="N1057" s="19">
        <v>15154.327999999899</v>
      </c>
      <c r="O1057" s="17">
        <v>55.999999999999901</v>
      </c>
      <c r="P1057" s="17" t="s">
        <v>26</v>
      </c>
      <c r="Q1057" s="17">
        <v>12</v>
      </c>
      <c r="R1057" s="17" t="s">
        <v>27</v>
      </c>
      <c r="S1057" s="14" t="str">
        <f t="shared" si="16"/>
        <v>Week 4</v>
      </c>
    </row>
    <row r="1058" spans="1:19" x14ac:dyDescent="0.3">
      <c r="A1058" s="8" t="s">
        <v>1339</v>
      </c>
      <c r="B1058" s="9">
        <v>43095</v>
      </c>
      <c r="C1058" s="10" t="s">
        <v>404</v>
      </c>
      <c r="D1058" s="10" t="s">
        <v>43</v>
      </c>
      <c r="E1058" s="10" t="s">
        <v>103</v>
      </c>
      <c r="F1058" s="11">
        <v>7</v>
      </c>
      <c r="G1058" s="12">
        <v>6485.6</v>
      </c>
      <c r="H1058" s="12">
        <v>45399.200000000004</v>
      </c>
      <c r="I1058" s="13">
        <v>2723.9520000000002</v>
      </c>
      <c r="J1058" s="10" t="s">
        <v>94</v>
      </c>
      <c r="K1058" s="10" t="s">
        <v>95</v>
      </c>
      <c r="L1058" s="10" t="s">
        <v>40</v>
      </c>
      <c r="M1058" s="12">
        <v>19067.664000000001</v>
      </c>
      <c r="N1058" s="12">
        <v>26331.536</v>
      </c>
      <c r="O1058" s="10">
        <v>58</v>
      </c>
      <c r="P1058" s="10" t="s">
        <v>26</v>
      </c>
      <c r="Q1058" s="10">
        <v>12</v>
      </c>
      <c r="R1058" s="10" t="s">
        <v>27</v>
      </c>
      <c r="S1058" s="14" t="str">
        <f t="shared" si="16"/>
        <v>Week 4</v>
      </c>
    </row>
    <row r="1059" spans="1:19" x14ac:dyDescent="0.3">
      <c r="A1059" s="15" t="s">
        <v>1340</v>
      </c>
      <c r="B1059" s="16">
        <v>43095</v>
      </c>
      <c r="C1059" s="17" t="s">
        <v>102</v>
      </c>
      <c r="D1059" s="17" t="s">
        <v>21</v>
      </c>
      <c r="E1059" s="17" t="s">
        <v>115</v>
      </c>
      <c r="F1059" s="18">
        <v>8</v>
      </c>
      <c r="G1059" s="19">
        <v>6485.6</v>
      </c>
      <c r="H1059" s="19">
        <v>51884.800000000003</v>
      </c>
      <c r="I1059" s="20">
        <v>4734.4880000000003</v>
      </c>
      <c r="J1059" s="17" t="s">
        <v>54</v>
      </c>
      <c r="K1059" s="17" t="s">
        <v>55</v>
      </c>
      <c r="L1059" s="17" t="s">
        <v>56</v>
      </c>
      <c r="M1059" s="19">
        <v>37875.904000000002</v>
      </c>
      <c r="N1059" s="19">
        <v>14008.896000000001</v>
      </c>
      <c r="O1059" s="17">
        <v>27</v>
      </c>
      <c r="P1059" s="17" t="s">
        <v>26</v>
      </c>
      <c r="Q1059" s="17">
        <v>12</v>
      </c>
      <c r="R1059" s="17" t="s">
        <v>27</v>
      </c>
      <c r="S1059" s="14" t="str">
        <f t="shared" si="16"/>
        <v>Week 4</v>
      </c>
    </row>
    <row r="1060" spans="1:19" x14ac:dyDescent="0.3">
      <c r="A1060" s="8" t="s">
        <v>1341</v>
      </c>
      <c r="B1060" s="9">
        <v>43095</v>
      </c>
      <c r="C1060" s="10" t="s">
        <v>543</v>
      </c>
      <c r="D1060" s="10" t="s">
        <v>21</v>
      </c>
      <c r="E1060" s="10" t="s">
        <v>103</v>
      </c>
      <c r="F1060" s="11">
        <v>6</v>
      </c>
      <c r="G1060" s="12">
        <v>1943</v>
      </c>
      <c r="H1060" s="12">
        <v>11658</v>
      </c>
      <c r="I1060" s="13">
        <v>1165.8</v>
      </c>
      <c r="J1060" s="10" t="s">
        <v>32</v>
      </c>
      <c r="K1060" s="10" t="s">
        <v>33</v>
      </c>
      <c r="L1060" s="10" t="s">
        <v>34</v>
      </c>
      <c r="M1060" s="12">
        <v>6994.7999999999902</v>
      </c>
      <c r="N1060" s="12">
        <v>4663.2</v>
      </c>
      <c r="O1060" s="10">
        <v>40</v>
      </c>
      <c r="P1060" s="10" t="s">
        <v>26</v>
      </c>
      <c r="Q1060" s="10">
        <v>12</v>
      </c>
      <c r="R1060" s="10" t="s">
        <v>27</v>
      </c>
      <c r="S1060" s="14" t="str">
        <f t="shared" si="16"/>
        <v>Week 4</v>
      </c>
    </row>
    <row r="1061" spans="1:19" x14ac:dyDescent="0.3">
      <c r="A1061" s="15" t="s">
        <v>1342</v>
      </c>
      <c r="B1061" s="16">
        <v>43095</v>
      </c>
      <c r="C1061" s="17" t="s">
        <v>256</v>
      </c>
      <c r="D1061" s="17" t="s">
        <v>30</v>
      </c>
      <c r="E1061" s="17" t="s">
        <v>115</v>
      </c>
      <c r="F1061" s="18">
        <v>7</v>
      </c>
      <c r="G1061" s="19">
        <v>2680</v>
      </c>
      <c r="H1061" s="19">
        <v>18760</v>
      </c>
      <c r="I1061" s="20">
        <v>2278</v>
      </c>
      <c r="J1061" s="17" t="s">
        <v>411</v>
      </c>
      <c r="K1061" s="17" t="s">
        <v>412</v>
      </c>
      <c r="L1061" s="17" t="s">
        <v>56</v>
      </c>
      <c r="M1061" s="19">
        <v>15946</v>
      </c>
      <c r="N1061" s="19">
        <v>2814</v>
      </c>
      <c r="O1061" s="17">
        <v>15</v>
      </c>
      <c r="P1061" s="17" t="s">
        <v>26</v>
      </c>
      <c r="Q1061" s="17">
        <v>12</v>
      </c>
      <c r="R1061" s="17" t="s">
        <v>27</v>
      </c>
      <c r="S1061" s="14" t="str">
        <f t="shared" si="16"/>
        <v>Week 4</v>
      </c>
    </row>
    <row r="1062" spans="1:19" x14ac:dyDescent="0.3">
      <c r="A1062" s="8" t="s">
        <v>1343</v>
      </c>
      <c r="B1062" s="9">
        <v>43095</v>
      </c>
      <c r="C1062" s="10" t="s">
        <v>217</v>
      </c>
      <c r="D1062" s="10" t="s">
        <v>30</v>
      </c>
      <c r="E1062" s="10" t="s">
        <v>167</v>
      </c>
      <c r="F1062" s="11">
        <v>5</v>
      </c>
      <c r="G1062" s="12">
        <v>1005</v>
      </c>
      <c r="H1062" s="12">
        <v>5025</v>
      </c>
      <c r="I1062" s="13">
        <v>592.94999999999902</v>
      </c>
      <c r="J1062" s="10" t="s">
        <v>23</v>
      </c>
      <c r="K1062" s="10" t="s">
        <v>24</v>
      </c>
      <c r="L1062" s="10" t="s">
        <v>25</v>
      </c>
      <c r="M1062" s="12">
        <v>2964.74999999999</v>
      </c>
      <c r="N1062" s="12">
        <v>2060.25</v>
      </c>
      <c r="O1062" s="10">
        <v>41</v>
      </c>
      <c r="P1062" s="10" t="s">
        <v>26</v>
      </c>
      <c r="Q1062" s="10">
        <v>12</v>
      </c>
      <c r="R1062" s="10" t="s">
        <v>27</v>
      </c>
      <c r="S1062" s="14" t="str">
        <f t="shared" si="16"/>
        <v>Week 4</v>
      </c>
    </row>
    <row r="1063" spans="1:19" x14ac:dyDescent="0.3">
      <c r="A1063" s="15" t="s">
        <v>1344</v>
      </c>
      <c r="B1063" s="16">
        <v>43095</v>
      </c>
      <c r="C1063" s="17" t="s">
        <v>254</v>
      </c>
      <c r="D1063" s="17" t="s">
        <v>21</v>
      </c>
      <c r="E1063" s="17" t="s">
        <v>31</v>
      </c>
      <c r="F1063" s="18">
        <v>8</v>
      </c>
      <c r="G1063" s="19">
        <v>3845.8</v>
      </c>
      <c r="H1063" s="19">
        <v>30766.400000000001</v>
      </c>
      <c r="I1063" s="20">
        <v>2499.77</v>
      </c>
      <c r="J1063" s="17" t="s">
        <v>32</v>
      </c>
      <c r="K1063" s="17" t="s">
        <v>33</v>
      </c>
      <c r="L1063" s="17" t="s">
        <v>34</v>
      </c>
      <c r="M1063" s="19">
        <v>19998.16</v>
      </c>
      <c r="N1063" s="19">
        <v>10768.24</v>
      </c>
      <c r="O1063" s="17">
        <v>35</v>
      </c>
      <c r="P1063" s="17" t="s">
        <v>26</v>
      </c>
      <c r="Q1063" s="17">
        <v>12</v>
      </c>
      <c r="R1063" s="17" t="s">
        <v>27</v>
      </c>
      <c r="S1063" s="14" t="str">
        <f t="shared" si="16"/>
        <v>Week 4</v>
      </c>
    </row>
    <row r="1064" spans="1:19" x14ac:dyDescent="0.3">
      <c r="A1064" s="8" t="s">
        <v>1345</v>
      </c>
      <c r="B1064" s="9">
        <v>43095</v>
      </c>
      <c r="C1064" s="10" t="s">
        <v>408</v>
      </c>
      <c r="D1064" s="10" t="s">
        <v>21</v>
      </c>
      <c r="E1064" s="10" t="s">
        <v>31</v>
      </c>
      <c r="F1064" s="11">
        <v>7</v>
      </c>
      <c r="G1064" s="12">
        <v>1829.1</v>
      </c>
      <c r="H1064" s="12">
        <v>12803.699999999999</v>
      </c>
      <c r="I1064" s="13">
        <v>1463.28</v>
      </c>
      <c r="J1064" s="10" t="s">
        <v>222</v>
      </c>
      <c r="K1064" s="10" t="s">
        <v>223</v>
      </c>
      <c r="L1064" s="10" t="s">
        <v>25</v>
      </c>
      <c r="M1064" s="12">
        <v>10242.959999999999</v>
      </c>
      <c r="N1064" s="12">
        <v>2560.7399999999998</v>
      </c>
      <c r="O1064" s="10">
        <v>20</v>
      </c>
      <c r="P1064" s="10" t="s">
        <v>26</v>
      </c>
      <c r="Q1064" s="10">
        <v>12</v>
      </c>
      <c r="R1064" s="10" t="s">
        <v>27</v>
      </c>
      <c r="S1064" s="14" t="str">
        <f t="shared" si="16"/>
        <v>Week 4</v>
      </c>
    </row>
    <row r="1065" spans="1:19" x14ac:dyDescent="0.3">
      <c r="A1065" s="15" t="s">
        <v>1346</v>
      </c>
      <c r="B1065" s="16">
        <v>43095</v>
      </c>
      <c r="C1065" s="17" t="s">
        <v>594</v>
      </c>
      <c r="D1065" s="17" t="s">
        <v>30</v>
      </c>
      <c r="E1065" s="17" t="s">
        <v>91</v>
      </c>
      <c r="F1065" s="18">
        <v>10</v>
      </c>
      <c r="G1065" s="19">
        <v>904.5</v>
      </c>
      <c r="H1065" s="19">
        <v>9045</v>
      </c>
      <c r="I1065" s="20">
        <v>606.01499999999999</v>
      </c>
      <c r="J1065" s="17" t="s">
        <v>23</v>
      </c>
      <c r="K1065" s="17" t="s">
        <v>24</v>
      </c>
      <c r="L1065" s="17" t="s">
        <v>25</v>
      </c>
      <c r="M1065" s="19">
        <v>6060.15</v>
      </c>
      <c r="N1065" s="19">
        <v>2984.85</v>
      </c>
      <c r="O1065" s="17">
        <v>33</v>
      </c>
      <c r="P1065" s="17" t="s">
        <v>26</v>
      </c>
      <c r="Q1065" s="17">
        <v>12</v>
      </c>
      <c r="R1065" s="17" t="s">
        <v>27</v>
      </c>
      <c r="S1065" s="14" t="str">
        <f t="shared" si="16"/>
        <v>Week 4</v>
      </c>
    </row>
    <row r="1066" spans="1:19" x14ac:dyDescent="0.3">
      <c r="A1066" s="8" t="s">
        <v>1347</v>
      </c>
      <c r="B1066" s="9">
        <v>43095</v>
      </c>
      <c r="C1066" s="10" t="s">
        <v>570</v>
      </c>
      <c r="D1066" s="10" t="s">
        <v>21</v>
      </c>
      <c r="E1066" s="10" t="s">
        <v>62</v>
      </c>
      <c r="F1066" s="11">
        <v>5</v>
      </c>
      <c r="G1066" s="12">
        <v>1051.9000000000001</v>
      </c>
      <c r="H1066" s="12">
        <v>5259.5</v>
      </c>
      <c r="I1066" s="13">
        <v>746.84900000000005</v>
      </c>
      <c r="J1066" s="10" t="s">
        <v>204</v>
      </c>
      <c r="K1066" s="10" t="s">
        <v>205</v>
      </c>
      <c r="L1066" s="10" t="s">
        <v>34</v>
      </c>
      <c r="M1066" s="12">
        <v>3734.2449999999999</v>
      </c>
      <c r="N1066" s="12">
        <v>1525.2549999999901</v>
      </c>
      <c r="O1066" s="10">
        <v>28.999999999999901</v>
      </c>
      <c r="P1066" s="10" t="s">
        <v>26</v>
      </c>
      <c r="Q1066" s="10">
        <v>12</v>
      </c>
      <c r="R1066" s="10" t="s">
        <v>27</v>
      </c>
      <c r="S1066" s="14" t="str">
        <f t="shared" si="16"/>
        <v>Week 4</v>
      </c>
    </row>
    <row r="1067" spans="1:19" x14ac:dyDescent="0.3">
      <c r="A1067" s="15" t="s">
        <v>1348</v>
      </c>
      <c r="B1067" s="16">
        <v>43095</v>
      </c>
      <c r="C1067" s="17" t="s">
        <v>68</v>
      </c>
      <c r="D1067" s="17" t="s">
        <v>21</v>
      </c>
      <c r="E1067" s="17" t="s">
        <v>22</v>
      </c>
      <c r="F1067" s="18">
        <v>9</v>
      </c>
      <c r="G1067" s="19">
        <v>1326.6</v>
      </c>
      <c r="H1067" s="19">
        <v>11939.4</v>
      </c>
      <c r="I1067" s="20">
        <v>1061.28</v>
      </c>
      <c r="J1067" s="17" t="s">
        <v>23</v>
      </c>
      <c r="K1067" s="17" t="s">
        <v>24</v>
      </c>
      <c r="L1067" s="17" t="s">
        <v>25</v>
      </c>
      <c r="M1067" s="19">
        <v>9551.52</v>
      </c>
      <c r="N1067" s="19">
        <v>2387.8799999999901</v>
      </c>
      <c r="O1067" s="17">
        <v>19.999999999999901</v>
      </c>
      <c r="P1067" s="17" t="s">
        <v>26</v>
      </c>
      <c r="Q1067" s="17">
        <v>12</v>
      </c>
      <c r="R1067" s="17" t="s">
        <v>27</v>
      </c>
      <c r="S1067" s="14" t="str">
        <f t="shared" si="16"/>
        <v>Week 4</v>
      </c>
    </row>
    <row r="1068" spans="1:19" x14ac:dyDescent="0.3">
      <c r="A1068" s="8" t="s">
        <v>1349</v>
      </c>
      <c r="B1068" s="9">
        <v>43095</v>
      </c>
      <c r="C1068" s="10" t="s">
        <v>632</v>
      </c>
      <c r="D1068" s="10" t="s">
        <v>21</v>
      </c>
      <c r="E1068" s="10" t="s">
        <v>265</v>
      </c>
      <c r="F1068" s="11">
        <v>9</v>
      </c>
      <c r="G1068" s="12">
        <v>3899.4</v>
      </c>
      <c r="H1068" s="12">
        <v>35094.6</v>
      </c>
      <c r="I1068" s="13">
        <v>3275.4960000000001</v>
      </c>
      <c r="J1068" s="10" t="s">
        <v>23</v>
      </c>
      <c r="K1068" s="10" t="s">
        <v>24</v>
      </c>
      <c r="L1068" s="10" t="s">
        <v>25</v>
      </c>
      <c r="M1068" s="12">
        <v>29479.464</v>
      </c>
      <c r="N1068" s="12">
        <v>5615.1359999999904</v>
      </c>
      <c r="O1068" s="10">
        <v>15.999999999999901</v>
      </c>
      <c r="P1068" s="10" t="s">
        <v>26</v>
      </c>
      <c r="Q1068" s="10">
        <v>12</v>
      </c>
      <c r="R1068" s="10" t="s">
        <v>27</v>
      </c>
      <c r="S1068" s="14" t="str">
        <f t="shared" si="16"/>
        <v>Week 4</v>
      </c>
    </row>
    <row r="1069" spans="1:19" x14ac:dyDescent="0.3">
      <c r="A1069" s="15" t="s">
        <v>1350</v>
      </c>
      <c r="B1069" s="16">
        <v>43095</v>
      </c>
      <c r="C1069" s="17" t="s">
        <v>129</v>
      </c>
      <c r="D1069" s="17" t="s">
        <v>21</v>
      </c>
      <c r="E1069" s="17" t="s">
        <v>228</v>
      </c>
      <c r="F1069" s="18">
        <v>8</v>
      </c>
      <c r="G1069" s="19">
        <v>2398.6</v>
      </c>
      <c r="H1069" s="19">
        <v>19188.8</v>
      </c>
      <c r="I1069" s="20">
        <v>1151.328</v>
      </c>
      <c r="J1069" s="17" t="s">
        <v>436</v>
      </c>
      <c r="K1069" s="17" t="s">
        <v>437</v>
      </c>
      <c r="L1069" s="17" t="s">
        <v>25</v>
      </c>
      <c r="M1069" s="19">
        <v>9210.6239999999998</v>
      </c>
      <c r="N1069" s="19">
        <v>9978.1759999999995</v>
      </c>
      <c r="O1069" s="17">
        <v>52</v>
      </c>
      <c r="P1069" s="17" t="s">
        <v>26</v>
      </c>
      <c r="Q1069" s="17">
        <v>12</v>
      </c>
      <c r="R1069" s="17" t="s">
        <v>27</v>
      </c>
      <c r="S1069" s="14" t="str">
        <f t="shared" si="16"/>
        <v>Week 4</v>
      </c>
    </row>
    <row r="1070" spans="1:19" x14ac:dyDescent="0.3">
      <c r="A1070" s="8" t="s">
        <v>1351</v>
      </c>
      <c r="B1070" s="9">
        <v>43095</v>
      </c>
      <c r="C1070" s="10" t="s">
        <v>316</v>
      </c>
      <c r="D1070" s="10" t="s">
        <v>21</v>
      </c>
      <c r="E1070" s="10" t="s">
        <v>37</v>
      </c>
      <c r="F1070" s="11">
        <v>12</v>
      </c>
      <c r="G1070" s="12">
        <v>3892.7</v>
      </c>
      <c r="H1070" s="12">
        <v>46712.399999999994</v>
      </c>
      <c r="I1070" s="13">
        <v>1868.4960000000001</v>
      </c>
      <c r="J1070" s="10" t="s">
        <v>454</v>
      </c>
      <c r="K1070" s="10" t="s">
        <v>455</v>
      </c>
      <c r="L1070" s="10" t="s">
        <v>25</v>
      </c>
      <c r="M1070" s="12">
        <v>22421.952000000001</v>
      </c>
      <c r="N1070" s="12">
        <v>24290.448</v>
      </c>
      <c r="O1070" s="10">
        <v>52</v>
      </c>
      <c r="P1070" s="10" t="s">
        <v>26</v>
      </c>
      <c r="Q1070" s="10">
        <v>12</v>
      </c>
      <c r="R1070" s="10" t="s">
        <v>27</v>
      </c>
      <c r="S1070" s="14" t="str">
        <f t="shared" si="16"/>
        <v>Week 4</v>
      </c>
    </row>
    <row r="1071" spans="1:19" x14ac:dyDescent="0.3">
      <c r="A1071" s="15" t="s">
        <v>1352</v>
      </c>
      <c r="B1071" s="16">
        <v>43095</v>
      </c>
      <c r="C1071" s="17" t="s">
        <v>61</v>
      </c>
      <c r="D1071" s="17" t="s">
        <v>21</v>
      </c>
      <c r="E1071" s="17" t="s">
        <v>37</v>
      </c>
      <c r="F1071" s="18">
        <v>7</v>
      </c>
      <c r="G1071" s="19">
        <v>1922.9</v>
      </c>
      <c r="H1071" s="19">
        <v>13460.300000000001</v>
      </c>
      <c r="I1071" s="20">
        <v>1519.0909999999999</v>
      </c>
      <c r="J1071" s="17" t="s">
        <v>1229</v>
      </c>
      <c r="K1071" s="17" t="s">
        <v>1230</v>
      </c>
      <c r="L1071" s="17" t="s">
        <v>56</v>
      </c>
      <c r="M1071" s="19">
        <v>10633.637000000001</v>
      </c>
      <c r="N1071" s="19">
        <v>2826.663</v>
      </c>
      <c r="O1071" s="17">
        <v>21</v>
      </c>
      <c r="P1071" s="17" t="s">
        <v>26</v>
      </c>
      <c r="Q1071" s="17">
        <v>12</v>
      </c>
      <c r="R1071" s="17" t="s">
        <v>27</v>
      </c>
      <c r="S1071" s="14" t="str">
        <f t="shared" si="16"/>
        <v>Week 4</v>
      </c>
    </row>
    <row r="1072" spans="1:19" x14ac:dyDescent="0.3">
      <c r="A1072" s="8" t="s">
        <v>1353</v>
      </c>
      <c r="B1072" s="9">
        <v>43095</v>
      </c>
      <c r="C1072" s="10" t="s">
        <v>170</v>
      </c>
      <c r="D1072" s="10" t="s">
        <v>30</v>
      </c>
      <c r="E1072" s="10" t="s">
        <v>91</v>
      </c>
      <c r="F1072" s="11">
        <v>7</v>
      </c>
      <c r="G1072" s="12">
        <v>3906.1</v>
      </c>
      <c r="H1072" s="12">
        <v>27342.7</v>
      </c>
      <c r="I1072" s="13">
        <v>1562.44</v>
      </c>
      <c r="J1072" s="10" t="s">
        <v>54</v>
      </c>
      <c r="K1072" s="10" t="s">
        <v>55</v>
      </c>
      <c r="L1072" s="10" t="s">
        <v>56</v>
      </c>
      <c r="M1072" s="12">
        <v>10937.08</v>
      </c>
      <c r="N1072" s="12">
        <v>16405.62</v>
      </c>
      <c r="O1072" s="10">
        <v>60</v>
      </c>
      <c r="P1072" s="10" t="s">
        <v>26</v>
      </c>
      <c r="Q1072" s="10">
        <v>12</v>
      </c>
      <c r="R1072" s="10" t="s">
        <v>27</v>
      </c>
      <c r="S1072" s="14" t="str">
        <f t="shared" si="16"/>
        <v>Week 4</v>
      </c>
    </row>
    <row r="1073" spans="1:19" x14ac:dyDescent="0.3">
      <c r="A1073" s="15" t="s">
        <v>1354</v>
      </c>
      <c r="B1073" s="16">
        <v>43095</v>
      </c>
      <c r="C1073" s="17" t="s">
        <v>356</v>
      </c>
      <c r="D1073" s="17" t="s">
        <v>30</v>
      </c>
      <c r="E1073" s="17" t="s">
        <v>93</v>
      </c>
      <c r="F1073" s="18">
        <v>10</v>
      </c>
      <c r="G1073" s="19">
        <v>194.3</v>
      </c>
      <c r="H1073" s="19">
        <v>1943</v>
      </c>
      <c r="I1073" s="20">
        <v>163.21199999999999</v>
      </c>
      <c r="J1073" s="17" t="s">
        <v>116</v>
      </c>
      <c r="K1073" s="17" t="s">
        <v>117</v>
      </c>
      <c r="L1073" s="17" t="s">
        <v>40</v>
      </c>
      <c r="M1073" s="19">
        <v>1632.12</v>
      </c>
      <c r="N1073" s="19">
        <v>310.87999999999897</v>
      </c>
      <c r="O1073" s="17">
        <v>15.999999999999901</v>
      </c>
      <c r="P1073" s="17" t="s">
        <v>26</v>
      </c>
      <c r="Q1073" s="17">
        <v>12</v>
      </c>
      <c r="R1073" s="17" t="s">
        <v>27</v>
      </c>
      <c r="S1073" s="14" t="str">
        <f t="shared" si="16"/>
        <v>Week 4</v>
      </c>
    </row>
    <row r="1074" spans="1:19" x14ac:dyDescent="0.3">
      <c r="A1074" s="8" t="s">
        <v>1355</v>
      </c>
      <c r="B1074" s="9">
        <v>43095</v>
      </c>
      <c r="C1074" s="10" t="s">
        <v>554</v>
      </c>
      <c r="D1074" s="10" t="s">
        <v>21</v>
      </c>
      <c r="E1074" s="10" t="s">
        <v>91</v>
      </c>
      <c r="F1074" s="11">
        <v>11</v>
      </c>
      <c r="G1074" s="12">
        <v>3872.6</v>
      </c>
      <c r="H1074" s="12">
        <v>42598.6</v>
      </c>
      <c r="I1074" s="13">
        <v>2517.19</v>
      </c>
      <c r="J1074" s="10" t="s">
        <v>54</v>
      </c>
      <c r="K1074" s="10" t="s">
        <v>55</v>
      </c>
      <c r="L1074" s="10" t="s">
        <v>56</v>
      </c>
      <c r="M1074" s="12">
        <v>27689.09</v>
      </c>
      <c r="N1074" s="12">
        <v>14909.5099999999</v>
      </c>
      <c r="O1074" s="10">
        <v>35</v>
      </c>
      <c r="P1074" s="10" t="s">
        <v>26</v>
      </c>
      <c r="Q1074" s="10">
        <v>12</v>
      </c>
      <c r="R1074" s="10" t="s">
        <v>27</v>
      </c>
      <c r="S1074" s="14" t="str">
        <f t="shared" si="16"/>
        <v>Week 4</v>
      </c>
    </row>
    <row r="1075" spans="1:19" x14ac:dyDescent="0.3">
      <c r="A1075" s="15" t="s">
        <v>1356</v>
      </c>
      <c r="B1075" s="16">
        <v>43095</v>
      </c>
      <c r="C1075" s="17" t="s">
        <v>308</v>
      </c>
      <c r="D1075" s="17" t="s">
        <v>30</v>
      </c>
      <c r="E1075" s="17" t="s">
        <v>62</v>
      </c>
      <c r="F1075" s="18">
        <v>9</v>
      </c>
      <c r="G1075" s="19">
        <v>3939.6</v>
      </c>
      <c r="H1075" s="19">
        <v>35456.400000000001</v>
      </c>
      <c r="I1075" s="20">
        <v>2481.9479999999999</v>
      </c>
      <c r="J1075" s="17" t="s">
        <v>257</v>
      </c>
      <c r="K1075" s="17" t="s">
        <v>258</v>
      </c>
      <c r="L1075" s="17" t="s">
        <v>25</v>
      </c>
      <c r="M1075" s="19">
        <v>22337.531999999999</v>
      </c>
      <c r="N1075" s="19">
        <v>13118.868</v>
      </c>
      <c r="O1075" s="17">
        <v>37</v>
      </c>
      <c r="P1075" s="17" t="s">
        <v>26</v>
      </c>
      <c r="Q1075" s="17">
        <v>12</v>
      </c>
      <c r="R1075" s="17" t="s">
        <v>27</v>
      </c>
      <c r="S1075" s="14" t="str">
        <f t="shared" si="16"/>
        <v>Week 4</v>
      </c>
    </row>
    <row r="1076" spans="1:19" x14ac:dyDescent="0.3">
      <c r="A1076" s="8" t="s">
        <v>1357</v>
      </c>
      <c r="B1076" s="9">
        <v>43095</v>
      </c>
      <c r="C1076" s="10" t="s">
        <v>1358</v>
      </c>
      <c r="D1076" s="10" t="s">
        <v>21</v>
      </c>
      <c r="E1076" s="10" t="s">
        <v>191</v>
      </c>
      <c r="F1076" s="11">
        <v>9</v>
      </c>
      <c r="G1076" s="12">
        <v>730.3</v>
      </c>
      <c r="H1076" s="12">
        <v>6572.7</v>
      </c>
      <c r="I1076" s="13">
        <v>584.24</v>
      </c>
      <c r="J1076" s="10" t="s">
        <v>54</v>
      </c>
      <c r="K1076" s="10" t="s">
        <v>55</v>
      </c>
      <c r="L1076" s="10" t="s">
        <v>56</v>
      </c>
      <c r="M1076" s="12">
        <v>5258.16</v>
      </c>
      <c r="N1076" s="12">
        <v>1314.54</v>
      </c>
      <c r="O1076" s="10">
        <v>20</v>
      </c>
      <c r="P1076" s="10" t="s">
        <v>26</v>
      </c>
      <c r="Q1076" s="10">
        <v>12</v>
      </c>
      <c r="R1076" s="10" t="s">
        <v>27</v>
      </c>
      <c r="S1076" s="14" t="str">
        <f t="shared" si="16"/>
        <v>Week 4</v>
      </c>
    </row>
    <row r="1077" spans="1:19" x14ac:dyDescent="0.3">
      <c r="A1077" s="15" t="s">
        <v>1359</v>
      </c>
      <c r="B1077" s="16">
        <v>43095</v>
      </c>
      <c r="C1077" s="17" t="s">
        <v>453</v>
      </c>
      <c r="D1077" s="17" t="s">
        <v>30</v>
      </c>
      <c r="E1077" s="17" t="s">
        <v>120</v>
      </c>
      <c r="F1077" s="18">
        <v>12</v>
      </c>
      <c r="G1077" s="19">
        <v>5822.3</v>
      </c>
      <c r="H1077" s="19">
        <v>69867.600000000006</v>
      </c>
      <c r="I1077" s="20">
        <v>4599.6170000000002</v>
      </c>
      <c r="J1077" s="17" t="s">
        <v>225</v>
      </c>
      <c r="K1077" s="17" t="s">
        <v>226</v>
      </c>
      <c r="L1077" s="17" t="s">
        <v>25</v>
      </c>
      <c r="M1077" s="19">
        <v>55195.404000000002</v>
      </c>
      <c r="N1077" s="19">
        <v>14672.196</v>
      </c>
      <c r="O1077" s="17">
        <v>21</v>
      </c>
      <c r="P1077" s="17" t="s">
        <v>26</v>
      </c>
      <c r="Q1077" s="17">
        <v>12</v>
      </c>
      <c r="R1077" s="17" t="s">
        <v>27</v>
      </c>
      <c r="S1077" s="14" t="str">
        <f t="shared" si="16"/>
        <v>Week 4</v>
      </c>
    </row>
    <row r="1078" spans="1:19" x14ac:dyDescent="0.3">
      <c r="A1078" s="8" t="s">
        <v>960</v>
      </c>
      <c r="B1078" s="9">
        <v>43095</v>
      </c>
      <c r="C1078" s="10" t="s">
        <v>236</v>
      </c>
      <c r="D1078" s="10" t="s">
        <v>21</v>
      </c>
      <c r="E1078" s="10" t="s">
        <v>228</v>
      </c>
      <c r="F1078" s="11">
        <v>7</v>
      </c>
      <c r="G1078" s="12">
        <v>3886</v>
      </c>
      <c r="H1078" s="12">
        <v>27202</v>
      </c>
      <c r="I1078" s="13">
        <v>2059.58</v>
      </c>
      <c r="J1078" s="10" t="s">
        <v>23</v>
      </c>
      <c r="K1078" s="10" t="s">
        <v>24</v>
      </c>
      <c r="L1078" s="10" t="s">
        <v>25</v>
      </c>
      <c r="M1078" s="12">
        <v>14417.06</v>
      </c>
      <c r="N1078" s="12">
        <v>12784.94</v>
      </c>
      <c r="O1078" s="10">
        <v>47</v>
      </c>
      <c r="P1078" s="10" t="s">
        <v>26</v>
      </c>
      <c r="Q1078" s="10">
        <v>12</v>
      </c>
      <c r="R1078" s="10" t="s">
        <v>27</v>
      </c>
      <c r="S1078" s="14" t="str">
        <f t="shared" si="16"/>
        <v>Week 4</v>
      </c>
    </row>
    <row r="1079" spans="1:19" x14ac:dyDescent="0.3">
      <c r="A1079" s="15" t="s">
        <v>1360</v>
      </c>
      <c r="B1079" s="16">
        <v>43095</v>
      </c>
      <c r="C1079" s="17" t="s">
        <v>408</v>
      </c>
      <c r="D1079" s="17" t="s">
        <v>21</v>
      </c>
      <c r="E1079" s="17" t="s">
        <v>146</v>
      </c>
      <c r="F1079" s="18">
        <v>12</v>
      </c>
      <c r="G1079" s="19">
        <v>2566.1</v>
      </c>
      <c r="H1079" s="19">
        <v>30793.199999999997</v>
      </c>
      <c r="I1079" s="20">
        <v>1693.626</v>
      </c>
      <c r="J1079" s="17" t="s">
        <v>159</v>
      </c>
      <c r="K1079" s="17" t="s">
        <v>160</v>
      </c>
      <c r="L1079" s="17" t="s">
        <v>25</v>
      </c>
      <c r="M1079" s="19">
        <v>20323.511999999999</v>
      </c>
      <c r="N1079" s="19">
        <v>10469.6879999999</v>
      </c>
      <c r="O1079" s="17">
        <v>34</v>
      </c>
      <c r="P1079" s="17" t="s">
        <v>26</v>
      </c>
      <c r="Q1079" s="17">
        <v>12</v>
      </c>
      <c r="R1079" s="17" t="s">
        <v>27</v>
      </c>
      <c r="S1079" s="14" t="str">
        <f t="shared" si="16"/>
        <v>Week 4</v>
      </c>
    </row>
    <row r="1080" spans="1:19" x14ac:dyDescent="0.3">
      <c r="A1080" s="8" t="s">
        <v>1361</v>
      </c>
      <c r="B1080" s="9">
        <v>43095</v>
      </c>
      <c r="C1080" s="10" t="s">
        <v>194</v>
      </c>
      <c r="D1080" s="10" t="s">
        <v>21</v>
      </c>
      <c r="E1080" s="10" t="s">
        <v>115</v>
      </c>
      <c r="F1080" s="11">
        <v>10</v>
      </c>
      <c r="G1080" s="12">
        <v>2613</v>
      </c>
      <c r="H1080" s="12">
        <v>26130</v>
      </c>
      <c r="I1080" s="13">
        <v>1620.06</v>
      </c>
      <c r="J1080" s="10" t="s">
        <v>257</v>
      </c>
      <c r="K1080" s="10" t="s">
        <v>258</v>
      </c>
      <c r="L1080" s="10" t="s">
        <v>25</v>
      </c>
      <c r="M1080" s="12">
        <v>16200.5999999999</v>
      </c>
      <c r="N1080" s="12">
        <v>9929.4</v>
      </c>
      <c r="O1080" s="10">
        <v>38</v>
      </c>
      <c r="P1080" s="10" t="s">
        <v>26</v>
      </c>
      <c r="Q1080" s="10">
        <v>12</v>
      </c>
      <c r="R1080" s="10" t="s">
        <v>27</v>
      </c>
      <c r="S1080" s="14" t="str">
        <f t="shared" si="16"/>
        <v>Week 4</v>
      </c>
    </row>
    <row r="1081" spans="1:19" x14ac:dyDescent="0.3">
      <c r="A1081" s="15" t="s">
        <v>1362</v>
      </c>
      <c r="B1081" s="16">
        <v>43095</v>
      </c>
      <c r="C1081" s="17" t="s">
        <v>448</v>
      </c>
      <c r="D1081" s="17" t="s">
        <v>21</v>
      </c>
      <c r="E1081" s="17" t="s">
        <v>120</v>
      </c>
      <c r="F1081" s="18">
        <v>5</v>
      </c>
      <c r="G1081" s="19">
        <v>3926.2</v>
      </c>
      <c r="H1081" s="19">
        <v>19631</v>
      </c>
      <c r="I1081" s="20">
        <v>2237.9339999999902</v>
      </c>
      <c r="J1081" s="17" t="s">
        <v>38</v>
      </c>
      <c r="K1081" s="17" t="s">
        <v>39</v>
      </c>
      <c r="L1081" s="17" t="s">
        <v>40</v>
      </c>
      <c r="M1081" s="19">
        <v>11189.6699999999</v>
      </c>
      <c r="N1081" s="19">
        <v>8441.33</v>
      </c>
      <c r="O1081" s="17">
        <v>43</v>
      </c>
      <c r="P1081" s="17" t="s">
        <v>26</v>
      </c>
      <c r="Q1081" s="17">
        <v>12</v>
      </c>
      <c r="R1081" s="17" t="s">
        <v>27</v>
      </c>
      <c r="S1081" s="14" t="str">
        <f t="shared" si="16"/>
        <v>Week 4</v>
      </c>
    </row>
    <row r="1082" spans="1:19" x14ac:dyDescent="0.3">
      <c r="A1082" s="8" t="s">
        <v>1363</v>
      </c>
      <c r="B1082" s="9">
        <v>43095</v>
      </c>
      <c r="C1082" s="10" t="s">
        <v>288</v>
      </c>
      <c r="D1082" s="10" t="s">
        <v>30</v>
      </c>
      <c r="E1082" s="10" t="s">
        <v>360</v>
      </c>
      <c r="F1082" s="11">
        <v>9</v>
      </c>
      <c r="G1082" s="12">
        <v>1085.4000000000001</v>
      </c>
      <c r="H1082" s="12">
        <v>9768.6</v>
      </c>
      <c r="I1082" s="13">
        <v>922.59</v>
      </c>
      <c r="J1082" s="10" t="s">
        <v>32</v>
      </c>
      <c r="K1082" s="10" t="s">
        <v>33</v>
      </c>
      <c r="L1082" s="10" t="s">
        <v>34</v>
      </c>
      <c r="M1082" s="12">
        <v>8303.31</v>
      </c>
      <c r="N1082" s="12">
        <v>1465.29</v>
      </c>
      <c r="O1082" s="10">
        <v>15</v>
      </c>
      <c r="P1082" s="10" t="s">
        <v>26</v>
      </c>
      <c r="Q1082" s="10">
        <v>12</v>
      </c>
      <c r="R1082" s="10" t="s">
        <v>27</v>
      </c>
      <c r="S1082" s="14" t="str">
        <f t="shared" si="16"/>
        <v>Week 4</v>
      </c>
    </row>
    <row r="1083" spans="1:19" x14ac:dyDescent="0.3">
      <c r="A1083" s="15" t="s">
        <v>1364</v>
      </c>
      <c r="B1083" s="16">
        <v>43095</v>
      </c>
      <c r="C1083" s="17" t="s">
        <v>264</v>
      </c>
      <c r="D1083" s="17" t="s">
        <v>21</v>
      </c>
      <c r="E1083" s="17" t="s">
        <v>91</v>
      </c>
      <c r="F1083" s="18">
        <v>5</v>
      </c>
      <c r="G1083" s="19">
        <v>3886</v>
      </c>
      <c r="H1083" s="19">
        <v>19430</v>
      </c>
      <c r="I1083" s="20">
        <v>2681.3399999999901</v>
      </c>
      <c r="J1083" s="17" t="s">
        <v>45</v>
      </c>
      <c r="K1083" s="17" t="s">
        <v>46</v>
      </c>
      <c r="L1083" s="17" t="s">
        <v>34</v>
      </c>
      <c r="M1083" s="19">
        <v>13406.699999999901</v>
      </c>
      <c r="N1083" s="19">
        <v>6023.3</v>
      </c>
      <c r="O1083" s="17">
        <v>31</v>
      </c>
      <c r="P1083" s="17" t="s">
        <v>26</v>
      </c>
      <c r="Q1083" s="17">
        <v>12</v>
      </c>
      <c r="R1083" s="17" t="s">
        <v>27</v>
      </c>
      <c r="S1083" s="14" t="str">
        <f t="shared" si="16"/>
        <v>Week 4</v>
      </c>
    </row>
    <row r="1084" spans="1:19" x14ac:dyDescent="0.3">
      <c r="A1084" s="8" t="s">
        <v>1365</v>
      </c>
      <c r="B1084" s="9">
        <v>43096</v>
      </c>
      <c r="C1084" s="10" t="s">
        <v>526</v>
      </c>
      <c r="D1084" s="10" t="s">
        <v>21</v>
      </c>
      <c r="E1084" s="10" t="s">
        <v>284</v>
      </c>
      <c r="F1084" s="11">
        <v>8</v>
      </c>
      <c r="G1084" s="12">
        <v>3953</v>
      </c>
      <c r="H1084" s="12">
        <v>31624</v>
      </c>
      <c r="I1084" s="13">
        <v>2529.92</v>
      </c>
      <c r="J1084" s="10" t="s">
        <v>1366</v>
      </c>
      <c r="K1084" s="10" t="s">
        <v>1367</v>
      </c>
      <c r="L1084" s="10" t="s">
        <v>25</v>
      </c>
      <c r="M1084" s="12">
        <v>20239.36</v>
      </c>
      <c r="N1084" s="12">
        <v>11384.64</v>
      </c>
      <c r="O1084" s="10">
        <v>36</v>
      </c>
      <c r="P1084" s="10" t="s">
        <v>26</v>
      </c>
      <c r="Q1084" s="10">
        <v>12</v>
      </c>
      <c r="R1084" s="10" t="s">
        <v>27</v>
      </c>
      <c r="S1084" s="14" t="str">
        <f t="shared" si="16"/>
        <v>Week 4</v>
      </c>
    </row>
    <row r="1085" spans="1:19" x14ac:dyDescent="0.3">
      <c r="A1085" s="15" t="s">
        <v>1368</v>
      </c>
      <c r="B1085" s="16">
        <v>43096</v>
      </c>
      <c r="C1085" s="17" t="s">
        <v>543</v>
      </c>
      <c r="D1085" s="17" t="s">
        <v>21</v>
      </c>
      <c r="E1085" s="17" t="s">
        <v>37</v>
      </c>
      <c r="F1085" s="18">
        <v>6</v>
      </c>
      <c r="G1085" s="19">
        <v>3470.6</v>
      </c>
      <c r="H1085" s="19">
        <v>20823.599999999999</v>
      </c>
      <c r="I1085" s="20">
        <v>1943.5360000000001</v>
      </c>
      <c r="J1085" s="17" t="s">
        <v>32</v>
      </c>
      <c r="K1085" s="17" t="s">
        <v>33</v>
      </c>
      <c r="L1085" s="17" t="s">
        <v>34</v>
      </c>
      <c r="M1085" s="19">
        <v>11661.216</v>
      </c>
      <c r="N1085" s="19">
        <v>9162.3839999999891</v>
      </c>
      <c r="O1085" s="17">
        <v>43.999999999999901</v>
      </c>
      <c r="P1085" s="17" t="s">
        <v>26</v>
      </c>
      <c r="Q1085" s="17">
        <v>12</v>
      </c>
      <c r="R1085" s="17" t="s">
        <v>27</v>
      </c>
      <c r="S1085" s="14" t="str">
        <f t="shared" si="16"/>
        <v>Week 4</v>
      </c>
    </row>
    <row r="1086" spans="1:19" x14ac:dyDescent="0.3">
      <c r="A1086" s="8" t="s">
        <v>548</v>
      </c>
      <c r="B1086" s="9">
        <v>43096</v>
      </c>
      <c r="C1086" s="10" t="s">
        <v>549</v>
      </c>
      <c r="D1086" s="10" t="s">
        <v>43</v>
      </c>
      <c r="E1086" s="10" t="s">
        <v>110</v>
      </c>
      <c r="F1086" s="11">
        <v>10</v>
      </c>
      <c r="G1086" s="12">
        <v>174.2</v>
      </c>
      <c r="H1086" s="12">
        <v>1742</v>
      </c>
      <c r="I1086" s="13">
        <v>102.77800000000001</v>
      </c>
      <c r="J1086" s="10" t="s">
        <v>45</v>
      </c>
      <c r="K1086" s="10" t="s">
        <v>46</v>
      </c>
      <c r="L1086" s="10" t="s">
        <v>34</v>
      </c>
      <c r="M1086" s="12">
        <v>1027.78</v>
      </c>
      <c r="N1086" s="12">
        <v>714.22</v>
      </c>
      <c r="O1086" s="10">
        <v>41</v>
      </c>
      <c r="P1086" s="10" t="s">
        <v>26</v>
      </c>
      <c r="Q1086" s="10">
        <v>12</v>
      </c>
      <c r="R1086" s="10" t="s">
        <v>27</v>
      </c>
      <c r="S1086" s="14" t="str">
        <f t="shared" si="16"/>
        <v>Week 4</v>
      </c>
    </row>
    <row r="1087" spans="1:19" x14ac:dyDescent="0.3">
      <c r="A1087" s="15" t="s">
        <v>1369</v>
      </c>
      <c r="B1087" s="16">
        <v>43096</v>
      </c>
      <c r="C1087" s="17" t="s">
        <v>288</v>
      </c>
      <c r="D1087" s="17" t="s">
        <v>21</v>
      </c>
      <c r="E1087" s="17" t="s">
        <v>326</v>
      </c>
      <c r="F1087" s="18">
        <v>7</v>
      </c>
      <c r="G1087" s="19">
        <v>1051.9000000000001</v>
      </c>
      <c r="H1087" s="19">
        <v>7363.3000000000011</v>
      </c>
      <c r="I1087" s="20">
        <v>841.52</v>
      </c>
      <c r="J1087" s="17" t="s">
        <v>225</v>
      </c>
      <c r="K1087" s="17" t="s">
        <v>226</v>
      </c>
      <c r="L1087" s="17" t="s">
        <v>25</v>
      </c>
      <c r="M1087" s="19">
        <v>5890.64</v>
      </c>
      <c r="N1087" s="19">
        <v>1472.66</v>
      </c>
      <c r="O1087" s="17">
        <v>20</v>
      </c>
      <c r="P1087" s="17" t="s">
        <v>26</v>
      </c>
      <c r="Q1087" s="17">
        <v>12</v>
      </c>
      <c r="R1087" s="17" t="s">
        <v>27</v>
      </c>
      <c r="S1087" s="14" t="str">
        <f t="shared" si="16"/>
        <v>Week 4</v>
      </c>
    </row>
    <row r="1088" spans="1:19" x14ac:dyDescent="0.3">
      <c r="A1088" s="8" t="s">
        <v>1370</v>
      </c>
      <c r="B1088" s="9">
        <v>43096</v>
      </c>
      <c r="C1088" s="10" t="s">
        <v>453</v>
      </c>
      <c r="D1088" s="10" t="s">
        <v>21</v>
      </c>
      <c r="E1088" s="10" t="s">
        <v>37</v>
      </c>
      <c r="F1088" s="11">
        <v>7</v>
      </c>
      <c r="G1088" s="12">
        <v>3966.4</v>
      </c>
      <c r="H1088" s="12">
        <v>27764.799999999999</v>
      </c>
      <c r="I1088" s="13">
        <v>3054.1280000000002</v>
      </c>
      <c r="J1088" s="10" t="s">
        <v>54</v>
      </c>
      <c r="K1088" s="10" t="s">
        <v>55</v>
      </c>
      <c r="L1088" s="10" t="s">
        <v>56</v>
      </c>
      <c r="M1088" s="12">
        <v>21378.896000000001</v>
      </c>
      <c r="N1088" s="12">
        <v>6385.9039999999904</v>
      </c>
      <c r="O1088" s="10">
        <v>22.999999999999901</v>
      </c>
      <c r="P1088" s="10" t="s">
        <v>26</v>
      </c>
      <c r="Q1088" s="10">
        <v>12</v>
      </c>
      <c r="R1088" s="10" t="s">
        <v>27</v>
      </c>
      <c r="S1088" s="14" t="str">
        <f t="shared" si="16"/>
        <v>Week 4</v>
      </c>
    </row>
    <row r="1089" spans="1:19" x14ac:dyDescent="0.3">
      <c r="A1089" s="15" t="s">
        <v>1371</v>
      </c>
      <c r="B1089" s="16">
        <v>43096</v>
      </c>
      <c r="C1089" s="17" t="s">
        <v>461</v>
      </c>
      <c r="D1089" s="17" t="s">
        <v>21</v>
      </c>
      <c r="E1089" s="17" t="s">
        <v>191</v>
      </c>
      <c r="F1089" s="18">
        <v>11</v>
      </c>
      <c r="G1089" s="19">
        <v>1145.7</v>
      </c>
      <c r="H1089" s="19">
        <v>12602.7</v>
      </c>
      <c r="I1089" s="20">
        <v>687.42</v>
      </c>
      <c r="J1089" s="17" t="s">
        <v>45</v>
      </c>
      <c r="K1089" s="17" t="s">
        <v>46</v>
      </c>
      <c r="L1089" s="17" t="s">
        <v>34</v>
      </c>
      <c r="M1089" s="19">
        <v>7561.62</v>
      </c>
      <c r="N1089" s="19">
        <v>5041.08</v>
      </c>
      <c r="O1089" s="17">
        <v>40</v>
      </c>
      <c r="P1089" s="17" t="s">
        <v>26</v>
      </c>
      <c r="Q1089" s="17">
        <v>12</v>
      </c>
      <c r="R1089" s="17" t="s">
        <v>27</v>
      </c>
      <c r="S1089" s="14" t="str">
        <f t="shared" si="16"/>
        <v>Week 4</v>
      </c>
    </row>
    <row r="1090" spans="1:19" x14ac:dyDescent="0.3">
      <c r="A1090" s="8" t="s">
        <v>1372</v>
      </c>
      <c r="B1090" s="9">
        <v>43096</v>
      </c>
      <c r="C1090" s="10" t="s">
        <v>270</v>
      </c>
      <c r="D1090" s="10" t="s">
        <v>21</v>
      </c>
      <c r="E1090" s="10" t="s">
        <v>31</v>
      </c>
      <c r="F1090" s="11">
        <v>6</v>
      </c>
      <c r="G1090" s="12">
        <v>1159.0999999999999</v>
      </c>
      <c r="H1090" s="12">
        <v>6954.5999999999995</v>
      </c>
      <c r="I1090" s="13">
        <v>753.41499999999996</v>
      </c>
      <c r="J1090" s="10" t="s">
        <v>225</v>
      </c>
      <c r="K1090" s="10" t="s">
        <v>226</v>
      </c>
      <c r="L1090" s="10" t="s">
        <v>25</v>
      </c>
      <c r="M1090" s="12">
        <v>4520.49</v>
      </c>
      <c r="N1090" s="12">
        <v>2434.1099999999901</v>
      </c>
      <c r="O1090" s="10">
        <v>34.999999999999901</v>
      </c>
      <c r="P1090" s="10" t="s">
        <v>26</v>
      </c>
      <c r="Q1090" s="10">
        <v>12</v>
      </c>
      <c r="R1090" s="10" t="s">
        <v>27</v>
      </c>
      <c r="S1090" s="14" t="str">
        <f t="shared" si="16"/>
        <v>Week 4</v>
      </c>
    </row>
    <row r="1091" spans="1:19" x14ac:dyDescent="0.3">
      <c r="A1091" s="15" t="s">
        <v>1013</v>
      </c>
      <c r="B1091" s="16">
        <v>43096</v>
      </c>
      <c r="C1091" s="17" t="s">
        <v>843</v>
      </c>
      <c r="D1091" s="17" t="s">
        <v>30</v>
      </c>
      <c r="E1091" s="17" t="s">
        <v>326</v>
      </c>
      <c r="F1091" s="18">
        <v>8</v>
      </c>
      <c r="G1091" s="19">
        <v>6445.4</v>
      </c>
      <c r="H1091" s="19">
        <v>51563.199999999997</v>
      </c>
      <c r="I1091" s="20">
        <v>4705.1419999999998</v>
      </c>
      <c r="J1091" s="17" t="s">
        <v>76</v>
      </c>
      <c r="K1091" s="17" t="s">
        <v>77</v>
      </c>
      <c r="L1091" s="17" t="s">
        <v>56</v>
      </c>
      <c r="M1091" s="19">
        <v>37641.135999999999</v>
      </c>
      <c r="N1091" s="19">
        <v>13922.0639999999</v>
      </c>
      <c r="O1091" s="17">
        <v>26.999999999999901</v>
      </c>
      <c r="P1091" s="17" t="s">
        <v>26</v>
      </c>
      <c r="Q1091" s="17">
        <v>12</v>
      </c>
      <c r="R1091" s="17" t="s">
        <v>27</v>
      </c>
      <c r="S1091" s="14" t="str">
        <f t="shared" ref="S1091:S1154" si="17">"Week "&amp;INT((DAY(B1091)-1)/7)+1</f>
        <v>Week 4</v>
      </c>
    </row>
    <row r="1092" spans="1:19" x14ac:dyDescent="0.3">
      <c r="A1092" s="8" t="s">
        <v>1373</v>
      </c>
      <c r="B1092" s="9">
        <v>43096</v>
      </c>
      <c r="C1092" s="10" t="s">
        <v>270</v>
      </c>
      <c r="D1092" s="10" t="s">
        <v>43</v>
      </c>
      <c r="E1092" s="10" t="s">
        <v>252</v>
      </c>
      <c r="F1092" s="11">
        <v>12</v>
      </c>
      <c r="G1092" s="12">
        <v>737</v>
      </c>
      <c r="H1092" s="12">
        <v>8844</v>
      </c>
      <c r="I1092" s="13">
        <v>582.23</v>
      </c>
      <c r="J1092" s="10" t="s">
        <v>97</v>
      </c>
      <c r="K1092" s="10" t="s">
        <v>98</v>
      </c>
      <c r="L1092" s="10" t="s">
        <v>56</v>
      </c>
      <c r="M1092" s="12">
        <v>6986.76</v>
      </c>
      <c r="N1092" s="12">
        <v>1857.23999999999</v>
      </c>
      <c r="O1092" s="10">
        <v>20.999999999999901</v>
      </c>
      <c r="P1092" s="10" t="s">
        <v>26</v>
      </c>
      <c r="Q1092" s="10">
        <v>12</v>
      </c>
      <c r="R1092" s="10" t="s">
        <v>27</v>
      </c>
      <c r="S1092" s="14" t="str">
        <f t="shared" si="17"/>
        <v>Week 4</v>
      </c>
    </row>
    <row r="1093" spans="1:19" x14ac:dyDescent="0.3">
      <c r="A1093" s="15" t="s">
        <v>1374</v>
      </c>
      <c r="B1093" s="16">
        <v>43096</v>
      </c>
      <c r="C1093" s="17" t="s">
        <v>568</v>
      </c>
      <c r="D1093" s="17" t="s">
        <v>30</v>
      </c>
      <c r="E1093" s="17" t="s">
        <v>197</v>
      </c>
      <c r="F1093" s="18">
        <v>7</v>
      </c>
      <c r="G1093" s="19">
        <v>1983.2</v>
      </c>
      <c r="H1093" s="19">
        <v>13882.4</v>
      </c>
      <c r="I1093" s="20">
        <v>1487.4</v>
      </c>
      <c r="J1093" s="17" t="s">
        <v>76</v>
      </c>
      <c r="K1093" s="17" t="s">
        <v>77</v>
      </c>
      <c r="L1093" s="17" t="s">
        <v>56</v>
      </c>
      <c r="M1093" s="19">
        <v>10411.799999999999</v>
      </c>
      <c r="N1093" s="19">
        <v>3470.5999999999899</v>
      </c>
      <c r="O1093" s="17">
        <v>24.999999999999901</v>
      </c>
      <c r="P1093" s="17" t="s">
        <v>26</v>
      </c>
      <c r="Q1093" s="17">
        <v>12</v>
      </c>
      <c r="R1093" s="17" t="s">
        <v>27</v>
      </c>
      <c r="S1093" s="14" t="str">
        <f t="shared" si="17"/>
        <v>Week 4</v>
      </c>
    </row>
    <row r="1094" spans="1:19" x14ac:dyDescent="0.3">
      <c r="A1094" s="8" t="s">
        <v>1375</v>
      </c>
      <c r="B1094" s="9">
        <v>43096</v>
      </c>
      <c r="C1094" s="10" t="s">
        <v>578</v>
      </c>
      <c r="D1094" s="10" t="s">
        <v>21</v>
      </c>
      <c r="E1094" s="10" t="s">
        <v>228</v>
      </c>
      <c r="F1094" s="11">
        <v>8</v>
      </c>
      <c r="G1094" s="12">
        <v>1701.8</v>
      </c>
      <c r="H1094" s="12">
        <v>13614.4</v>
      </c>
      <c r="I1094" s="13">
        <v>1021.07999999999</v>
      </c>
      <c r="J1094" s="10" t="s">
        <v>266</v>
      </c>
      <c r="K1094" s="10" t="s">
        <v>267</v>
      </c>
      <c r="L1094" s="10" t="s">
        <v>34</v>
      </c>
      <c r="M1094" s="12">
        <v>8168.6399999999903</v>
      </c>
      <c r="N1094" s="12">
        <v>5445.76</v>
      </c>
      <c r="O1094" s="10">
        <v>40</v>
      </c>
      <c r="P1094" s="10" t="s">
        <v>26</v>
      </c>
      <c r="Q1094" s="10">
        <v>12</v>
      </c>
      <c r="R1094" s="10" t="s">
        <v>27</v>
      </c>
      <c r="S1094" s="14" t="str">
        <f t="shared" si="17"/>
        <v>Week 4</v>
      </c>
    </row>
    <row r="1095" spans="1:19" x14ac:dyDescent="0.3">
      <c r="A1095" s="15" t="s">
        <v>1376</v>
      </c>
      <c r="B1095" s="16">
        <v>43096</v>
      </c>
      <c r="C1095" s="17" t="s">
        <v>703</v>
      </c>
      <c r="D1095" s="17" t="s">
        <v>21</v>
      </c>
      <c r="E1095" s="17" t="s">
        <v>93</v>
      </c>
      <c r="F1095" s="18">
        <v>9</v>
      </c>
      <c r="G1095" s="19">
        <v>1018.4</v>
      </c>
      <c r="H1095" s="19">
        <v>9165.6</v>
      </c>
      <c r="I1095" s="20">
        <v>712.88</v>
      </c>
      <c r="J1095" s="17" t="s">
        <v>32</v>
      </c>
      <c r="K1095" s="17" t="s">
        <v>33</v>
      </c>
      <c r="L1095" s="17" t="s">
        <v>34</v>
      </c>
      <c r="M1095" s="19">
        <v>6415.92</v>
      </c>
      <c r="N1095" s="19">
        <v>2749.68</v>
      </c>
      <c r="O1095" s="17">
        <v>30</v>
      </c>
      <c r="P1095" s="17" t="s">
        <v>26</v>
      </c>
      <c r="Q1095" s="17">
        <v>12</v>
      </c>
      <c r="R1095" s="17" t="s">
        <v>27</v>
      </c>
      <c r="S1095" s="14" t="str">
        <f t="shared" si="17"/>
        <v>Week 4</v>
      </c>
    </row>
    <row r="1096" spans="1:19" x14ac:dyDescent="0.3">
      <c r="A1096" s="8" t="s">
        <v>1377</v>
      </c>
      <c r="B1096" s="9">
        <v>43096</v>
      </c>
      <c r="C1096" s="10" t="s">
        <v>215</v>
      </c>
      <c r="D1096" s="10" t="s">
        <v>30</v>
      </c>
      <c r="E1096" s="10" t="s">
        <v>37</v>
      </c>
      <c r="F1096" s="11">
        <v>5</v>
      </c>
      <c r="G1096" s="12">
        <v>1011.7</v>
      </c>
      <c r="H1096" s="12">
        <v>5058.5</v>
      </c>
      <c r="I1096" s="13">
        <v>566.55200000000002</v>
      </c>
      <c r="J1096" s="10" t="s">
        <v>54</v>
      </c>
      <c r="K1096" s="10" t="s">
        <v>55</v>
      </c>
      <c r="L1096" s="10" t="s">
        <v>56</v>
      </c>
      <c r="M1096" s="12">
        <v>2832.76</v>
      </c>
      <c r="N1096" s="12">
        <v>2225.7399999999898</v>
      </c>
      <c r="O1096" s="10">
        <v>43.999999999999901</v>
      </c>
      <c r="P1096" s="10" t="s">
        <v>26</v>
      </c>
      <c r="Q1096" s="10">
        <v>12</v>
      </c>
      <c r="R1096" s="10" t="s">
        <v>27</v>
      </c>
      <c r="S1096" s="14" t="str">
        <f t="shared" si="17"/>
        <v>Week 4</v>
      </c>
    </row>
    <row r="1097" spans="1:19" x14ac:dyDescent="0.3">
      <c r="A1097" s="15" t="s">
        <v>1378</v>
      </c>
      <c r="B1097" s="16">
        <v>43096</v>
      </c>
      <c r="C1097" s="17" t="s">
        <v>480</v>
      </c>
      <c r="D1097" s="17" t="s">
        <v>21</v>
      </c>
      <c r="E1097" s="17" t="s">
        <v>49</v>
      </c>
      <c r="F1097" s="18">
        <v>8</v>
      </c>
      <c r="G1097" s="19">
        <v>2599.6</v>
      </c>
      <c r="H1097" s="19">
        <v>20796.8</v>
      </c>
      <c r="I1097" s="20">
        <v>2105.6759999999999</v>
      </c>
      <c r="J1097" s="17" t="s">
        <v>23</v>
      </c>
      <c r="K1097" s="17" t="s">
        <v>24</v>
      </c>
      <c r="L1097" s="17" t="s">
        <v>25</v>
      </c>
      <c r="M1097" s="19">
        <v>16845.407999999999</v>
      </c>
      <c r="N1097" s="19">
        <v>3951.3919999999998</v>
      </c>
      <c r="O1097" s="17">
        <v>19</v>
      </c>
      <c r="P1097" s="17" t="s">
        <v>26</v>
      </c>
      <c r="Q1097" s="17">
        <v>12</v>
      </c>
      <c r="R1097" s="17" t="s">
        <v>27</v>
      </c>
      <c r="S1097" s="14" t="str">
        <f t="shared" si="17"/>
        <v>Week 4</v>
      </c>
    </row>
    <row r="1098" spans="1:19" x14ac:dyDescent="0.3">
      <c r="A1098" s="8" t="s">
        <v>1379</v>
      </c>
      <c r="B1098" s="9">
        <v>43096</v>
      </c>
      <c r="C1098" s="10" t="s">
        <v>358</v>
      </c>
      <c r="D1098" s="10" t="s">
        <v>21</v>
      </c>
      <c r="E1098" s="10" t="s">
        <v>49</v>
      </c>
      <c r="F1098" s="11">
        <v>11</v>
      </c>
      <c r="G1098" s="12">
        <v>5494</v>
      </c>
      <c r="H1098" s="12">
        <v>60434</v>
      </c>
      <c r="I1098" s="13">
        <v>3845.7999999999902</v>
      </c>
      <c r="J1098" s="10" t="s">
        <v>177</v>
      </c>
      <c r="K1098" s="10" t="s">
        <v>178</v>
      </c>
      <c r="L1098" s="10" t="s">
        <v>40</v>
      </c>
      <c r="M1098" s="12">
        <v>42303.799999999901</v>
      </c>
      <c r="N1098" s="12">
        <v>18130.2</v>
      </c>
      <c r="O1098" s="10">
        <v>30</v>
      </c>
      <c r="P1098" s="10" t="s">
        <v>26</v>
      </c>
      <c r="Q1098" s="10">
        <v>12</v>
      </c>
      <c r="R1098" s="10" t="s">
        <v>27</v>
      </c>
      <c r="S1098" s="14" t="str">
        <f t="shared" si="17"/>
        <v>Week 4</v>
      </c>
    </row>
    <row r="1099" spans="1:19" x14ac:dyDescent="0.3">
      <c r="A1099" s="15" t="s">
        <v>1380</v>
      </c>
      <c r="B1099" s="16">
        <v>43096</v>
      </c>
      <c r="C1099" s="17" t="s">
        <v>487</v>
      </c>
      <c r="D1099" s="17" t="s">
        <v>43</v>
      </c>
      <c r="E1099" s="17" t="s">
        <v>149</v>
      </c>
      <c r="F1099" s="18">
        <v>6</v>
      </c>
      <c r="G1099" s="19">
        <v>6331.5</v>
      </c>
      <c r="H1099" s="19">
        <v>37989</v>
      </c>
      <c r="I1099" s="20">
        <v>2532.6</v>
      </c>
      <c r="J1099" s="17" t="s">
        <v>32</v>
      </c>
      <c r="K1099" s="17" t="s">
        <v>33</v>
      </c>
      <c r="L1099" s="17" t="s">
        <v>34</v>
      </c>
      <c r="M1099" s="19">
        <v>15195.6</v>
      </c>
      <c r="N1099" s="19">
        <v>22793.3999999999</v>
      </c>
      <c r="O1099" s="17">
        <v>60</v>
      </c>
      <c r="P1099" s="17" t="s">
        <v>26</v>
      </c>
      <c r="Q1099" s="17">
        <v>12</v>
      </c>
      <c r="R1099" s="17" t="s">
        <v>27</v>
      </c>
      <c r="S1099" s="14" t="str">
        <f t="shared" si="17"/>
        <v>Week 4</v>
      </c>
    </row>
    <row r="1100" spans="1:19" x14ac:dyDescent="0.3">
      <c r="A1100" s="8" t="s">
        <v>1381</v>
      </c>
      <c r="B1100" s="9">
        <v>43096</v>
      </c>
      <c r="C1100" s="10" t="s">
        <v>29</v>
      </c>
      <c r="D1100" s="10" t="s">
        <v>30</v>
      </c>
      <c r="E1100" s="10" t="s">
        <v>146</v>
      </c>
      <c r="F1100" s="11">
        <v>5</v>
      </c>
      <c r="G1100" s="12">
        <v>2358.4</v>
      </c>
      <c r="H1100" s="12">
        <v>11792</v>
      </c>
      <c r="I1100" s="13">
        <v>990.52800000000002</v>
      </c>
      <c r="J1100" s="10" t="s">
        <v>76</v>
      </c>
      <c r="K1100" s="10" t="s">
        <v>77</v>
      </c>
      <c r="L1100" s="10" t="s">
        <v>56</v>
      </c>
      <c r="M1100" s="12">
        <v>4952.6400000000003</v>
      </c>
      <c r="N1100" s="12">
        <v>6839.36</v>
      </c>
      <c r="O1100" s="10">
        <v>57.999999999999901</v>
      </c>
      <c r="P1100" s="10" t="s">
        <v>26</v>
      </c>
      <c r="Q1100" s="10">
        <v>12</v>
      </c>
      <c r="R1100" s="10" t="s">
        <v>27</v>
      </c>
      <c r="S1100" s="14" t="str">
        <f t="shared" si="17"/>
        <v>Week 4</v>
      </c>
    </row>
    <row r="1101" spans="1:19" x14ac:dyDescent="0.3">
      <c r="A1101" s="15" t="s">
        <v>1382</v>
      </c>
      <c r="B1101" s="16">
        <v>43096</v>
      </c>
      <c r="C1101" s="17" t="s">
        <v>464</v>
      </c>
      <c r="D1101" s="17" t="s">
        <v>30</v>
      </c>
      <c r="E1101" s="17" t="s">
        <v>228</v>
      </c>
      <c r="F1101" s="18">
        <v>5</v>
      </c>
      <c r="G1101" s="19">
        <v>5956.3</v>
      </c>
      <c r="H1101" s="19">
        <v>29781.5</v>
      </c>
      <c r="I1101" s="20">
        <v>3216.402</v>
      </c>
      <c r="J1101" s="17" t="s">
        <v>54</v>
      </c>
      <c r="K1101" s="17" t="s">
        <v>55</v>
      </c>
      <c r="L1101" s="17" t="s">
        <v>56</v>
      </c>
      <c r="M1101" s="19">
        <v>16082.01</v>
      </c>
      <c r="N1101" s="19">
        <v>13699.4899999999</v>
      </c>
      <c r="O1101" s="17">
        <v>45.999999999999901</v>
      </c>
      <c r="P1101" s="17" t="s">
        <v>26</v>
      </c>
      <c r="Q1101" s="17">
        <v>12</v>
      </c>
      <c r="R1101" s="17" t="s">
        <v>27</v>
      </c>
      <c r="S1101" s="14" t="str">
        <f t="shared" si="17"/>
        <v>Week 4</v>
      </c>
    </row>
    <row r="1102" spans="1:19" x14ac:dyDescent="0.3">
      <c r="A1102" s="8" t="s">
        <v>1383</v>
      </c>
      <c r="B1102" s="9">
        <v>43096</v>
      </c>
      <c r="C1102" s="10" t="s">
        <v>109</v>
      </c>
      <c r="D1102" s="10" t="s">
        <v>30</v>
      </c>
      <c r="E1102" s="10" t="s">
        <v>110</v>
      </c>
      <c r="F1102" s="11">
        <v>7</v>
      </c>
      <c r="G1102" s="12">
        <v>2726.9</v>
      </c>
      <c r="H1102" s="12">
        <v>19088.3</v>
      </c>
      <c r="I1102" s="13">
        <v>2045.175</v>
      </c>
      <c r="J1102" s="10" t="s">
        <v>212</v>
      </c>
      <c r="K1102" s="10" t="s">
        <v>213</v>
      </c>
      <c r="L1102" s="10" t="s">
        <v>34</v>
      </c>
      <c r="M1102" s="12">
        <v>14316.225</v>
      </c>
      <c r="N1102" s="12">
        <v>4772.0749999999898</v>
      </c>
      <c r="O1102" s="10">
        <v>24.999999999999901</v>
      </c>
      <c r="P1102" s="10" t="s">
        <v>26</v>
      </c>
      <c r="Q1102" s="10">
        <v>12</v>
      </c>
      <c r="R1102" s="10" t="s">
        <v>27</v>
      </c>
      <c r="S1102" s="14" t="str">
        <f t="shared" si="17"/>
        <v>Week 4</v>
      </c>
    </row>
    <row r="1103" spans="1:19" x14ac:dyDescent="0.3">
      <c r="A1103" s="15" t="s">
        <v>1384</v>
      </c>
      <c r="B1103" s="16">
        <v>43096</v>
      </c>
      <c r="C1103" s="17" t="s">
        <v>356</v>
      </c>
      <c r="D1103" s="17" t="s">
        <v>43</v>
      </c>
      <c r="E1103" s="17" t="s">
        <v>115</v>
      </c>
      <c r="F1103" s="18">
        <v>11</v>
      </c>
      <c r="G1103" s="19">
        <v>1125.5999999999999</v>
      </c>
      <c r="H1103" s="19">
        <v>12381.599999999999</v>
      </c>
      <c r="I1103" s="20">
        <v>529.03200000000004</v>
      </c>
      <c r="J1103" s="17" t="s">
        <v>54</v>
      </c>
      <c r="K1103" s="17" t="s">
        <v>55</v>
      </c>
      <c r="L1103" s="17" t="s">
        <v>56</v>
      </c>
      <c r="M1103" s="19">
        <v>5819.3519999999999</v>
      </c>
      <c r="N1103" s="19">
        <v>6562.2479999999996</v>
      </c>
      <c r="O1103" s="17">
        <v>53</v>
      </c>
      <c r="P1103" s="17" t="s">
        <v>26</v>
      </c>
      <c r="Q1103" s="17">
        <v>12</v>
      </c>
      <c r="R1103" s="17" t="s">
        <v>27</v>
      </c>
      <c r="S1103" s="14" t="str">
        <f t="shared" si="17"/>
        <v>Week 4</v>
      </c>
    </row>
    <row r="1104" spans="1:19" x14ac:dyDescent="0.3">
      <c r="A1104" s="8" t="s">
        <v>1385</v>
      </c>
      <c r="B1104" s="9">
        <v>43096</v>
      </c>
      <c r="C1104" s="10" t="s">
        <v>29</v>
      </c>
      <c r="D1104" s="10" t="s">
        <v>21</v>
      </c>
      <c r="E1104" s="10" t="s">
        <v>418</v>
      </c>
      <c r="F1104" s="11">
        <v>5</v>
      </c>
      <c r="G1104" s="12">
        <v>1065.3</v>
      </c>
      <c r="H1104" s="12">
        <v>5326.5</v>
      </c>
      <c r="I1104" s="13">
        <v>649.83299999999997</v>
      </c>
      <c r="J1104" s="10" t="s">
        <v>45</v>
      </c>
      <c r="K1104" s="10" t="s">
        <v>46</v>
      </c>
      <c r="L1104" s="10" t="s">
        <v>34</v>
      </c>
      <c r="M1104" s="12">
        <v>3249.165</v>
      </c>
      <c r="N1104" s="12">
        <v>2077.335</v>
      </c>
      <c r="O1104" s="10">
        <v>39</v>
      </c>
      <c r="P1104" s="10" t="s">
        <v>26</v>
      </c>
      <c r="Q1104" s="10">
        <v>12</v>
      </c>
      <c r="R1104" s="10" t="s">
        <v>27</v>
      </c>
      <c r="S1104" s="14" t="str">
        <f t="shared" si="17"/>
        <v>Week 4</v>
      </c>
    </row>
    <row r="1105" spans="1:19" x14ac:dyDescent="0.3">
      <c r="A1105" s="15" t="s">
        <v>1386</v>
      </c>
      <c r="B1105" s="16">
        <v>43096</v>
      </c>
      <c r="C1105" s="17" t="s">
        <v>352</v>
      </c>
      <c r="D1105" s="17" t="s">
        <v>21</v>
      </c>
      <c r="E1105" s="17" t="s">
        <v>49</v>
      </c>
      <c r="F1105" s="18">
        <v>11</v>
      </c>
      <c r="G1105" s="19">
        <v>1058.5999999999999</v>
      </c>
      <c r="H1105" s="19">
        <v>11644.599999999999</v>
      </c>
      <c r="I1105" s="20">
        <v>804.53599999999994</v>
      </c>
      <c r="J1105" s="17" t="s">
        <v>54</v>
      </c>
      <c r="K1105" s="17" t="s">
        <v>55</v>
      </c>
      <c r="L1105" s="17" t="s">
        <v>56</v>
      </c>
      <c r="M1105" s="19">
        <v>8849.8960000000006</v>
      </c>
      <c r="N1105" s="19">
        <v>2794.7040000000002</v>
      </c>
      <c r="O1105" s="17">
        <v>24</v>
      </c>
      <c r="P1105" s="17" t="s">
        <v>26</v>
      </c>
      <c r="Q1105" s="17">
        <v>12</v>
      </c>
      <c r="R1105" s="17" t="s">
        <v>27</v>
      </c>
      <c r="S1105" s="14" t="str">
        <f t="shared" si="17"/>
        <v>Week 4</v>
      </c>
    </row>
    <row r="1106" spans="1:19" x14ac:dyDescent="0.3">
      <c r="A1106" s="8" t="s">
        <v>1387</v>
      </c>
      <c r="B1106" s="9">
        <v>43096</v>
      </c>
      <c r="C1106" s="10" t="s">
        <v>746</v>
      </c>
      <c r="D1106" s="10" t="s">
        <v>43</v>
      </c>
      <c r="E1106" s="10" t="s">
        <v>120</v>
      </c>
      <c r="F1106" s="11">
        <v>12</v>
      </c>
      <c r="G1106" s="12">
        <v>6378.4</v>
      </c>
      <c r="H1106" s="12">
        <v>76540.799999999988</v>
      </c>
      <c r="I1106" s="13">
        <v>3508.12</v>
      </c>
      <c r="J1106" s="10" t="s">
        <v>225</v>
      </c>
      <c r="K1106" s="10" t="s">
        <v>226</v>
      </c>
      <c r="L1106" s="10" t="s">
        <v>25</v>
      </c>
      <c r="M1106" s="12">
        <v>42097.440000000002</v>
      </c>
      <c r="N1106" s="12">
        <v>34443.359999999899</v>
      </c>
      <c r="O1106" s="10">
        <v>44.999999999999901</v>
      </c>
      <c r="P1106" s="10" t="s">
        <v>26</v>
      </c>
      <c r="Q1106" s="10">
        <v>12</v>
      </c>
      <c r="R1106" s="10" t="s">
        <v>27</v>
      </c>
      <c r="S1106" s="14" t="str">
        <f t="shared" si="17"/>
        <v>Week 4</v>
      </c>
    </row>
    <row r="1107" spans="1:19" x14ac:dyDescent="0.3">
      <c r="A1107" s="15" t="s">
        <v>1388</v>
      </c>
      <c r="B1107" s="16">
        <v>43096</v>
      </c>
      <c r="C1107" s="17" t="s">
        <v>325</v>
      </c>
      <c r="D1107" s="17" t="s">
        <v>21</v>
      </c>
      <c r="E1107" s="17" t="s">
        <v>93</v>
      </c>
      <c r="F1107" s="18">
        <v>9</v>
      </c>
      <c r="G1107" s="19">
        <v>1058.5999999999999</v>
      </c>
      <c r="H1107" s="19">
        <v>9527.4</v>
      </c>
      <c r="I1107" s="20">
        <v>762.19200000000001</v>
      </c>
      <c r="J1107" s="17" t="s">
        <v>23</v>
      </c>
      <c r="K1107" s="17" t="s">
        <v>24</v>
      </c>
      <c r="L1107" s="17" t="s">
        <v>25</v>
      </c>
      <c r="M1107" s="19">
        <v>6859.7280000000001</v>
      </c>
      <c r="N1107" s="19">
        <v>2667.672</v>
      </c>
      <c r="O1107" s="17">
        <v>28</v>
      </c>
      <c r="P1107" s="17" t="s">
        <v>26</v>
      </c>
      <c r="Q1107" s="17">
        <v>12</v>
      </c>
      <c r="R1107" s="17" t="s">
        <v>27</v>
      </c>
      <c r="S1107" s="14" t="str">
        <f t="shared" si="17"/>
        <v>Week 4</v>
      </c>
    </row>
    <row r="1108" spans="1:19" x14ac:dyDescent="0.3">
      <c r="A1108" s="8" t="s">
        <v>1389</v>
      </c>
      <c r="B1108" s="9">
        <v>43096</v>
      </c>
      <c r="C1108" s="10" t="s">
        <v>75</v>
      </c>
      <c r="D1108" s="10" t="s">
        <v>30</v>
      </c>
      <c r="E1108" s="10" t="s">
        <v>127</v>
      </c>
      <c r="F1108" s="11">
        <v>10</v>
      </c>
      <c r="G1108" s="12">
        <v>2539.3000000000002</v>
      </c>
      <c r="H1108" s="12">
        <v>25393</v>
      </c>
      <c r="I1108" s="13">
        <v>1879.0820000000001</v>
      </c>
      <c r="J1108" s="10" t="s">
        <v>54</v>
      </c>
      <c r="K1108" s="10" t="s">
        <v>55</v>
      </c>
      <c r="L1108" s="10" t="s">
        <v>56</v>
      </c>
      <c r="M1108" s="12">
        <v>18790.82</v>
      </c>
      <c r="N1108" s="12">
        <v>6602.18</v>
      </c>
      <c r="O1108" s="10">
        <v>26</v>
      </c>
      <c r="P1108" s="10" t="s">
        <v>26</v>
      </c>
      <c r="Q1108" s="10">
        <v>12</v>
      </c>
      <c r="R1108" s="10" t="s">
        <v>27</v>
      </c>
      <c r="S1108" s="14" t="str">
        <f t="shared" si="17"/>
        <v>Week 4</v>
      </c>
    </row>
    <row r="1109" spans="1:19" x14ac:dyDescent="0.3">
      <c r="A1109" s="15" t="s">
        <v>1390</v>
      </c>
      <c r="B1109" s="16">
        <v>43096</v>
      </c>
      <c r="C1109" s="17" t="s">
        <v>632</v>
      </c>
      <c r="D1109" s="17" t="s">
        <v>43</v>
      </c>
      <c r="E1109" s="17" t="s">
        <v>103</v>
      </c>
      <c r="F1109" s="18">
        <v>8</v>
      </c>
      <c r="G1109" s="19">
        <v>1896.1</v>
      </c>
      <c r="H1109" s="19">
        <v>15168.8</v>
      </c>
      <c r="I1109" s="20">
        <v>1611.6849999999999</v>
      </c>
      <c r="J1109" s="17" t="s">
        <v>54</v>
      </c>
      <c r="K1109" s="17" t="s">
        <v>55</v>
      </c>
      <c r="L1109" s="17" t="s">
        <v>56</v>
      </c>
      <c r="M1109" s="19">
        <v>12893.48</v>
      </c>
      <c r="N1109" s="19">
        <v>2275.3199999999902</v>
      </c>
      <c r="O1109" s="17">
        <v>14.999999999999901</v>
      </c>
      <c r="P1109" s="17" t="s">
        <v>26</v>
      </c>
      <c r="Q1109" s="17">
        <v>12</v>
      </c>
      <c r="R1109" s="17" t="s">
        <v>27</v>
      </c>
      <c r="S1109" s="14" t="str">
        <f t="shared" si="17"/>
        <v>Week 4</v>
      </c>
    </row>
    <row r="1110" spans="1:19" x14ac:dyDescent="0.3">
      <c r="A1110" s="8" t="s">
        <v>1391</v>
      </c>
      <c r="B1110" s="9">
        <v>43096</v>
      </c>
      <c r="C1110" s="10" t="s">
        <v>1128</v>
      </c>
      <c r="D1110" s="10" t="s">
        <v>21</v>
      </c>
      <c r="E1110" s="10" t="s">
        <v>91</v>
      </c>
      <c r="F1110" s="11">
        <v>11</v>
      </c>
      <c r="G1110" s="12">
        <v>2626.4</v>
      </c>
      <c r="H1110" s="12">
        <v>28890.400000000001</v>
      </c>
      <c r="I1110" s="13">
        <v>1891.008</v>
      </c>
      <c r="J1110" s="10" t="s">
        <v>132</v>
      </c>
      <c r="K1110" s="10" t="s">
        <v>133</v>
      </c>
      <c r="L1110" s="10" t="s">
        <v>34</v>
      </c>
      <c r="M1110" s="12">
        <v>20801.088</v>
      </c>
      <c r="N1110" s="12">
        <v>8089.3119999999999</v>
      </c>
      <c r="O1110" s="10">
        <v>28</v>
      </c>
      <c r="P1110" s="10" t="s">
        <v>26</v>
      </c>
      <c r="Q1110" s="10">
        <v>12</v>
      </c>
      <c r="R1110" s="10" t="s">
        <v>27</v>
      </c>
      <c r="S1110" s="14" t="str">
        <f t="shared" si="17"/>
        <v>Week 4</v>
      </c>
    </row>
    <row r="1111" spans="1:19" x14ac:dyDescent="0.3">
      <c r="A1111" s="15" t="s">
        <v>1392</v>
      </c>
      <c r="B1111" s="16">
        <v>43096</v>
      </c>
      <c r="C1111" s="17" t="s">
        <v>354</v>
      </c>
      <c r="D1111" s="17" t="s">
        <v>21</v>
      </c>
      <c r="E1111" s="17" t="s">
        <v>91</v>
      </c>
      <c r="F1111" s="18">
        <v>11</v>
      </c>
      <c r="G1111" s="19">
        <v>1728.6</v>
      </c>
      <c r="H1111" s="19">
        <v>19014.599999999999</v>
      </c>
      <c r="I1111" s="20">
        <v>1175.4480000000001</v>
      </c>
      <c r="J1111" s="17" t="s">
        <v>54</v>
      </c>
      <c r="K1111" s="17" t="s">
        <v>55</v>
      </c>
      <c r="L1111" s="17" t="s">
        <v>56</v>
      </c>
      <c r="M1111" s="19">
        <v>12929.928</v>
      </c>
      <c r="N1111" s="19">
        <v>6084.6719999999996</v>
      </c>
      <c r="O1111" s="17">
        <v>32</v>
      </c>
      <c r="P1111" s="17" t="s">
        <v>26</v>
      </c>
      <c r="Q1111" s="17">
        <v>12</v>
      </c>
      <c r="R1111" s="17" t="s">
        <v>27</v>
      </c>
      <c r="S1111" s="14" t="str">
        <f t="shared" si="17"/>
        <v>Week 4</v>
      </c>
    </row>
    <row r="1112" spans="1:19" x14ac:dyDescent="0.3">
      <c r="A1112" s="8" t="s">
        <v>1393</v>
      </c>
      <c r="B1112" s="9">
        <v>43096</v>
      </c>
      <c r="C1112" s="10" t="s">
        <v>416</v>
      </c>
      <c r="D1112" s="10" t="s">
        <v>43</v>
      </c>
      <c r="E1112" s="10" t="s">
        <v>31</v>
      </c>
      <c r="F1112" s="11">
        <v>10</v>
      </c>
      <c r="G1112" s="12">
        <v>1212.7</v>
      </c>
      <c r="H1112" s="12">
        <v>12127</v>
      </c>
      <c r="I1112" s="13">
        <v>1006.54099999999</v>
      </c>
      <c r="J1112" s="10" t="s">
        <v>76</v>
      </c>
      <c r="K1112" s="10" t="s">
        <v>77</v>
      </c>
      <c r="L1112" s="10" t="s">
        <v>56</v>
      </c>
      <c r="M1112" s="12">
        <v>10065.41</v>
      </c>
      <c r="N1112" s="12">
        <v>2061.59</v>
      </c>
      <c r="O1112" s="10">
        <v>17</v>
      </c>
      <c r="P1112" s="10" t="s">
        <v>26</v>
      </c>
      <c r="Q1112" s="10">
        <v>12</v>
      </c>
      <c r="R1112" s="10" t="s">
        <v>27</v>
      </c>
      <c r="S1112" s="14" t="str">
        <f t="shared" si="17"/>
        <v>Week 4</v>
      </c>
    </row>
    <row r="1113" spans="1:19" x14ac:dyDescent="0.3">
      <c r="A1113" s="15" t="s">
        <v>1394</v>
      </c>
      <c r="B1113" s="16">
        <v>43096</v>
      </c>
      <c r="C1113" s="17" t="s">
        <v>321</v>
      </c>
      <c r="D1113" s="17" t="s">
        <v>21</v>
      </c>
      <c r="E1113" s="17" t="s">
        <v>149</v>
      </c>
      <c r="F1113" s="18">
        <v>12</v>
      </c>
      <c r="G1113" s="19">
        <v>897.8</v>
      </c>
      <c r="H1113" s="19">
        <v>10773.599999999999</v>
      </c>
      <c r="I1113" s="20">
        <v>619.48199999999997</v>
      </c>
      <c r="J1113" s="17" t="s">
        <v>159</v>
      </c>
      <c r="K1113" s="17" t="s">
        <v>160</v>
      </c>
      <c r="L1113" s="17" t="s">
        <v>25</v>
      </c>
      <c r="M1113" s="19">
        <v>7433.7839999999997</v>
      </c>
      <c r="N1113" s="19">
        <v>3339.8159999999998</v>
      </c>
      <c r="O1113" s="17">
        <v>31</v>
      </c>
      <c r="P1113" s="17" t="s">
        <v>26</v>
      </c>
      <c r="Q1113" s="17">
        <v>12</v>
      </c>
      <c r="R1113" s="17" t="s">
        <v>27</v>
      </c>
      <c r="S1113" s="14" t="str">
        <f t="shared" si="17"/>
        <v>Week 4</v>
      </c>
    </row>
    <row r="1114" spans="1:19" x14ac:dyDescent="0.3">
      <c r="A1114" s="8" t="s">
        <v>1395</v>
      </c>
      <c r="B1114" s="9">
        <v>43096</v>
      </c>
      <c r="C1114" s="10" t="s">
        <v>626</v>
      </c>
      <c r="D1114" s="10" t="s">
        <v>21</v>
      </c>
      <c r="E1114" s="10" t="s">
        <v>103</v>
      </c>
      <c r="F1114" s="11">
        <v>8</v>
      </c>
      <c r="G1114" s="12">
        <v>221.1</v>
      </c>
      <c r="H1114" s="12">
        <v>1768.8</v>
      </c>
      <c r="I1114" s="13">
        <v>168.036</v>
      </c>
      <c r="J1114" s="10" t="s">
        <v>83</v>
      </c>
      <c r="K1114" s="10" t="s">
        <v>84</v>
      </c>
      <c r="L1114" s="10" t="s">
        <v>34</v>
      </c>
      <c r="M1114" s="12">
        <v>1344.288</v>
      </c>
      <c r="N1114" s="12">
        <v>424.51199999999898</v>
      </c>
      <c r="O1114" s="10">
        <v>23.999999999999901</v>
      </c>
      <c r="P1114" s="10" t="s">
        <v>26</v>
      </c>
      <c r="Q1114" s="10">
        <v>12</v>
      </c>
      <c r="R1114" s="10" t="s">
        <v>27</v>
      </c>
      <c r="S1114" s="14" t="str">
        <f t="shared" si="17"/>
        <v>Week 4</v>
      </c>
    </row>
    <row r="1115" spans="1:19" x14ac:dyDescent="0.3">
      <c r="A1115" s="15" t="s">
        <v>1396</v>
      </c>
      <c r="B1115" s="16">
        <v>43096</v>
      </c>
      <c r="C1115" s="17" t="s">
        <v>720</v>
      </c>
      <c r="D1115" s="17" t="s">
        <v>21</v>
      </c>
      <c r="E1115" s="17" t="s">
        <v>120</v>
      </c>
      <c r="F1115" s="18">
        <v>9</v>
      </c>
      <c r="G1115" s="19">
        <v>1909.5</v>
      </c>
      <c r="H1115" s="19">
        <v>17185.5</v>
      </c>
      <c r="I1115" s="20">
        <v>1413.03</v>
      </c>
      <c r="J1115" s="17" t="s">
        <v>614</v>
      </c>
      <c r="K1115" s="17" t="s">
        <v>615</v>
      </c>
      <c r="L1115" s="17" t="s">
        <v>34</v>
      </c>
      <c r="M1115" s="19">
        <v>12717.27</v>
      </c>
      <c r="N1115" s="19">
        <v>4468.2299999999996</v>
      </c>
      <c r="O1115" s="17">
        <v>25.999999999999901</v>
      </c>
      <c r="P1115" s="17" t="s">
        <v>26</v>
      </c>
      <c r="Q1115" s="17">
        <v>12</v>
      </c>
      <c r="R1115" s="17" t="s">
        <v>27</v>
      </c>
      <c r="S1115" s="14" t="str">
        <f t="shared" si="17"/>
        <v>Week 4</v>
      </c>
    </row>
    <row r="1116" spans="1:19" x14ac:dyDescent="0.3">
      <c r="A1116" s="8" t="s">
        <v>1397</v>
      </c>
      <c r="B1116" s="9">
        <v>43096</v>
      </c>
      <c r="C1116" s="10" t="s">
        <v>239</v>
      </c>
      <c r="D1116" s="10" t="s">
        <v>30</v>
      </c>
      <c r="E1116" s="10" t="s">
        <v>37</v>
      </c>
      <c r="F1116" s="11">
        <v>11</v>
      </c>
      <c r="G1116" s="12">
        <v>2485.6999999999998</v>
      </c>
      <c r="H1116" s="12">
        <v>27342.699999999997</v>
      </c>
      <c r="I1116" s="13">
        <v>2063.1309999999999</v>
      </c>
      <c r="J1116" s="10" t="s">
        <v>436</v>
      </c>
      <c r="K1116" s="10" t="s">
        <v>437</v>
      </c>
      <c r="L1116" s="10" t="s">
        <v>25</v>
      </c>
      <c r="M1116" s="12">
        <v>22694.440999999999</v>
      </c>
      <c r="N1116" s="12">
        <v>4648.259</v>
      </c>
      <c r="O1116" s="10">
        <v>17</v>
      </c>
      <c r="P1116" s="10" t="s">
        <v>26</v>
      </c>
      <c r="Q1116" s="10">
        <v>12</v>
      </c>
      <c r="R1116" s="10" t="s">
        <v>27</v>
      </c>
      <c r="S1116" s="14" t="str">
        <f t="shared" si="17"/>
        <v>Week 4</v>
      </c>
    </row>
    <row r="1117" spans="1:19" x14ac:dyDescent="0.3">
      <c r="A1117" s="15" t="s">
        <v>1398</v>
      </c>
      <c r="B1117" s="16">
        <v>43096</v>
      </c>
      <c r="C1117" s="17" t="s">
        <v>529</v>
      </c>
      <c r="D1117" s="17" t="s">
        <v>21</v>
      </c>
      <c r="E1117" s="17" t="s">
        <v>103</v>
      </c>
      <c r="F1117" s="18">
        <v>6</v>
      </c>
      <c r="G1117" s="19">
        <v>3872.6</v>
      </c>
      <c r="H1117" s="19">
        <v>23235.599999999999</v>
      </c>
      <c r="I1117" s="20">
        <v>2478.4639999999999</v>
      </c>
      <c r="J1117" s="17" t="s">
        <v>38</v>
      </c>
      <c r="K1117" s="17" t="s">
        <v>39</v>
      </c>
      <c r="L1117" s="17" t="s">
        <v>40</v>
      </c>
      <c r="M1117" s="19">
        <v>14870.784</v>
      </c>
      <c r="N1117" s="19">
        <v>8364.8159999999898</v>
      </c>
      <c r="O1117" s="17">
        <v>36</v>
      </c>
      <c r="P1117" s="17" t="s">
        <v>26</v>
      </c>
      <c r="Q1117" s="17">
        <v>12</v>
      </c>
      <c r="R1117" s="17" t="s">
        <v>27</v>
      </c>
      <c r="S1117" s="14" t="str">
        <f t="shared" si="17"/>
        <v>Week 4</v>
      </c>
    </row>
    <row r="1118" spans="1:19" x14ac:dyDescent="0.3">
      <c r="A1118" s="8" t="s">
        <v>1399</v>
      </c>
      <c r="B1118" s="9">
        <v>43096</v>
      </c>
      <c r="C1118" s="10" t="s">
        <v>286</v>
      </c>
      <c r="D1118" s="10" t="s">
        <v>30</v>
      </c>
      <c r="E1118" s="10" t="s">
        <v>31</v>
      </c>
      <c r="F1118" s="11">
        <v>8</v>
      </c>
      <c r="G1118" s="12">
        <v>5956.3</v>
      </c>
      <c r="H1118" s="12">
        <v>47650.400000000001</v>
      </c>
      <c r="I1118" s="13">
        <v>4050.2840000000001</v>
      </c>
      <c r="J1118" s="10" t="s">
        <v>23</v>
      </c>
      <c r="K1118" s="10" t="s">
        <v>24</v>
      </c>
      <c r="L1118" s="10" t="s">
        <v>25</v>
      </c>
      <c r="M1118" s="12">
        <v>32402.272000000001</v>
      </c>
      <c r="N1118" s="12">
        <v>15248.127999999901</v>
      </c>
      <c r="O1118" s="10">
        <v>31.999999999999901</v>
      </c>
      <c r="P1118" s="10" t="s">
        <v>26</v>
      </c>
      <c r="Q1118" s="10">
        <v>12</v>
      </c>
      <c r="R1118" s="10" t="s">
        <v>27</v>
      </c>
      <c r="S1118" s="14" t="str">
        <f t="shared" si="17"/>
        <v>Week 4</v>
      </c>
    </row>
    <row r="1119" spans="1:19" x14ac:dyDescent="0.3">
      <c r="A1119" s="15" t="s">
        <v>1400</v>
      </c>
      <c r="B1119" s="16">
        <v>43096</v>
      </c>
      <c r="C1119" s="17" t="s">
        <v>349</v>
      </c>
      <c r="D1119" s="17" t="s">
        <v>21</v>
      </c>
      <c r="E1119" s="17" t="s">
        <v>62</v>
      </c>
      <c r="F1119" s="18">
        <v>11</v>
      </c>
      <c r="G1119" s="19">
        <v>938</v>
      </c>
      <c r="H1119" s="19">
        <v>10318</v>
      </c>
      <c r="I1119" s="20">
        <v>675.36</v>
      </c>
      <c r="J1119" s="17" t="s">
        <v>83</v>
      </c>
      <c r="K1119" s="17" t="s">
        <v>84</v>
      </c>
      <c r="L1119" s="17" t="s">
        <v>34</v>
      </c>
      <c r="M1119" s="19">
        <v>7428.96</v>
      </c>
      <c r="N1119" s="19">
        <v>2889.04</v>
      </c>
      <c r="O1119" s="17">
        <v>27.999999999999901</v>
      </c>
      <c r="P1119" s="17" t="s">
        <v>26</v>
      </c>
      <c r="Q1119" s="17">
        <v>12</v>
      </c>
      <c r="R1119" s="17" t="s">
        <v>27</v>
      </c>
      <c r="S1119" s="14" t="str">
        <f t="shared" si="17"/>
        <v>Week 4</v>
      </c>
    </row>
    <row r="1120" spans="1:19" x14ac:dyDescent="0.3">
      <c r="A1120" s="8" t="s">
        <v>1401</v>
      </c>
      <c r="B1120" s="9">
        <v>43096</v>
      </c>
      <c r="C1120" s="10" t="s">
        <v>470</v>
      </c>
      <c r="D1120" s="10" t="s">
        <v>21</v>
      </c>
      <c r="E1120" s="10" t="s">
        <v>73</v>
      </c>
      <c r="F1120" s="11">
        <v>5</v>
      </c>
      <c r="G1120" s="12">
        <v>2894.4</v>
      </c>
      <c r="H1120" s="12">
        <v>14472</v>
      </c>
      <c r="I1120" s="13">
        <v>2026.08</v>
      </c>
      <c r="J1120" s="10" t="s">
        <v>54</v>
      </c>
      <c r="K1120" s="10" t="s">
        <v>55</v>
      </c>
      <c r="L1120" s="10" t="s">
        <v>56</v>
      </c>
      <c r="M1120" s="12">
        <v>10130.4</v>
      </c>
      <c r="N1120" s="12">
        <v>4341.6000000000004</v>
      </c>
      <c r="O1120" s="10">
        <v>30</v>
      </c>
      <c r="P1120" s="10" t="s">
        <v>26</v>
      </c>
      <c r="Q1120" s="10">
        <v>12</v>
      </c>
      <c r="R1120" s="10" t="s">
        <v>27</v>
      </c>
      <c r="S1120" s="14" t="str">
        <f t="shared" si="17"/>
        <v>Week 4</v>
      </c>
    </row>
    <row r="1121" spans="1:19" x14ac:dyDescent="0.3">
      <c r="A1121" s="15" t="s">
        <v>1402</v>
      </c>
      <c r="B1121" s="16">
        <v>43096</v>
      </c>
      <c r="C1121" s="17" t="s">
        <v>270</v>
      </c>
      <c r="D1121" s="17" t="s">
        <v>21</v>
      </c>
      <c r="E1121" s="17" t="s">
        <v>149</v>
      </c>
      <c r="F1121" s="18">
        <v>12</v>
      </c>
      <c r="G1121" s="19">
        <v>1701.8</v>
      </c>
      <c r="H1121" s="19">
        <v>20421.599999999999</v>
      </c>
      <c r="I1121" s="20">
        <v>1191.26</v>
      </c>
      <c r="J1121" s="17" t="s">
        <v>212</v>
      </c>
      <c r="K1121" s="17" t="s">
        <v>213</v>
      </c>
      <c r="L1121" s="17" t="s">
        <v>34</v>
      </c>
      <c r="M1121" s="19">
        <v>14295.119999999901</v>
      </c>
      <c r="N1121" s="19">
        <v>6126.48</v>
      </c>
      <c r="O1121" s="17">
        <v>30</v>
      </c>
      <c r="P1121" s="17" t="s">
        <v>26</v>
      </c>
      <c r="Q1121" s="17">
        <v>12</v>
      </c>
      <c r="R1121" s="17" t="s">
        <v>27</v>
      </c>
      <c r="S1121" s="14" t="str">
        <f t="shared" si="17"/>
        <v>Week 4</v>
      </c>
    </row>
    <row r="1122" spans="1:19" x14ac:dyDescent="0.3">
      <c r="A1122" s="8" t="s">
        <v>1403</v>
      </c>
      <c r="B1122" s="9">
        <v>43096</v>
      </c>
      <c r="C1122" s="10" t="s">
        <v>543</v>
      </c>
      <c r="D1122" s="10" t="s">
        <v>30</v>
      </c>
      <c r="E1122" s="10" t="s">
        <v>127</v>
      </c>
      <c r="F1122" s="11">
        <v>7</v>
      </c>
      <c r="G1122" s="12">
        <v>2586.1999999999998</v>
      </c>
      <c r="H1122" s="12">
        <v>18103.399999999998</v>
      </c>
      <c r="I1122" s="13">
        <v>2068.96</v>
      </c>
      <c r="J1122" s="10" t="s">
        <v>54</v>
      </c>
      <c r="K1122" s="10" t="s">
        <v>55</v>
      </c>
      <c r="L1122" s="10" t="s">
        <v>56</v>
      </c>
      <c r="M1122" s="12">
        <v>14482.72</v>
      </c>
      <c r="N1122" s="12">
        <v>3620.6799999999898</v>
      </c>
      <c r="O1122" s="10">
        <v>19.999999999999901</v>
      </c>
      <c r="P1122" s="10" t="s">
        <v>26</v>
      </c>
      <c r="Q1122" s="10">
        <v>12</v>
      </c>
      <c r="R1122" s="10" t="s">
        <v>27</v>
      </c>
      <c r="S1122" s="14" t="str">
        <f t="shared" si="17"/>
        <v>Week 4</v>
      </c>
    </row>
    <row r="1123" spans="1:19" x14ac:dyDescent="0.3">
      <c r="A1123" s="15" t="s">
        <v>1404</v>
      </c>
      <c r="B1123" s="16">
        <v>43096</v>
      </c>
      <c r="C1123" s="17" t="s">
        <v>239</v>
      </c>
      <c r="D1123" s="17" t="s">
        <v>30</v>
      </c>
      <c r="E1123" s="17" t="s">
        <v>115</v>
      </c>
      <c r="F1123" s="18">
        <v>12</v>
      </c>
      <c r="G1123" s="19">
        <v>3832.4</v>
      </c>
      <c r="H1123" s="19">
        <v>45988.800000000003</v>
      </c>
      <c r="I1123" s="20">
        <v>2835.9760000000001</v>
      </c>
      <c r="J1123" s="17" t="s">
        <v>257</v>
      </c>
      <c r="K1123" s="17" t="s">
        <v>258</v>
      </c>
      <c r="L1123" s="17" t="s">
        <v>25</v>
      </c>
      <c r="M1123" s="19">
        <v>34031.712</v>
      </c>
      <c r="N1123" s="19">
        <v>11957.088</v>
      </c>
      <c r="O1123" s="17">
        <v>26</v>
      </c>
      <c r="P1123" s="17" t="s">
        <v>26</v>
      </c>
      <c r="Q1123" s="17">
        <v>12</v>
      </c>
      <c r="R1123" s="17" t="s">
        <v>27</v>
      </c>
      <c r="S1123" s="14" t="str">
        <f t="shared" si="17"/>
        <v>Week 4</v>
      </c>
    </row>
    <row r="1124" spans="1:19" x14ac:dyDescent="0.3">
      <c r="A1124" s="8" t="s">
        <v>1405</v>
      </c>
      <c r="B1124" s="9">
        <v>43096</v>
      </c>
      <c r="C1124" s="10" t="s">
        <v>325</v>
      </c>
      <c r="D1124" s="10" t="s">
        <v>21</v>
      </c>
      <c r="E1124" s="10" t="s">
        <v>191</v>
      </c>
      <c r="F1124" s="11">
        <v>5</v>
      </c>
      <c r="G1124" s="12">
        <v>2264.6</v>
      </c>
      <c r="H1124" s="12">
        <v>11323</v>
      </c>
      <c r="I1124" s="13">
        <v>1585.21999999999</v>
      </c>
      <c r="J1124" s="10" t="s">
        <v>266</v>
      </c>
      <c r="K1124" s="10" t="s">
        <v>267</v>
      </c>
      <c r="L1124" s="10" t="s">
        <v>34</v>
      </c>
      <c r="M1124" s="12">
        <v>7926.0999999999904</v>
      </c>
      <c r="N1124" s="12">
        <v>3396.9</v>
      </c>
      <c r="O1124" s="10">
        <v>30</v>
      </c>
      <c r="P1124" s="10" t="s">
        <v>26</v>
      </c>
      <c r="Q1124" s="10">
        <v>12</v>
      </c>
      <c r="R1124" s="10" t="s">
        <v>27</v>
      </c>
      <c r="S1124" s="14" t="str">
        <f t="shared" si="17"/>
        <v>Week 4</v>
      </c>
    </row>
    <row r="1125" spans="1:19" x14ac:dyDescent="0.3">
      <c r="A1125" s="15" t="s">
        <v>1406</v>
      </c>
      <c r="B1125" s="16">
        <v>43096</v>
      </c>
      <c r="C1125" s="17" t="s">
        <v>464</v>
      </c>
      <c r="D1125" s="17" t="s">
        <v>21</v>
      </c>
      <c r="E1125" s="17" t="s">
        <v>91</v>
      </c>
      <c r="F1125" s="18">
        <v>11</v>
      </c>
      <c r="G1125" s="19">
        <v>2211</v>
      </c>
      <c r="H1125" s="19">
        <v>24321</v>
      </c>
      <c r="I1125" s="20">
        <v>950.73</v>
      </c>
      <c r="J1125" s="17" t="s">
        <v>116</v>
      </c>
      <c r="K1125" s="17" t="s">
        <v>117</v>
      </c>
      <c r="L1125" s="17" t="s">
        <v>40</v>
      </c>
      <c r="M1125" s="19">
        <v>10458.030000000001</v>
      </c>
      <c r="N1125" s="19">
        <v>13862.97</v>
      </c>
      <c r="O1125" s="17">
        <v>56.999999999999901</v>
      </c>
      <c r="P1125" s="17" t="s">
        <v>26</v>
      </c>
      <c r="Q1125" s="17">
        <v>12</v>
      </c>
      <c r="R1125" s="17" t="s">
        <v>27</v>
      </c>
      <c r="S1125" s="14" t="str">
        <f t="shared" si="17"/>
        <v>Week 4</v>
      </c>
    </row>
    <row r="1126" spans="1:19" x14ac:dyDescent="0.3">
      <c r="A1126" s="8" t="s">
        <v>1407</v>
      </c>
      <c r="B1126" s="9">
        <v>43096</v>
      </c>
      <c r="C1126" s="10" t="s">
        <v>288</v>
      </c>
      <c r="D1126" s="10" t="s">
        <v>43</v>
      </c>
      <c r="E1126" s="10" t="s">
        <v>73</v>
      </c>
      <c r="F1126" s="11">
        <v>10</v>
      </c>
      <c r="G1126" s="12">
        <v>1728.6</v>
      </c>
      <c r="H1126" s="12">
        <v>17286</v>
      </c>
      <c r="I1126" s="13">
        <v>726.01199999999994</v>
      </c>
      <c r="J1126" s="10" t="s">
        <v>76</v>
      </c>
      <c r="K1126" s="10" t="s">
        <v>77</v>
      </c>
      <c r="L1126" s="10" t="s">
        <v>56</v>
      </c>
      <c r="M1126" s="12">
        <v>7260.12</v>
      </c>
      <c r="N1126" s="12">
        <v>10025.879999999999</v>
      </c>
      <c r="O1126" s="10">
        <v>57.999999999999901</v>
      </c>
      <c r="P1126" s="10" t="s">
        <v>26</v>
      </c>
      <c r="Q1126" s="10">
        <v>12</v>
      </c>
      <c r="R1126" s="10" t="s">
        <v>27</v>
      </c>
      <c r="S1126" s="14" t="str">
        <f t="shared" si="17"/>
        <v>Week 4</v>
      </c>
    </row>
    <row r="1127" spans="1:19" x14ac:dyDescent="0.3">
      <c r="A1127" s="15" t="s">
        <v>1408</v>
      </c>
      <c r="B1127" s="16">
        <v>43096</v>
      </c>
      <c r="C1127" s="17" t="s">
        <v>591</v>
      </c>
      <c r="D1127" s="17" t="s">
        <v>21</v>
      </c>
      <c r="E1127" s="17" t="s">
        <v>37</v>
      </c>
      <c r="F1127" s="18">
        <v>8</v>
      </c>
      <c r="G1127" s="19">
        <v>1065.3</v>
      </c>
      <c r="H1127" s="19">
        <v>8522.4</v>
      </c>
      <c r="I1127" s="20">
        <v>681.79200000000003</v>
      </c>
      <c r="J1127" s="17" t="s">
        <v>69</v>
      </c>
      <c r="K1127" s="17" t="s">
        <v>70</v>
      </c>
      <c r="L1127" s="17" t="s">
        <v>25</v>
      </c>
      <c r="M1127" s="19">
        <v>5454.3360000000002</v>
      </c>
      <c r="N1127" s="19">
        <v>3068.0639999999898</v>
      </c>
      <c r="O1127" s="17">
        <v>35.999999999999901</v>
      </c>
      <c r="P1127" s="17" t="s">
        <v>26</v>
      </c>
      <c r="Q1127" s="17">
        <v>12</v>
      </c>
      <c r="R1127" s="17" t="s">
        <v>27</v>
      </c>
      <c r="S1127" s="14" t="str">
        <f t="shared" si="17"/>
        <v>Week 4</v>
      </c>
    </row>
    <row r="1128" spans="1:19" x14ac:dyDescent="0.3">
      <c r="A1128" s="8" t="s">
        <v>1409</v>
      </c>
      <c r="B1128" s="9">
        <v>43096</v>
      </c>
      <c r="C1128" s="10" t="s">
        <v>832</v>
      </c>
      <c r="D1128" s="10" t="s">
        <v>43</v>
      </c>
      <c r="E1128" s="10" t="s">
        <v>80</v>
      </c>
      <c r="F1128" s="11">
        <v>8</v>
      </c>
      <c r="G1128" s="12">
        <v>991.6</v>
      </c>
      <c r="H1128" s="12">
        <v>7932.8</v>
      </c>
      <c r="I1128" s="13">
        <v>545.38</v>
      </c>
      <c r="J1128" s="10" t="s">
        <v>436</v>
      </c>
      <c r="K1128" s="10" t="s">
        <v>437</v>
      </c>
      <c r="L1128" s="10" t="s">
        <v>25</v>
      </c>
      <c r="M1128" s="12">
        <v>4363.04</v>
      </c>
      <c r="N1128" s="12">
        <v>3569.7599999999902</v>
      </c>
      <c r="O1128" s="10">
        <v>44.999999999999901</v>
      </c>
      <c r="P1128" s="10" t="s">
        <v>26</v>
      </c>
      <c r="Q1128" s="10">
        <v>12</v>
      </c>
      <c r="R1128" s="10" t="s">
        <v>27</v>
      </c>
      <c r="S1128" s="14" t="str">
        <f t="shared" si="17"/>
        <v>Week 4</v>
      </c>
    </row>
    <row r="1129" spans="1:19" x14ac:dyDescent="0.3">
      <c r="A1129" s="15" t="s">
        <v>1410</v>
      </c>
      <c r="B1129" s="16">
        <v>43097</v>
      </c>
      <c r="C1129" s="17" t="s">
        <v>264</v>
      </c>
      <c r="D1129" s="17" t="s">
        <v>21</v>
      </c>
      <c r="E1129" s="17" t="s">
        <v>62</v>
      </c>
      <c r="F1129" s="18">
        <v>12</v>
      </c>
      <c r="G1129" s="19">
        <v>1098.8</v>
      </c>
      <c r="H1129" s="19">
        <v>13185.599999999999</v>
      </c>
      <c r="I1129" s="20">
        <v>560.38800000000003</v>
      </c>
      <c r="J1129" s="17" t="s">
        <v>54</v>
      </c>
      <c r="K1129" s="17" t="s">
        <v>55</v>
      </c>
      <c r="L1129" s="17" t="s">
        <v>56</v>
      </c>
      <c r="M1129" s="19">
        <v>6724.6559999999999</v>
      </c>
      <c r="N1129" s="19">
        <v>6460.9439999999904</v>
      </c>
      <c r="O1129" s="17">
        <v>48.999999999999901</v>
      </c>
      <c r="P1129" s="17" t="s">
        <v>26</v>
      </c>
      <c r="Q1129" s="17">
        <v>12</v>
      </c>
      <c r="R1129" s="17" t="s">
        <v>27</v>
      </c>
      <c r="S1129" s="14" t="str">
        <f t="shared" si="17"/>
        <v>Week 4</v>
      </c>
    </row>
    <row r="1130" spans="1:19" x14ac:dyDescent="0.3">
      <c r="A1130" s="8" t="s">
        <v>1411</v>
      </c>
      <c r="B1130" s="9">
        <v>43097</v>
      </c>
      <c r="C1130" s="10" t="s">
        <v>507</v>
      </c>
      <c r="D1130" s="10" t="s">
        <v>21</v>
      </c>
      <c r="E1130" s="10" t="s">
        <v>103</v>
      </c>
      <c r="F1130" s="11">
        <v>12</v>
      </c>
      <c r="G1130" s="12">
        <v>167.5</v>
      </c>
      <c r="H1130" s="12">
        <v>2010</v>
      </c>
      <c r="I1130" s="13">
        <v>113.9</v>
      </c>
      <c r="J1130" s="10" t="s">
        <v>38</v>
      </c>
      <c r="K1130" s="10" t="s">
        <v>39</v>
      </c>
      <c r="L1130" s="10" t="s">
        <v>40</v>
      </c>
      <c r="M1130" s="12">
        <v>1366.8</v>
      </c>
      <c r="N1130" s="12">
        <v>643.19999999999902</v>
      </c>
      <c r="O1130" s="10">
        <v>31.999999999999901</v>
      </c>
      <c r="P1130" s="10" t="s">
        <v>26</v>
      </c>
      <c r="Q1130" s="10">
        <v>12</v>
      </c>
      <c r="R1130" s="10" t="s">
        <v>27</v>
      </c>
      <c r="S1130" s="14" t="str">
        <f t="shared" si="17"/>
        <v>Week 4</v>
      </c>
    </row>
    <row r="1131" spans="1:19" x14ac:dyDescent="0.3">
      <c r="A1131" s="15" t="s">
        <v>1412</v>
      </c>
      <c r="B1131" s="16">
        <v>43097</v>
      </c>
      <c r="C1131" s="17" t="s">
        <v>1413</v>
      </c>
      <c r="D1131" s="17" t="s">
        <v>43</v>
      </c>
      <c r="E1131" s="17" t="s">
        <v>127</v>
      </c>
      <c r="F1131" s="18">
        <v>7</v>
      </c>
      <c r="G1131" s="19">
        <v>247.9</v>
      </c>
      <c r="H1131" s="19">
        <v>1735.3</v>
      </c>
      <c r="I1131" s="20">
        <v>148.74</v>
      </c>
      <c r="J1131" s="17" t="s">
        <v>177</v>
      </c>
      <c r="K1131" s="17" t="s">
        <v>178</v>
      </c>
      <c r="L1131" s="17" t="s">
        <v>40</v>
      </c>
      <c r="M1131" s="19">
        <v>1041.18</v>
      </c>
      <c r="N1131" s="19">
        <v>694.11999999999898</v>
      </c>
      <c r="O1131" s="17">
        <v>40</v>
      </c>
      <c r="P1131" s="17" t="s">
        <v>26</v>
      </c>
      <c r="Q1131" s="17">
        <v>12</v>
      </c>
      <c r="R1131" s="17" t="s">
        <v>27</v>
      </c>
      <c r="S1131" s="14" t="str">
        <f t="shared" si="17"/>
        <v>Week 4</v>
      </c>
    </row>
    <row r="1132" spans="1:19" x14ac:dyDescent="0.3">
      <c r="A1132" s="8" t="s">
        <v>301</v>
      </c>
      <c r="B1132" s="9">
        <v>43097</v>
      </c>
      <c r="C1132" s="10" t="s">
        <v>107</v>
      </c>
      <c r="D1132" s="10" t="s">
        <v>21</v>
      </c>
      <c r="E1132" s="10" t="s">
        <v>191</v>
      </c>
      <c r="F1132" s="11">
        <v>5</v>
      </c>
      <c r="G1132" s="12">
        <v>2539.3000000000002</v>
      </c>
      <c r="H1132" s="12">
        <v>12696.5</v>
      </c>
      <c r="I1132" s="13">
        <v>1828.296</v>
      </c>
      <c r="J1132" s="10" t="s">
        <v>45</v>
      </c>
      <c r="K1132" s="10" t="s">
        <v>46</v>
      </c>
      <c r="L1132" s="10" t="s">
        <v>34</v>
      </c>
      <c r="M1132" s="12">
        <v>9141.48</v>
      </c>
      <c r="N1132" s="12">
        <v>3555.02</v>
      </c>
      <c r="O1132" s="10">
        <v>28</v>
      </c>
      <c r="P1132" s="10" t="s">
        <v>26</v>
      </c>
      <c r="Q1132" s="10">
        <v>12</v>
      </c>
      <c r="R1132" s="10" t="s">
        <v>27</v>
      </c>
      <c r="S1132" s="14" t="str">
        <f t="shared" si="17"/>
        <v>Week 4</v>
      </c>
    </row>
    <row r="1133" spans="1:19" x14ac:dyDescent="0.3">
      <c r="A1133" s="15" t="s">
        <v>1414</v>
      </c>
      <c r="B1133" s="16">
        <v>43097</v>
      </c>
      <c r="C1133" s="17" t="s">
        <v>791</v>
      </c>
      <c r="D1133" s="17" t="s">
        <v>21</v>
      </c>
      <c r="E1133" s="17" t="s">
        <v>120</v>
      </c>
      <c r="F1133" s="18">
        <v>5</v>
      </c>
      <c r="G1133" s="19">
        <v>2385.1999999999998</v>
      </c>
      <c r="H1133" s="19">
        <v>11926</v>
      </c>
      <c r="I1133" s="20">
        <v>1311.86</v>
      </c>
      <c r="J1133" s="17" t="s">
        <v>405</v>
      </c>
      <c r="K1133" s="17" t="s">
        <v>406</v>
      </c>
      <c r="L1133" s="17" t="s">
        <v>56</v>
      </c>
      <c r="M1133" s="19">
        <v>6559.3</v>
      </c>
      <c r="N1133" s="19">
        <v>5366.7</v>
      </c>
      <c r="O1133" s="17">
        <v>44.999999999999901</v>
      </c>
      <c r="P1133" s="17" t="s">
        <v>26</v>
      </c>
      <c r="Q1133" s="17">
        <v>12</v>
      </c>
      <c r="R1133" s="17" t="s">
        <v>27</v>
      </c>
      <c r="S1133" s="14" t="str">
        <f t="shared" si="17"/>
        <v>Week 4</v>
      </c>
    </row>
    <row r="1134" spans="1:19" x14ac:dyDescent="0.3">
      <c r="A1134" s="8" t="s">
        <v>1415</v>
      </c>
      <c r="B1134" s="9">
        <v>43097</v>
      </c>
      <c r="C1134" s="10" t="s">
        <v>221</v>
      </c>
      <c r="D1134" s="10" t="s">
        <v>21</v>
      </c>
      <c r="E1134" s="10" t="s">
        <v>91</v>
      </c>
      <c r="F1134" s="11">
        <v>11</v>
      </c>
      <c r="G1134" s="12">
        <v>234.5</v>
      </c>
      <c r="H1134" s="12">
        <v>2579.5</v>
      </c>
      <c r="I1134" s="13">
        <v>117.25</v>
      </c>
      <c r="J1134" s="10" t="s">
        <v>212</v>
      </c>
      <c r="K1134" s="10" t="s">
        <v>213</v>
      </c>
      <c r="L1134" s="10" t="s">
        <v>34</v>
      </c>
      <c r="M1134" s="12">
        <v>1289.75</v>
      </c>
      <c r="N1134" s="12">
        <v>1289.75</v>
      </c>
      <c r="O1134" s="10">
        <v>50</v>
      </c>
      <c r="P1134" s="10" t="s">
        <v>26</v>
      </c>
      <c r="Q1134" s="10">
        <v>12</v>
      </c>
      <c r="R1134" s="10" t="s">
        <v>27</v>
      </c>
      <c r="S1134" s="14" t="str">
        <f t="shared" si="17"/>
        <v>Week 4</v>
      </c>
    </row>
    <row r="1135" spans="1:19" x14ac:dyDescent="0.3">
      <c r="A1135" s="15" t="s">
        <v>1416</v>
      </c>
      <c r="B1135" s="16">
        <v>43097</v>
      </c>
      <c r="C1135" s="17" t="s">
        <v>53</v>
      </c>
      <c r="D1135" s="17" t="s">
        <v>21</v>
      </c>
      <c r="E1135" s="17" t="s">
        <v>62</v>
      </c>
      <c r="F1135" s="18">
        <v>10</v>
      </c>
      <c r="G1135" s="19">
        <v>1675</v>
      </c>
      <c r="H1135" s="19">
        <v>16750</v>
      </c>
      <c r="I1135" s="20">
        <v>1155.75</v>
      </c>
      <c r="J1135" s="17" t="s">
        <v>94</v>
      </c>
      <c r="K1135" s="17" t="s">
        <v>95</v>
      </c>
      <c r="L1135" s="17" t="s">
        <v>40</v>
      </c>
      <c r="M1135" s="19">
        <v>11557.5</v>
      </c>
      <c r="N1135" s="19">
        <v>5192.5</v>
      </c>
      <c r="O1135" s="17">
        <v>31</v>
      </c>
      <c r="P1135" s="17" t="s">
        <v>26</v>
      </c>
      <c r="Q1135" s="17">
        <v>12</v>
      </c>
      <c r="R1135" s="17" t="s">
        <v>27</v>
      </c>
      <c r="S1135" s="14" t="str">
        <f t="shared" si="17"/>
        <v>Week 4</v>
      </c>
    </row>
    <row r="1136" spans="1:19" x14ac:dyDescent="0.3">
      <c r="A1136" s="8" t="s">
        <v>1417</v>
      </c>
      <c r="B1136" s="9">
        <v>43097</v>
      </c>
      <c r="C1136" s="10" t="s">
        <v>172</v>
      </c>
      <c r="D1136" s="10" t="s">
        <v>30</v>
      </c>
      <c r="E1136" s="10" t="s">
        <v>167</v>
      </c>
      <c r="F1136" s="11">
        <v>6</v>
      </c>
      <c r="G1136" s="12">
        <v>2485.6999999999998</v>
      </c>
      <c r="H1136" s="12">
        <v>14914.199999999999</v>
      </c>
      <c r="I1136" s="13">
        <v>1317.421</v>
      </c>
      <c r="J1136" s="10" t="s">
        <v>23</v>
      </c>
      <c r="K1136" s="10" t="s">
        <v>24</v>
      </c>
      <c r="L1136" s="10" t="s">
        <v>25</v>
      </c>
      <c r="M1136" s="12">
        <v>7904.5259999999998</v>
      </c>
      <c r="N1136" s="12">
        <v>7009.67399999999</v>
      </c>
      <c r="O1136" s="10">
        <v>46.999999999999901</v>
      </c>
      <c r="P1136" s="10" t="s">
        <v>26</v>
      </c>
      <c r="Q1136" s="10">
        <v>12</v>
      </c>
      <c r="R1136" s="10" t="s">
        <v>27</v>
      </c>
      <c r="S1136" s="14" t="str">
        <f t="shared" si="17"/>
        <v>Week 4</v>
      </c>
    </row>
    <row r="1137" spans="1:19" x14ac:dyDescent="0.3">
      <c r="A1137" s="15" t="s">
        <v>1418</v>
      </c>
      <c r="B1137" s="16">
        <v>43097</v>
      </c>
      <c r="C1137" s="17" t="s">
        <v>856</v>
      </c>
      <c r="D1137" s="17" t="s">
        <v>30</v>
      </c>
      <c r="E1137" s="17" t="s">
        <v>31</v>
      </c>
      <c r="F1137" s="18">
        <v>6</v>
      </c>
      <c r="G1137" s="19">
        <v>1085.4000000000001</v>
      </c>
      <c r="H1137" s="19">
        <v>6512.4000000000005</v>
      </c>
      <c r="I1137" s="20">
        <v>868.32</v>
      </c>
      <c r="J1137" s="17" t="s">
        <v>257</v>
      </c>
      <c r="K1137" s="17" t="s">
        <v>258</v>
      </c>
      <c r="L1137" s="17" t="s">
        <v>25</v>
      </c>
      <c r="M1137" s="19">
        <v>5209.92</v>
      </c>
      <c r="N1137" s="19">
        <v>1302.47999999999</v>
      </c>
      <c r="O1137" s="17">
        <v>19.999999999999901</v>
      </c>
      <c r="P1137" s="17" t="s">
        <v>26</v>
      </c>
      <c r="Q1137" s="17">
        <v>12</v>
      </c>
      <c r="R1137" s="17" t="s">
        <v>27</v>
      </c>
      <c r="S1137" s="14" t="str">
        <f t="shared" si="17"/>
        <v>Week 4</v>
      </c>
    </row>
    <row r="1138" spans="1:19" x14ac:dyDescent="0.3">
      <c r="A1138" s="8" t="s">
        <v>1419</v>
      </c>
      <c r="B1138" s="9">
        <v>43097</v>
      </c>
      <c r="C1138" s="10" t="s">
        <v>347</v>
      </c>
      <c r="D1138" s="10" t="s">
        <v>21</v>
      </c>
      <c r="E1138" s="10" t="s">
        <v>115</v>
      </c>
      <c r="F1138" s="11">
        <v>5</v>
      </c>
      <c r="G1138" s="12">
        <v>2378.5</v>
      </c>
      <c r="H1138" s="12">
        <v>11892.5</v>
      </c>
      <c r="I1138" s="13">
        <v>1902.8</v>
      </c>
      <c r="J1138" s="10" t="s">
        <v>54</v>
      </c>
      <c r="K1138" s="10" t="s">
        <v>55</v>
      </c>
      <c r="L1138" s="10" t="s">
        <v>56</v>
      </c>
      <c r="M1138" s="12">
        <v>9514</v>
      </c>
      <c r="N1138" s="12">
        <v>2378.5</v>
      </c>
      <c r="O1138" s="10">
        <v>20</v>
      </c>
      <c r="P1138" s="10" t="s">
        <v>26</v>
      </c>
      <c r="Q1138" s="10">
        <v>12</v>
      </c>
      <c r="R1138" s="10" t="s">
        <v>27</v>
      </c>
      <c r="S1138" s="14" t="str">
        <f t="shared" si="17"/>
        <v>Week 4</v>
      </c>
    </row>
    <row r="1139" spans="1:19" x14ac:dyDescent="0.3">
      <c r="A1139" s="15" t="s">
        <v>1420</v>
      </c>
      <c r="B1139" s="16">
        <v>43097</v>
      </c>
      <c r="C1139" s="17" t="s">
        <v>695</v>
      </c>
      <c r="D1139" s="17" t="s">
        <v>21</v>
      </c>
      <c r="E1139" s="17" t="s">
        <v>31</v>
      </c>
      <c r="F1139" s="18">
        <v>11</v>
      </c>
      <c r="G1139" s="19">
        <v>2438.8000000000002</v>
      </c>
      <c r="H1139" s="19">
        <v>26826.800000000003</v>
      </c>
      <c r="I1139" s="20">
        <v>1195.0119999999999</v>
      </c>
      <c r="J1139" s="17" t="s">
        <v>54</v>
      </c>
      <c r="K1139" s="17" t="s">
        <v>55</v>
      </c>
      <c r="L1139" s="17" t="s">
        <v>56</v>
      </c>
      <c r="M1139" s="19">
        <v>13145.132</v>
      </c>
      <c r="N1139" s="19">
        <v>13681.668</v>
      </c>
      <c r="O1139" s="17">
        <v>51</v>
      </c>
      <c r="P1139" s="17" t="s">
        <v>26</v>
      </c>
      <c r="Q1139" s="17">
        <v>12</v>
      </c>
      <c r="R1139" s="17" t="s">
        <v>27</v>
      </c>
      <c r="S1139" s="14" t="str">
        <f t="shared" si="17"/>
        <v>Week 4</v>
      </c>
    </row>
    <row r="1140" spans="1:19" x14ac:dyDescent="0.3">
      <c r="A1140" s="8" t="s">
        <v>1421</v>
      </c>
      <c r="B1140" s="9">
        <v>43097</v>
      </c>
      <c r="C1140" s="10" t="s">
        <v>814</v>
      </c>
      <c r="D1140" s="10" t="s">
        <v>21</v>
      </c>
      <c r="E1140" s="10" t="s">
        <v>252</v>
      </c>
      <c r="F1140" s="11">
        <v>12</v>
      </c>
      <c r="G1140" s="12">
        <v>3912.8</v>
      </c>
      <c r="H1140" s="12">
        <v>46953.600000000006</v>
      </c>
      <c r="I1140" s="13">
        <v>1643.376</v>
      </c>
      <c r="J1140" s="10" t="s">
        <v>218</v>
      </c>
      <c r="K1140" s="10" t="s">
        <v>219</v>
      </c>
      <c r="L1140" s="10" t="s">
        <v>34</v>
      </c>
      <c r="M1140" s="12">
        <v>19720.511999999999</v>
      </c>
      <c r="N1140" s="12">
        <v>27233.088</v>
      </c>
      <c r="O1140" s="10">
        <v>58</v>
      </c>
      <c r="P1140" s="10" t="s">
        <v>26</v>
      </c>
      <c r="Q1140" s="10">
        <v>12</v>
      </c>
      <c r="R1140" s="10" t="s">
        <v>27</v>
      </c>
      <c r="S1140" s="14" t="str">
        <f t="shared" si="17"/>
        <v>Week 4</v>
      </c>
    </row>
    <row r="1141" spans="1:19" x14ac:dyDescent="0.3">
      <c r="A1141" s="15" t="s">
        <v>1422</v>
      </c>
      <c r="B1141" s="16">
        <v>43097</v>
      </c>
      <c r="C1141" s="17" t="s">
        <v>247</v>
      </c>
      <c r="D1141" s="17" t="s">
        <v>21</v>
      </c>
      <c r="E1141" s="17" t="s">
        <v>103</v>
      </c>
      <c r="F1141" s="18">
        <v>7</v>
      </c>
      <c r="G1141" s="19">
        <v>2345</v>
      </c>
      <c r="H1141" s="19">
        <v>16415</v>
      </c>
      <c r="I1141" s="20">
        <v>1219.4000000000001</v>
      </c>
      <c r="J1141" s="17" t="s">
        <v>94</v>
      </c>
      <c r="K1141" s="17" t="s">
        <v>95</v>
      </c>
      <c r="L1141" s="17" t="s">
        <v>40</v>
      </c>
      <c r="M1141" s="19">
        <v>8535.7999999999993</v>
      </c>
      <c r="N1141" s="19">
        <v>7879.1999999999898</v>
      </c>
      <c r="O1141" s="17">
        <v>47.999999999999901</v>
      </c>
      <c r="P1141" s="17" t="s">
        <v>26</v>
      </c>
      <c r="Q1141" s="17">
        <v>12</v>
      </c>
      <c r="R1141" s="17" t="s">
        <v>27</v>
      </c>
      <c r="S1141" s="14" t="str">
        <f t="shared" si="17"/>
        <v>Week 4</v>
      </c>
    </row>
    <row r="1142" spans="1:19" x14ac:dyDescent="0.3">
      <c r="A1142" s="8" t="s">
        <v>1423</v>
      </c>
      <c r="B1142" s="9">
        <v>43097</v>
      </c>
      <c r="C1142" s="10" t="s">
        <v>151</v>
      </c>
      <c r="D1142" s="10" t="s">
        <v>21</v>
      </c>
      <c r="E1142" s="10" t="s">
        <v>62</v>
      </c>
      <c r="F1142" s="11">
        <v>7</v>
      </c>
      <c r="G1142" s="12">
        <v>3343.3</v>
      </c>
      <c r="H1142" s="12">
        <v>23403.100000000002</v>
      </c>
      <c r="I1142" s="13">
        <v>2407.1759999999999</v>
      </c>
      <c r="J1142" s="10" t="s">
        <v>45</v>
      </c>
      <c r="K1142" s="10" t="s">
        <v>46</v>
      </c>
      <c r="L1142" s="10" t="s">
        <v>34</v>
      </c>
      <c r="M1142" s="12">
        <v>16850.232</v>
      </c>
      <c r="N1142" s="12">
        <v>6552.8680000000004</v>
      </c>
      <c r="O1142" s="10">
        <v>28</v>
      </c>
      <c r="P1142" s="10" t="s">
        <v>26</v>
      </c>
      <c r="Q1142" s="10">
        <v>12</v>
      </c>
      <c r="R1142" s="10" t="s">
        <v>27</v>
      </c>
      <c r="S1142" s="14" t="str">
        <f t="shared" si="17"/>
        <v>Week 4</v>
      </c>
    </row>
    <row r="1143" spans="1:19" x14ac:dyDescent="0.3">
      <c r="A1143" s="15" t="s">
        <v>1424</v>
      </c>
      <c r="B1143" s="16">
        <v>43097</v>
      </c>
      <c r="C1143" s="17" t="s">
        <v>136</v>
      </c>
      <c r="D1143" s="17" t="s">
        <v>21</v>
      </c>
      <c r="E1143" s="17" t="s">
        <v>149</v>
      </c>
      <c r="F1143" s="18">
        <v>5</v>
      </c>
      <c r="G1143" s="19">
        <v>2224.4</v>
      </c>
      <c r="H1143" s="19">
        <v>11122</v>
      </c>
      <c r="I1143" s="20">
        <v>1267.9079999999999</v>
      </c>
      <c r="J1143" s="17" t="s">
        <v>83</v>
      </c>
      <c r="K1143" s="17" t="s">
        <v>84</v>
      </c>
      <c r="L1143" s="17" t="s">
        <v>34</v>
      </c>
      <c r="M1143" s="19">
        <v>6339.53999999999</v>
      </c>
      <c r="N1143" s="19">
        <v>4782.46</v>
      </c>
      <c r="O1143" s="17">
        <v>43</v>
      </c>
      <c r="P1143" s="17" t="s">
        <v>26</v>
      </c>
      <c r="Q1143" s="17">
        <v>12</v>
      </c>
      <c r="R1143" s="17" t="s">
        <v>27</v>
      </c>
      <c r="S1143" s="14" t="str">
        <f t="shared" si="17"/>
        <v>Week 4</v>
      </c>
    </row>
    <row r="1144" spans="1:19" x14ac:dyDescent="0.3">
      <c r="A1144" s="8" t="s">
        <v>1284</v>
      </c>
      <c r="B1144" s="9">
        <v>43097</v>
      </c>
      <c r="C1144" s="10" t="s">
        <v>288</v>
      </c>
      <c r="D1144" s="10" t="s">
        <v>21</v>
      </c>
      <c r="E1144" s="10" t="s">
        <v>149</v>
      </c>
      <c r="F1144" s="11">
        <v>10</v>
      </c>
      <c r="G1144" s="12">
        <v>3939.6</v>
      </c>
      <c r="H1144" s="12">
        <v>39396</v>
      </c>
      <c r="I1144" s="13">
        <v>2048.5920000000001</v>
      </c>
      <c r="J1144" s="10" t="s">
        <v>54</v>
      </c>
      <c r="K1144" s="10" t="s">
        <v>55</v>
      </c>
      <c r="L1144" s="10" t="s">
        <v>56</v>
      </c>
      <c r="M1144" s="12">
        <v>20485.919999999998</v>
      </c>
      <c r="N1144" s="12">
        <v>18910.0799999999</v>
      </c>
      <c r="O1144" s="10">
        <v>47.999999999999901</v>
      </c>
      <c r="P1144" s="10" t="s">
        <v>26</v>
      </c>
      <c r="Q1144" s="10">
        <v>12</v>
      </c>
      <c r="R1144" s="10" t="s">
        <v>27</v>
      </c>
      <c r="S1144" s="14" t="str">
        <f t="shared" si="17"/>
        <v>Week 4</v>
      </c>
    </row>
    <row r="1145" spans="1:19" x14ac:dyDescent="0.3">
      <c r="A1145" s="15" t="s">
        <v>1425</v>
      </c>
      <c r="B1145" s="16">
        <v>43097</v>
      </c>
      <c r="C1145" s="17" t="s">
        <v>209</v>
      </c>
      <c r="D1145" s="17" t="s">
        <v>21</v>
      </c>
      <c r="E1145" s="17" t="s">
        <v>31</v>
      </c>
      <c r="F1145" s="18">
        <v>11</v>
      </c>
      <c r="G1145" s="19">
        <v>6391.8</v>
      </c>
      <c r="H1145" s="19">
        <v>70309.8</v>
      </c>
      <c r="I1145" s="20">
        <v>4793.8500000000004</v>
      </c>
      <c r="J1145" s="17" t="s">
        <v>45</v>
      </c>
      <c r="K1145" s="17" t="s">
        <v>46</v>
      </c>
      <c r="L1145" s="17" t="s">
        <v>34</v>
      </c>
      <c r="M1145" s="19">
        <v>52732.35</v>
      </c>
      <c r="N1145" s="19">
        <v>17577.449999999899</v>
      </c>
      <c r="O1145" s="17">
        <v>24.999999999999901</v>
      </c>
      <c r="P1145" s="17" t="s">
        <v>26</v>
      </c>
      <c r="Q1145" s="17">
        <v>12</v>
      </c>
      <c r="R1145" s="17" t="s">
        <v>27</v>
      </c>
      <c r="S1145" s="14" t="str">
        <f t="shared" si="17"/>
        <v>Week 4</v>
      </c>
    </row>
    <row r="1146" spans="1:19" x14ac:dyDescent="0.3">
      <c r="A1146" s="8" t="s">
        <v>1426</v>
      </c>
      <c r="B1146" s="9">
        <v>43097</v>
      </c>
      <c r="C1146" s="10" t="s">
        <v>646</v>
      </c>
      <c r="D1146" s="10" t="s">
        <v>21</v>
      </c>
      <c r="E1146" s="10" t="s">
        <v>115</v>
      </c>
      <c r="F1146" s="11">
        <v>9</v>
      </c>
      <c r="G1146" s="12">
        <v>3852.5</v>
      </c>
      <c r="H1146" s="12">
        <v>34672.5</v>
      </c>
      <c r="I1146" s="13">
        <v>3043.4749999999999</v>
      </c>
      <c r="J1146" s="10" t="s">
        <v>54</v>
      </c>
      <c r="K1146" s="10" t="s">
        <v>55</v>
      </c>
      <c r="L1146" s="10" t="s">
        <v>56</v>
      </c>
      <c r="M1146" s="12">
        <v>27391.275000000001</v>
      </c>
      <c r="N1146" s="12">
        <v>7281.2249999999904</v>
      </c>
      <c r="O1146" s="10">
        <v>20.999999999999901</v>
      </c>
      <c r="P1146" s="10" t="s">
        <v>26</v>
      </c>
      <c r="Q1146" s="10">
        <v>12</v>
      </c>
      <c r="R1146" s="10" t="s">
        <v>27</v>
      </c>
      <c r="S1146" s="14" t="str">
        <f t="shared" si="17"/>
        <v>Week 4</v>
      </c>
    </row>
    <row r="1147" spans="1:19" x14ac:dyDescent="0.3">
      <c r="A1147" s="15" t="s">
        <v>1427</v>
      </c>
      <c r="B1147" s="16">
        <v>43097</v>
      </c>
      <c r="C1147" s="17" t="s">
        <v>1094</v>
      </c>
      <c r="D1147" s="17" t="s">
        <v>30</v>
      </c>
      <c r="E1147" s="17" t="s">
        <v>37</v>
      </c>
      <c r="F1147" s="18">
        <v>11</v>
      </c>
      <c r="G1147" s="19">
        <v>261.3</v>
      </c>
      <c r="H1147" s="19">
        <v>2874.3</v>
      </c>
      <c r="I1147" s="20">
        <v>222.10499999999999</v>
      </c>
      <c r="J1147" s="17" t="s">
        <v>32</v>
      </c>
      <c r="K1147" s="17" t="s">
        <v>33</v>
      </c>
      <c r="L1147" s="17" t="s">
        <v>34</v>
      </c>
      <c r="M1147" s="19">
        <v>2443.1549999999902</v>
      </c>
      <c r="N1147" s="19">
        <v>431.14499999999998</v>
      </c>
      <c r="O1147" s="17">
        <v>15</v>
      </c>
      <c r="P1147" s="17" t="s">
        <v>26</v>
      </c>
      <c r="Q1147" s="17">
        <v>12</v>
      </c>
      <c r="R1147" s="17" t="s">
        <v>27</v>
      </c>
      <c r="S1147" s="14" t="str">
        <f t="shared" si="17"/>
        <v>Week 4</v>
      </c>
    </row>
    <row r="1148" spans="1:19" x14ac:dyDescent="0.3">
      <c r="A1148" s="8" t="s">
        <v>450</v>
      </c>
      <c r="B1148" s="9">
        <v>43097</v>
      </c>
      <c r="C1148" s="10" t="s">
        <v>131</v>
      </c>
      <c r="D1148" s="10" t="s">
        <v>21</v>
      </c>
      <c r="E1148" s="10" t="s">
        <v>37</v>
      </c>
      <c r="F1148" s="11">
        <v>12</v>
      </c>
      <c r="G1148" s="12">
        <v>1065.3</v>
      </c>
      <c r="H1148" s="12">
        <v>12783.599999999999</v>
      </c>
      <c r="I1148" s="13">
        <v>745.70999999999901</v>
      </c>
      <c r="J1148" s="10" t="s">
        <v>54</v>
      </c>
      <c r="K1148" s="10" t="s">
        <v>55</v>
      </c>
      <c r="L1148" s="10" t="s">
        <v>56</v>
      </c>
      <c r="M1148" s="12">
        <v>8948.5199999999895</v>
      </c>
      <c r="N1148" s="12">
        <v>3835.08</v>
      </c>
      <c r="O1148" s="10">
        <v>30</v>
      </c>
      <c r="P1148" s="10" t="s">
        <v>26</v>
      </c>
      <c r="Q1148" s="10">
        <v>12</v>
      </c>
      <c r="R1148" s="10" t="s">
        <v>27</v>
      </c>
      <c r="S1148" s="14" t="str">
        <f t="shared" si="17"/>
        <v>Week 4</v>
      </c>
    </row>
    <row r="1149" spans="1:19" x14ac:dyDescent="0.3">
      <c r="A1149" s="15" t="s">
        <v>1428</v>
      </c>
      <c r="B1149" s="16">
        <v>43097</v>
      </c>
      <c r="C1149" s="17" t="s">
        <v>29</v>
      </c>
      <c r="D1149" s="17" t="s">
        <v>30</v>
      </c>
      <c r="E1149" s="17" t="s">
        <v>91</v>
      </c>
      <c r="F1149" s="18">
        <v>10</v>
      </c>
      <c r="G1149" s="19">
        <v>904.5</v>
      </c>
      <c r="H1149" s="19">
        <v>9045</v>
      </c>
      <c r="I1149" s="20">
        <v>696.46500000000003</v>
      </c>
      <c r="J1149" s="17" t="s">
        <v>23</v>
      </c>
      <c r="K1149" s="17" t="s">
        <v>24</v>
      </c>
      <c r="L1149" s="17" t="s">
        <v>25</v>
      </c>
      <c r="M1149" s="19">
        <v>6964.65</v>
      </c>
      <c r="N1149" s="19">
        <v>2080.3499999999899</v>
      </c>
      <c r="O1149" s="17">
        <v>22.999999999999901</v>
      </c>
      <c r="P1149" s="17" t="s">
        <v>26</v>
      </c>
      <c r="Q1149" s="17">
        <v>12</v>
      </c>
      <c r="R1149" s="17" t="s">
        <v>27</v>
      </c>
      <c r="S1149" s="14" t="str">
        <f t="shared" si="17"/>
        <v>Week 4</v>
      </c>
    </row>
    <row r="1150" spans="1:19" x14ac:dyDescent="0.3">
      <c r="A1150" s="8" t="s">
        <v>1429</v>
      </c>
      <c r="B1150" s="9">
        <v>43097</v>
      </c>
      <c r="C1150" s="10" t="s">
        <v>472</v>
      </c>
      <c r="D1150" s="10" t="s">
        <v>30</v>
      </c>
      <c r="E1150" s="10" t="s">
        <v>103</v>
      </c>
      <c r="F1150" s="11">
        <v>5</v>
      </c>
      <c r="G1150" s="12">
        <v>2519.1999999999998</v>
      </c>
      <c r="H1150" s="12">
        <v>12596</v>
      </c>
      <c r="I1150" s="13">
        <v>1410.752</v>
      </c>
      <c r="J1150" s="10" t="s">
        <v>32</v>
      </c>
      <c r="K1150" s="10" t="s">
        <v>33</v>
      </c>
      <c r="L1150" s="10" t="s">
        <v>34</v>
      </c>
      <c r="M1150" s="12">
        <v>7053.76</v>
      </c>
      <c r="N1150" s="12">
        <v>5542.24</v>
      </c>
      <c r="O1150" s="10">
        <v>44</v>
      </c>
      <c r="P1150" s="10" t="s">
        <v>26</v>
      </c>
      <c r="Q1150" s="10">
        <v>12</v>
      </c>
      <c r="R1150" s="10" t="s">
        <v>27</v>
      </c>
      <c r="S1150" s="14" t="str">
        <f t="shared" si="17"/>
        <v>Week 4</v>
      </c>
    </row>
    <row r="1151" spans="1:19" x14ac:dyDescent="0.3">
      <c r="A1151" s="15" t="s">
        <v>1430</v>
      </c>
      <c r="B1151" s="16">
        <v>43097</v>
      </c>
      <c r="C1151" s="17" t="s">
        <v>646</v>
      </c>
      <c r="D1151" s="17" t="s">
        <v>21</v>
      </c>
      <c r="E1151" s="17" t="s">
        <v>62</v>
      </c>
      <c r="F1151" s="18">
        <v>6</v>
      </c>
      <c r="G1151" s="19">
        <v>1996.6</v>
      </c>
      <c r="H1151" s="19">
        <v>11979.599999999999</v>
      </c>
      <c r="I1151" s="20">
        <v>1257.8579999999999</v>
      </c>
      <c r="J1151" s="17" t="s">
        <v>436</v>
      </c>
      <c r="K1151" s="17" t="s">
        <v>437</v>
      </c>
      <c r="L1151" s="17" t="s">
        <v>25</v>
      </c>
      <c r="M1151" s="19">
        <v>7547.1480000000001</v>
      </c>
      <c r="N1151" s="19">
        <v>4432.4519999999902</v>
      </c>
      <c r="O1151" s="17">
        <v>36.999999999999901</v>
      </c>
      <c r="P1151" s="17" t="s">
        <v>26</v>
      </c>
      <c r="Q1151" s="17">
        <v>12</v>
      </c>
      <c r="R1151" s="17" t="s">
        <v>27</v>
      </c>
      <c r="S1151" s="14" t="str">
        <f t="shared" si="17"/>
        <v>Week 4</v>
      </c>
    </row>
    <row r="1152" spans="1:19" x14ac:dyDescent="0.3">
      <c r="A1152" s="8" t="s">
        <v>1431</v>
      </c>
      <c r="B1152" s="9">
        <v>43097</v>
      </c>
      <c r="C1152" s="10" t="s">
        <v>791</v>
      </c>
      <c r="D1152" s="10" t="s">
        <v>30</v>
      </c>
      <c r="E1152" s="10" t="s">
        <v>228</v>
      </c>
      <c r="F1152" s="11">
        <v>5</v>
      </c>
      <c r="G1152" s="12">
        <v>1152.4000000000001</v>
      </c>
      <c r="H1152" s="12">
        <v>5762</v>
      </c>
      <c r="I1152" s="13">
        <v>691.44</v>
      </c>
      <c r="J1152" s="10" t="s">
        <v>69</v>
      </c>
      <c r="K1152" s="10" t="s">
        <v>70</v>
      </c>
      <c r="L1152" s="10" t="s">
        <v>25</v>
      </c>
      <c r="M1152" s="12">
        <v>3457.2</v>
      </c>
      <c r="N1152" s="12">
        <v>2304.7999999999902</v>
      </c>
      <c r="O1152" s="10">
        <v>40</v>
      </c>
      <c r="P1152" s="10" t="s">
        <v>26</v>
      </c>
      <c r="Q1152" s="10">
        <v>12</v>
      </c>
      <c r="R1152" s="10" t="s">
        <v>27</v>
      </c>
      <c r="S1152" s="14" t="str">
        <f t="shared" si="17"/>
        <v>Week 4</v>
      </c>
    </row>
    <row r="1153" spans="1:19" x14ac:dyDescent="0.3">
      <c r="A1153" s="15" t="s">
        <v>1432</v>
      </c>
      <c r="B1153" s="16">
        <v>43097</v>
      </c>
      <c r="C1153" s="17" t="s">
        <v>843</v>
      </c>
      <c r="D1153" s="17" t="s">
        <v>21</v>
      </c>
      <c r="E1153" s="17" t="s">
        <v>91</v>
      </c>
      <c r="F1153" s="18">
        <v>10</v>
      </c>
      <c r="G1153" s="19">
        <v>2974.8</v>
      </c>
      <c r="H1153" s="19">
        <v>29748</v>
      </c>
      <c r="I1153" s="20">
        <v>1784.88</v>
      </c>
      <c r="J1153" s="17" t="s">
        <v>155</v>
      </c>
      <c r="K1153" s="17" t="s">
        <v>156</v>
      </c>
      <c r="L1153" s="17" t="s">
        <v>56</v>
      </c>
      <c r="M1153" s="19">
        <v>17848.8</v>
      </c>
      <c r="N1153" s="19">
        <v>11899.199999999901</v>
      </c>
      <c r="O1153" s="17">
        <v>39.999999999999901</v>
      </c>
      <c r="P1153" s="17" t="s">
        <v>26</v>
      </c>
      <c r="Q1153" s="17">
        <v>12</v>
      </c>
      <c r="R1153" s="17" t="s">
        <v>27</v>
      </c>
      <c r="S1153" s="14" t="str">
        <f t="shared" si="17"/>
        <v>Week 4</v>
      </c>
    </row>
    <row r="1154" spans="1:19" x14ac:dyDescent="0.3">
      <c r="A1154" s="8" t="s">
        <v>1433</v>
      </c>
      <c r="B1154" s="9">
        <v>43097</v>
      </c>
      <c r="C1154" s="10" t="s">
        <v>554</v>
      </c>
      <c r="D1154" s="10" t="s">
        <v>43</v>
      </c>
      <c r="E1154" s="10" t="s">
        <v>62</v>
      </c>
      <c r="F1154" s="11">
        <v>12</v>
      </c>
      <c r="G1154" s="12">
        <v>964.8</v>
      </c>
      <c r="H1154" s="12">
        <v>11577.599999999999</v>
      </c>
      <c r="I1154" s="13">
        <v>472.75200000000001</v>
      </c>
      <c r="J1154" s="10" t="s">
        <v>87</v>
      </c>
      <c r="K1154" s="10" t="s">
        <v>88</v>
      </c>
      <c r="L1154" s="10" t="s">
        <v>56</v>
      </c>
      <c r="M1154" s="12">
        <v>5673.0240000000003</v>
      </c>
      <c r="N1154" s="12">
        <v>5904.576</v>
      </c>
      <c r="O1154" s="10">
        <v>51</v>
      </c>
      <c r="P1154" s="10" t="s">
        <v>26</v>
      </c>
      <c r="Q1154" s="10">
        <v>12</v>
      </c>
      <c r="R1154" s="10" t="s">
        <v>27</v>
      </c>
      <c r="S1154" s="14" t="str">
        <f t="shared" si="17"/>
        <v>Week 4</v>
      </c>
    </row>
    <row r="1155" spans="1:19" x14ac:dyDescent="0.3">
      <c r="A1155" s="15" t="s">
        <v>1434</v>
      </c>
      <c r="B1155" s="16">
        <v>43097</v>
      </c>
      <c r="C1155" s="17" t="s">
        <v>185</v>
      </c>
      <c r="D1155" s="17" t="s">
        <v>30</v>
      </c>
      <c r="E1155" s="17" t="s">
        <v>149</v>
      </c>
      <c r="F1155" s="18">
        <v>10</v>
      </c>
      <c r="G1155" s="19">
        <v>1085.4000000000001</v>
      </c>
      <c r="H1155" s="19">
        <v>10854</v>
      </c>
      <c r="I1155" s="20">
        <v>651.24</v>
      </c>
      <c r="J1155" s="17" t="s">
        <v>54</v>
      </c>
      <c r="K1155" s="17" t="s">
        <v>55</v>
      </c>
      <c r="L1155" s="17" t="s">
        <v>56</v>
      </c>
      <c r="M1155" s="19">
        <v>6512.4</v>
      </c>
      <c r="N1155" s="19">
        <v>4341.6000000000004</v>
      </c>
      <c r="O1155" s="17">
        <v>40</v>
      </c>
      <c r="P1155" s="17" t="s">
        <v>26</v>
      </c>
      <c r="Q1155" s="17">
        <v>12</v>
      </c>
      <c r="R1155" s="17" t="s">
        <v>27</v>
      </c>
      <c r="S1155" s="14" t="str">
        <f t="shared" ref="S1155:S1218" si="18">"Week "&amp;INT((DAY(B1155)-1)/7)+1</f>
        <v>Week 4</v>
      </c>
    </row>
    <row r="1156" spans="1:19" x14ac:dyDescent="0.3">
      <c r="A1156" s="8" t="s">
        <v>1435</v>
      </c>
      <c r="B1156" s="9">
        <v>43097</v>
      </c>
      <c r="C1156" s="10" t="s">
        <v>114</v>
      </c>
      <c r="D1156" s="10" t="s">
        <v>21</v>
      </c>
      <c r="E1156" s="10" t="s">
        <v>49</v>
      </c>
      <c r="F1156" s="11">
        <v>9</v>
      </c>
      <c r="G1156" s="12">
        <v>5293</v>
      </c>
      <c r="H1156" s="12">
        <v>47637</v>
      </c>
      <c r="I1156" s="13">
        <v>3334.59</v>
      </c>
      <c r="J1156" s="10" t="s">
        <v>32</v>
      </c>
      <c r="K1156" s="10" t="s">
        <v>33</v>
      </c>
      <c r="L1156" s="10" t="s">
        <v>34</v>
      </c>
      <c r="M1156" s="12">
        <v>30011.31</v>
      </c>
      <c r="N1156" s="12">
        <v>17625.689999999999</v>
      </c>
      <c r="O1156" s="10">
        <v>37</v>
      </c>
      <c r="P1156" s="10" t="s">
        <v>26</v>
      </c>
      <c r="Q1156" s="10">
        <v>12</v>
      </c>
      <c r="R1156" s="10" t="s">
        <v>27</v>
      </c>
      <c r="S1156" s="14" t="str">
        <f t="shared" si="18"/>
        <v>Week 4</v>
      </c>
    </row>
    <row r="1157" spans="1:19" x14ac:dyDescent="0.3">
      <c r="A1157" s="15" t="s">
        <v>1436</v>
      </c>
      <c r="B1157" s="16">
        <v>43097</v>
      </c>
      <c r="C1157" s="17" t="s">
        <v>435</v>
      </c>
      <c r="D1157" s="17" t="s">
        <v>21</v>
      </c>
      <c r="E1157" s="17" t="s">
        <v>115</v>
      </c>
      <c r="F1157" s="18">
        <v>11</v>
      </c>
      <c r="G1157" s="19">
        <v>2231.1</v>
      </c>
      <c r="H1157" s="19">
        <v>24542.1</v>
      </c>
      <c r="I1157" s="20">
        <v>1784.88</v>
      </c>
      <c r="J1157" s="17" t="s">
        <v>766</v>
      </c>
      <c r="K1157" s="17" t="s">
        <v>767</v>
      </c>
      <c r="L1157" s="17" t="s">
        <v>56</v>
      </c>
      <c r="M1157" s="19">
        <v>19633.68</v>
      </c>
      <c r="N1157" s="19">
        <v>4908.4199999999901</v>
      </c>
      <c r="O1157" s="17">
        <v>19.999999999999901</v>
      </c>
      <c r="P1157" s="17" t="s">
        <v>26</v>
      </c>
      <c r="Q1157" s="17">
        <v>12</v>
      </c>
      <c r="R1157" s="17" t="s">
        <v>27</v>
      </c>
      <c r="S1157" s="14" t="str">
        <f t="shared" si="18"/>
        <v>Week 4</v>
      </c>
    </row>
    <row r="1158" spans="1:19" x14ac:dyDescent="0.3">
      <c r="A1158" s="8" t="s">
        <v>1437</v>
      </c>
      <c r="B1158" s="9">
        <v>43097</v>
      </c>
      <c r="C1158" s="10" t="s">
        <v>806</v>
      </c>
      <c r="D1158" s="10" t="s">
        <v>21</v>
      </c>
      <c r="E1158" s="10" t="s">
        <v>73</v>
      </c>
      <c r="F1158" s="11">
        <v>8</v>
      </c>
      <c r="G1158" s="12">
        <v>5145.6000000000004</v>
      </c>
      <c r="H1158" s="12">
        <v>41164.800000000003</v>
      </c>
      <c r="I1158" s="13">
        <v>3601.92</v>
      </c>
      <c r="J1158" s="10" t="s">
        <v>83</v>
      </c>
      <c r="K1158" s="10" t="s">
        <v>84</v>
      </c>
      <c r="L1158" s="10" t="s">
        <v>34</v>
      </c>
      <c r="M1158" s="12">
        <v>28815.360000000001</v>
      </c>
      <c r="N1158" s="12">
        <v>12349.44</v>
      </c>
      <c r="O1158" s="10">
        <v>30</v>
      </c>
      <c r="P1158" s="10" t="s">
        <v>26</v>
      </c>
      <c r="Q1158" s="10">
        <v>12</v>
      </c>
      <c r="R1158" s="10" t="s">
        <v>27</v>
      </c>
      <c r="S1158" s="14" t="str">
        <f t="shared" si="18"/>
        <v>Week 4</v>
      </c>
    </row>
    <row r="1159" spans="1:19" x14ac:dyDescent="0.3">
      <c r="A1159" s="15" t="s">
        <v>1438</v>
      </c>
      <c r="B1159" s="16">
        <v>43097</v>
      </c>
      <c r="C1159" s="17" t="s">
        <v>86</v>
      </c>
      <c r="D1159" s="17" t="s">
        <v>30</v>
      </c>
      <c r="E1159" s="17" t="s">
        <v>103</v>
      </c>
      <c r="F1159" s="18">
        <v>10</v>
      </c>
      <c r="G1159" s="19">
        <v>991.6</v>
      </c>
      <c r="H1159" s="19">
        <v>9916</v>
      </c>
      <c r="I1159" s="20">
        <v>545.38</v>
      </c>
      <c r="J1159" s="17" t="s">
        <v>94</v>
      </c>
      <c r="K1159" s="17" t="s">
        <v>95</v>
      </c>
      <c r="L1159" s="17" t="s">
        <v>40</v>
      </c>
      <c r="M1159" s="19">
        <v>5453.8</v>
      </c>
      <c r="N1159" s="19">
        <v>4462.1999999999898</v>
      </c>
      <c r="O1159" s="17">
        <v>44.999999999999901</v>
      </c>
      <c r="P1159" s="17" t="s">
        <v>26</v>
      </c>
      <c r="Q1159" s="17">
        <v>12</v>
      </c>
      <c r="R1159" s="17" t="s">
        <v>27</v>
      </c>
      <c r="S1159" s="14" t="str">
        <f t="shared" si="18"/>
        <v>Week 4</v>
      </c>
    </row>
    <row r="1160" spans="1:19" x14ac:dyDescent="0.3">
      <c r="A1160" s="8" t="s">
        <v>1439</v>
      </c>
      <c r="B1160" s="9">
        <v>43097</v>
      </c>
      <c r="C1160" s="10" t="s">
        <v>247</v>
      </c>
      <c r="D1160" s="10" t="s">
        <v>21</v>
      </c>
      <c r="E1160" s="10" t="s">
        <v>197</v>
      </c>
      <c r="F1160" s="11">
        <v>12</v>
      </c>
      <c r="G1160" s="12">
        <v>1159.0999999999999</v>
      </c>
      <c r="H1160" s="12">
        <v>13909.199999999999</v>
      </c>
      <c r="I1160" s="13">
        <v>846.14300000000003</v>
      </c>
      <c r="J1160" s="10" t="s">
        <v>155</v>
      </c>
      <c r="K1160" s="10" t="s">
        <v>156</v>
      </c>
      <c r="L1160" s="10" t="s">
        <v>56</v>
      </c>
      <c r="M1160" s="12">
        <v>10153.716</v>
      </c>
      <c r="N1160" s="12">
        <v>3755.4839999999999</v>
      </c>
      <c r="O1160" s="10">
        <v>27</v>
      </c>
      <c r="P1160" s="10" t="s">
        <v>26</v>
      </c>
      <c r="Q1160" s="10">
        <v>12</v>
      </c>
      <c r="R1160" s="10" t="s">
        <v>27</v>
      </c>
      <c r="S1160" s="14" t="str">
        <f t="shared" si="18"/>
        <v>Week 4</v>
      </c>
    </row>
    <row r="1161" spans="1:19" x14ac:dyDescent="0.3">
      <c r="A1161" s="15" t="s">
        <v>1440</v>
      </c>
      <c r="B1161" s="16">
        <v>43097</v>
      </c>
      <c r="C1161" s="17" t="s">
        <v>20</v>
      </c>
      <c r="D1161" s="17" t="s">
        <v>21</v>
      </c>
      <c r="E1161" s="17" t="s">
        <v>31</v>
      </c>
      <c r="F1161" s="18">
        <v>7</v>
      </c>
      <c r="G1161" s="19">
        <v>2747</v>
      </c>
      <c r="H1161" s="19">
        <v>19229</v>
      </c>
      <c r="I1161" s="20">
        <v>1098.8</v>
      </c>
      <c r="J1161" s="17" t="s">
        <v>23</v>
      </c>
      <c r="K1161" s="17" t="s">
        <v>24</v>
      </c>
      <c r="L1161" s="17" t="s">
        <v>25</v>
      </c>
      <c r="M1161" s="19">
        <v>7691.5999999999904</v>
      </c>
      <c r="N1161" s="19">
        <v>11537.4</v>
      </c>
      <c r="O1161" s="17">
        <v>60</v>
      </c>
      <c r="P1161" s="17" t="s">
        <v>26</v>
      </c>
      <c r="Q1161" s="17">
        <v>12</v>
      </c>
      <c r="R1161" s="17" t="s">
        <v>27</v>
      </c>
      <c r="S1161" s="14" t="str">
        <f t="shared" si="18"/>
        <v>Week 4</v>
      </c>
    </row>
    <row r="1162" spans="1:19" x14ac:dyDescent="0.3">
      <c r="A1162" s="8" t="s">
        <v>1441</v>
      </c>
      <c r="B1162" s="9">
        <v>43097</v>
      </c>
      <c r="C1162" s="10" t="s">
        <v>408</v>
      </c>
      <c r="D1162" s="10" t="s">
        <v>43</v>
      </c>
      <c r="E1162" s="10" t="s">
        <v>37</v>
      </c>
      <c r="F1162" s="11">
        <v>10</v>
      </c>
      <c r="G1162" s="12">
        <v>1313.2</v>
      </c>
      <c r="H1162" s="12">
        <v>13132</v>
      </c>
      <c r="I1162" s="13">
        <v>577.80799999999999</v>
      </c>
      <c r="J1162" s="10" t="s">
        <v>32</v>
      </c>
      <c r="K1162" s="10" t="s">
        <v>33</v>
      </c>
      <c r="L1162" s="10" t="s">
        <v>34</v>
      </c>
      <c r="M1162" s="12">
        <v>5778.08</v>
      </c>
      <c r="N1162" s="12">
        <v>7353.92</v>
      </c>
      <c r="O1162" s="10">
        <v>56</v>
      </c>
      <c r="P1162" s="10" t="s">
        <v>26</v>
      </c>
      <c r="Q1162" s="10">
        <v>12</v>
      </c>
      <c r="R1162" s="10" t="s">
        <v>27</v>
      </c>
      <c r="S1162" s="14" t="str">
        <f t="shared" si="18"/>
        <v>Week 4</v>
      </c>
    </row>
    <row r="1163" spans="1:19" x14ac:dyDescent="0.3">
      <c r="A1163" s="15" t="s">
        <v>1442</v>
      </c>
      <c r="B1163" s="16">
        <v>43097</v>
      </c>
      <c r="C1163" s="17" t="s">
        <v>491</v>
      </c>
      <c r="D1163" s="17" t="s">
        <v>21</v>
      </c>
      <c r="E1163" s="17" t="s">
        <v>326</v>
      </c>
      <c r="F1163" s="18">
        <v>11</v>
      </c>
      <c r="G1163" s="19">
        <v>2432.1</v>
      </c>
      <c r="H1163" s="19">
        <v>26753.1</v>
      </c>
      <c r="I1163" s="20">
        <v>1824.07499999999</v>
      </c>
      <c r="J1163" s="17" t="s">
        <v>45</v>
      </c>
      <c r="K1163" s="17" t="s">
        <v>46</v>
      </c>
      <c r="L1163" s="17" t="s">
        <v>34</v>
      </c>
      <c r="M1163" s="19">
        <v>20064.824999999899</v>
      </c>
      <c r="N1163" s="19">
        <v>6688.2749999999996</v>
      </c>
      <c r="O1163" s="17">
        <v>25</v>
      </c>
      <c r="P1163" s="17" t="s">
        <v>26</v>
      </c>
      <c r="Q1163" s="17">
        <v>12</v>
      </c>
      <c r="R1163" s="17" t="s">
        <v>27</v>
      </c>
      <c r="S1163" s="14" t="str">
        <f t="shared" si="18"/>
        <v>Week 4</v>
      </c>
    </row>
    <row r="1164" spans="1:19" x14ac:dyDescent="0.3">
      <c r="A1164" s="8" t="s">
        <v>1443</v>
      </c>
      <c r="B1164" s="9">
        <v>43097</v>
      </c>
      <c r="C1164" s="10" t="s">
        <v>282</v>
      </c>
      <c r="D1164" s="10" t="s">
        <v>43</v>
      </c>
      <c r="E1164" s="10" t="s">
        <v>93</v>
      </c>
      <c r="F1164" s="11">
        <v>7</v>
      </c>
      <c r="G1164" s="12">
        <v>3571.1</v>
      </c>
      <c r="H1164" s="12">
        <v>24997.7</v>
      </c>
      <c r="I1164" s="13">
        <v>1999.816</v>
      </c>
      <c r="J1164" s="10" t="s">
        <v>177</v>
      </c>
      <c r="K1164" s="10" t="s">
        <v>178</v>
      </c>
      <c r="L1164" s="10" t="s">
        <v>40</v>
      </c>
      <c r="M1164" s="12">
        <v>13998.712</v>
      </c>
      <c r="N1164" s="12">
        <v>10998.987999999999</v>
      </c>
      <c r="O1164" s="10">
        <v>44</v>
      </c>
      <c r="P1164" s="10" t="s">
        <v>26</v>
      </c>
      <c r="Q1164" s="10">
        <v>12</v>
      </c>
      <c r="R1164" s="10" t="s">
        <v>27</v>
      </c>
      <c r="S1164" s="14" t="str">
        <f t="shared" si="18"/>
        <v>Week 4</v>
      </c>
    </row>
    <row r="1165" spans="1:19" x14ac:dyDescent="0.3">
      <c r="A1165" s="15" t="s">
        <v>1444</v>
      </c>
      <c r="B1165" s="16">
        <v>43097</v>
      </c>
      <c r="C1165" s="17" t="s">
        <v>703</v>
      </c>
      <c r="D1165" s="17" t="s">
        <v>21</v>
      </c>
      <c r="E1165" s="17" t="s">
        <v>418</v>
      </c>
      <c r="F1165" s="18">
        <v>6</v>
      </c>
      <c r="G1165" s="19">
        <v>1788.9</v>
      </c>
      <c r="H1165" s="19">
        <v>10733.400000000001</v>
      </c>
      <c r="I1165" s="20">
        <v>1431.12</v>
      </c>
      <c r="J1165" s="17" t="s">
        <v>155</v>
      </c>
      <c r="K1165" s="17" t="s">
        <v>156</v>
      </c>
      <c r="L1165" s="17" t="s">
        <v>56</v>
      </c>
      <c r="M1165" s="19">
        <v>8586.7199999999993</v>
      </c>
      <c r="N1165" s="19">
        <v>2146.6799999999998</v>
      </c>
      <c r="O1165" s="17">
        <v>20</v>
      </c>
      <c r="P1165" s="17" t="s">
        <v>26</v>
      </c>
      <c r="Q1165" s="17">
        <v>12</v>
      </c>
      <c r="R1165" s="17" t="s">
        <v>27</v>
      </c>
      <c r="S1165" s="14" t="str">
        <f t="shared" si="18"/>
        <v>Week 4</v>
      </c>
    </row>
    <row r="1166" spans="1:19" x14ac:dyDescent="0.3">
      <c r="A1166" s="8" t="s">
        <v>1445</v>
      </c>
      <c r="B1166" s="9">
        <v>43097</v>
      </c>
      <c r="C1166" s="10" t="s">
        <v>209</v>
      </c>
      <c r="D1166" s="10" t="s">
        <v>21</v>
      </c>
      <c r="E1166" s="10" t="s">
        <v>59</v>
      </c>
      <c r="F1166" s="11">
        <v>12</v>
      </c>
      <c r="G1166" s="12">
        <v>2432.1</v>
      </c>
      <c r="H1166" s="12">
        <v>29185.199999999997</v>
      </c>
      <c r="I1166" s="13">
        <v>1580.865</v>
      </c>
      <c r="J1166" s="10" t="s">
        <v>225</v>
      </c>
      <c r="K1166" s="10" t="s">
        <v>226</v>
      </c>
      <c r="L1166" s="10" t="s">
        <v>25</v>
      </c>
      <c r="M1166" s="12">
        <v>18970.38</v>
      </c>
      <c r="N1166" s="12">
        <v>10214.8199999999</v>
      </c>
      <c r="O1166" s="10">
        <v>34.999999999999901</v>
      </c>
      <c r="P1166" s="10" t="s">
        <v>26</v>
      </c>
      <c r="Q1166" s="10">
        <v>12</v>
      </c>
      <c r="R1166" s="10" t="s">
        <v>27</v>
      </c>
      <c r="S1166" s="14" t="str">
        <f t="shared" si="18"/>
        <v>Week 4</v>
      </c>
    </row>
    <row r="1167" spans="1:19" x14ac:dyDescent="0.3">
      <c r="A1167" s="15" t="s">
        <v>1446</v>
      </c>
      <c r="B1167" s="16">
        <v>43097</v>
      </c>
      <c r="C1167" s="17" t="s">
        <v>453</v>
      </c>
      <c r="D1167" s="17" t="s">
        <v>21</v>
      </c>
      <c r="E1167" s="17" t="s">
        <v>252</v>
      </c>
      <c r="F1167" s="18">
        <v>9</v>
      </c>
      <c r="G1167" s="19">
        <v>1125.5999999999999</v>
      </c>
      <c r="H1167" s="19">
        <v>10130.4</v>
      </c>
      <c r="I1167" s="20">
        <v>821.68799999999999</v>
      </c>
      <c r="J1167" s="17" t="s">
        <v>32</v>
      </c>
      <c r="K1167" s="17" t="s">
        <v>33</v>
      </c>
      <c r="L1167" s="17" t="s">
        <v>34</v>
      </c>
      <c r="M1167" s="19">
        <v>7395.192</v>
      </c>
      <c r="N1167" s="19">
        <v>2735.2080000000001</v>
      </c>
      <c r="O1167" s="17">
        <v>27</v>
      </c>
      <c r="P1167" s="17" t="s">
        <v>26</v>
      </c>
      <c r="Q1167" s="17">
        <v>12</v>
      </c>
      <c r="R1167" s="17" t="s">
        <v>27</v>
      </c>
      <c r="S1167" s="14" t="str">
        <f t="shared" si="18"/>
        <v>Week 4</v>
      </c>
    </row>
    <row r="1168" spans="1:19" x14ac:dyDescent="0.3">
      <c r="A1168" s="8" t="s">
        <v>1174</v>
      </c>
      <c r="B1168" s="9">
        <v>43097</v>
      </c>
      <c r="C1168" s="10" t="s">
        <v>568</v>
      </c>
      <c r="D1168" s="10" t="s">
        <v>21</v>
      </c>
      <c r="E1168" s="10" t="s">
        <v>91</v>
      </c>
      <c r="F1168" s="11">
        <v>12</v>
      </c>
      <c r="G1168" s="12">
        <v>884.4</v>
      </c>
      <c r="H1168" s="12">
        <v>10612.8</v>
      </c>
      <c r="I1168" s="13">
        <v>636.76799999999901</v>
      </c>
      <c r="J1168" s="10" t="s">
        <v>121</v>
      </c>
      <c r="K1168" s="10" t="s">
        <v>122</v>
      </c>
      <c r="L1168" s="10" t="s">
        <v>34</v>
      </c>
      <c r="M1168" s="12">
        <v>7641.2159999999903</v>
      </c>
      <c r="N1168" s="12">
        <v>2971.5839999999998</v>
      </c>
      <c r="O1168" s="10">
        <v>28</v>
      </c>
      <c r="P1168" s="10" t="s">
        <v>26</v>
      </c>
      <c r="Q1168" s="10">
        <v>12</v>
      </c>
      <c r="R1168" s="10" t="s">
        <v>27</v>
      </c>
      <c r="S1168" s="14" t="str">
        <f t="shared" si="18"/>
        <v>Week 4</v>
      </c>
    </row>
    <row r="1169" spans="1:19" x14ac:dyDescent="0.3">
      <c r="A1169" s="15" t="s">
        <v>1447</v>
      </c>
      <c r="B1169" s="16">
        <v>43097</v>
      </c>
      <c r="C1169" s="17" t="s">
        <v>514</v>
      </c>
      <c r="D1169" s="17" t="s">
        <v>21</v>
      </c>
      <c r="E1169" s="17" t="s">
        <v>306</v>
      </c>
      <c r="F1169" s="18">
        <v>5</v>
      </c>
      <c r="G1169" s="19">
        <v>221.1</v>
      </c>
      <c r="H1169" s="19">
        <v>1105.5</v>
      </c>
      <c r="I1169" s="20">
        <v>95.072999999999993</v>
      </c>
      <c r="J1169" s="17" t="s">
        <v>54</v>
      </c>
      <c r="K1169" s="17" t="s">
        <v>55</v>
      </c>
      <c r="L1169" s="17" t="s">
        <v>56</v>
      </c>
      <c r="M1169" s="19">
        <v>475.36499999999899</v>
      </c>
      <c r="N1169" s="19">
        <v>630.13499999999999</v>
      </c>
      <c r="O1169" s="17">
        <v>56.999999999999901</v>
      </c>
      <c r="P1169" s="17" t="s">
        <v>26</v>
      </c>
      <c r="Q1169" s="17">
        <v>12</v>
      </c>
      <c r="R1169" s="17" t="s">
        <v>27</v>
      </c>
      <c r="S1169" s="14" t="str">
        <f t="shared" si="18"/>
        <v>Week 4</v>
      </c>
    </row>
    <row r="1170" spans="1:19" x14ac:dyDescent="0.3">
      <c r="A1170" s="8" t="s">
        <v>860</v>
      </c>
      <c r="B1170" s="9">
        <v>43097</v>
      </c>
      <c r="C1170" s="10" t="s">
        <v>264</v>
      </c>
      <c r="D1170" s="10" t="s">
        <v>30</v>
      </c>
      <c r="E1170" s="10" t="s">
        <v>44</v>
      </c>
      <c r="F1170" s="11">
        <v>11</v>
      </c>
      <c r="G1170" s="12">
        <v>1688.4</v>
      </c>
      <c r="H1170" s="12">
        <v>18572.400000000001</v>
      </c>
      <c r="I1170" s="13">
        <v>776.66399999999999</v>
      </c>
      <c r="J1170" s="10" t="s">
        <v>54</v>
      </c>
      <c r="K1170" s="10" t="s">
        <v>55</v>
      </c>
      <c r="L1170" s="10" t="s">
        <v>56</v>
      </c>
      <c r="M1170" s="12">
        <v>8543.3040000000001</v>
      </c>
      <c r="N1170" s="12">
        <v>10029.096</v>
      </c>
      <c r="O1170" s="10">
        <v>53.999999999999901</v>
      </c>
      <c r="P1170" s="10" t="s">
        <v>26</v>
      </c>
      <c r="Q1170" s="10">
        <v>12</v>
      </c>
      <c r="R1170" s="10" t="s">
        <v>27</v>
      </c>
      <c r="S1170" s="14" t="str">
        <f t="shared" si="18"/>
        <v>Week 4</v>
      </c>
    </row>
    <row r="1171" spans="1:19" x14ac:dyDescent="0.3">
      <c r="A1171" s="15" t="s">
        <v>1448</v>
      </c>
      <c r="B1171" s="16">
        <v>43097</v>
      </c>
      <c r="C1171" s="17" t="s">
        <v>646</v>
      </c>
      <c r="D1171" s="17" t="s">
        <v>21</v>
      </c>
      <c r="E1171" s="17" t="s">
        <v>115</v>
      </c>
      <c r="F1171" s="18">
        <v>10</v>
      </c>
      <c r="G1171" s="19">
        <v>1688.4</v>
      </c>
      <c r="H1171" s="19">
        <v>16884</v>
      </c>
      <c r="I1171" s="20">
        <v>1063.692</v>
      </c>
      <c r="J1171" s="17" t="s">
        <v>177</v>
      </c>
      <c r="K1171" s="17" t="s">
        <v>178</v>
      </c>
      <c r="L1171" s="17" t="s">
        <v>40</v>
      </c>
      <c r="M1171" s="19">
        <v>10636.92</v>
      </c>
      <c r="N1171" s="19">
        <v>6247.08</v>
      </c>
      <c r="O1171" s="17">
        <v>37</v>
      </c>
      <c r="P1171" s="17" t="s">
        <v>26</v>
      </c>
      <c r="Q1171" s="17">
        <v>12</v>
      </c>
      <c r="R1171" s="17" t="s">
        <v>27</v>
      </c>
      <c r="S1171" s="14" t="str">
        <f t="shared" si="18"/>
        <v>Week 4</v>
      </c>
    </row>
    <row r="1172" spans="1:19" x14ac:dyDescent="0.3">
      <c r="A1172" s="8" t="s">
        <v>1449</v>
      </c>
      <c r="B1172" s="9">
        <v>43097</v>
      </c>
      <c r="C1172" s="10" t="s">
        <v>369</v>
      </c>
      <c r="D1172" s="10" t="s">
        <v>30</v>
      </c>
      <c r="E1172" s="10" t="s">
        <v>31</v>
      </c>
      <c r="F1172" s="11">
        <v>9</v>
      </c>
      <c r="G1172" s="12">
        <v>1011.7</v>
      </c>
      <c r="H1172" s="12">
        <v>9105.3000000000011</v>
      </c>
      <c r="I1172" s="13">
        <v>536.20100000000002</v>
      </c>
      <c r="J1172" s="10" t="s">
        <v>54</v>
      </c>
      <c r="K1172" s="10" t="s">
        <v>55</v>
      </c>
      <c r="L1172" s="10" t="s">
        <v>56</v>
      </c>
      <c r="M1172" s="12">
        <v>4825.8090000000002</v>
      </c>
      <c r="N1172" s="12">
        <v>4279.491</v>
      </c>
      <c r="O1172" s="10">
        <v>47</v>
      </c>
      <c r="P1172" s="10" t="s">
        <v>26</v>
      </c>
      <c r="Q1172" s="10">
        <v>12</v>
      </c>
      <c r="R1172" s="10" t="s">
        <v>27</v>
      </c>
      <c r="S1172" s="14" t="str">
        <f t="shared" si="18"/>
        <v>Week 4</v>
      </c>
    </row>
    <row r="1173" spans="1:19" x14ac:dyDescent="0.3">
      <c r="A1173" s="15" t="s">
        <v>1450</v>
      </c>
      <c r="B1173" s="16">
        <v>43097</v>
      </c>
      <c r="C1173" s="17" t="s">
        <v>247</v>
      </c>
      <c r="D1173" s="17" t="s">
        <v>43</v>
      </c>
      <c r="E1173" s="17" t="s">
        <v>115</v>
      </c>
      <c r="F1173" s="18">
        <v>11</v>
      </c>
      <c r="G1173" s="19">
        <v>5554.3</v>
      </c>
      <c r="H1173" s="19">
        <v>61097.3</v>
      </c>
      <c r="I1173" s="20">
        <v>2777.15</v>
      </c>
      <c r="J1173" s="17" t="s">
        <v>132</v>
      </c>
      <c r="K1173" s="17" t="s">
        <v>133</v>
      </c>
      <c r="L1173" s="17" t="s">
        <v>34</v>
      </c>
      <c r="M1173" s="19">
        <v>30548.65</v>
      </c>
      <c r="N1173" s="19">
        <v>30548.65</v>
      </c>
      <c r="O1173" s="17">
        <v>50</v>
      </c>
      <c r="P1173" s="17" t="s">
        <v>26</v>
      </c>
      <c r="Q1173" s="17">
        <v>12</v>
      </c>
      <c r="R1173" s="17" t="s">
        <v>27</v>
      </c>
      <c r="S1173" s="14" t="str">
        <f t="shared" si="18"/>
        <v>Week 4</v>
      </c>
    </row>
    <row r="1174" spans="1:19" x14ac:dyDescent="0.3">
      <c r="A1174" s="8" t="s">
        <v>1451</v>
      </c>
      <c r="B1174" s="9">
        <v>43097</v>
      </c>
      <c r="C1174" s="10" t="s">
        <v>194</v>
      </c>
      <c r="D1174" s="10" t="s">
        <v>21</v>
      </c>
      <c r="E1174" s="10" t="s">
        <v>149</v>
      </c>
      <c r="F1174" s="11">
        <v>6</v>
      </c>
      <c r="G1174" s="12">
        <v>1983.2</v>
      </c>
      <c r="H1174" s="12">
        <v>11899.2</v>
      </c>
      <c r="I1174" s="13">
        <v>1269.248</v>
      </c>
      <c r="J1174" s="10" t="s">
        <v>38</v>
      </c>
      <c r="K1174" s="10" t="s">
        <v>39</v>
      </c>
      <c r="L1174" s="10" t="s">
        <v>40</v>
      </c>
      <c r="M1174" s="12">
        <v>7615.4880000000003</v>
      </c>
      <c r="N1174" s="12">
        <v>4283.7120000000004</v>
      </c>
      <c r="O1174" s="10">
        <v>36</v>
      </c>
      <c r="P1174" s="10" t="s">
        <v>26</v>
      </c>
      <c r="Q1174" s="10">
        <v>12</v>
      </c>
      <c r="R1174" s="10" t="s">
        <v>27</v>
      </c>
      <c r="S1174" s="14" t="str">
        <f t="shared" si="18"/>
        <v>Week 4</v>
      </c>
    </row>
    <row r="1175" spans="1:19" x14ac:dyDescent="0.3">
      <c r="A1175" s="15" t="s">
        <v>1452</v>
      </c>
      <c r="B1175" s="16">
        <v>43097</v>
      </c>
      <c r="C1175" s="17" t="s">
        <v>261</v>
      </c>
      <c r="D1175" s="17" t="s">
        <v>21</v>
      </c>
      <c r="E1175" s="17" t="s">
        <v>37</v>
      </c>
      <c r="F1175" s="18">
        <v>9</v>
      </c>
      <c r="G1175" s="19">
        <v>857.6</v>
      </c>
      <c r="H1175" s="19">
        <v>7718.4000000000005</v>
      </c>
      <c r="I1175" s="20">
        <v>728.96</v>
      </c>
      <c r="J1175" s="17" t="s">
        <v>54</v>
      </c>
      <c r="K1175" s="17" t="s">
        <v>55</v>
      </c>
      <c r="L1175" s="17" t="s">
        <v>56</v>
      </c>
      <c r="M1175" s="19">
        <v>6560.64</v>
      </c>
      <c r="N1175" s="19">
        <v>1157.76</v>
      </c>
      <c r="O1175" s="17">
        <v>15</v>
      </c>
      <c r="P1175" s="17" t="s">
        <v>26</v>
      </c>
      <c r="Q1175" s="17">
        <v>12</v>
      </c>
      <c r="R1175" s="17" t="s">
        <v>27</v>
      </c>
      <c r="S1175" s="14" t="str">
        <f t="shared" si="18"/>
        <v>Week 4</v>
      </c>
    </row>
    <row r="1176" spans="1:19" x14ac:dyDescent="0.3">
      <c r="A1176" s="8" t="s">
        <v>1453</v>
      </c>
      <c r="B1176" s="9">
        <v>43097</v>
      </c>
      <c r="C1176" s="10" t="s">
        <v>136</v>
      </c>
      <c r="D1176" s="10" t="s">
        <v>21</v>
      </c>
      <c r="E1176" s="10" t="s">
        <v>62</v>
      </c>
      <c r="F1176" s="11">
        <v>7</v>
      </c>
      <c r="G1176" s="12">
        <v>737</v>
      </c>
      <c r="H1176" s="12">
        <v>5159</v>
      </c>
      <c r="I1176" s="13">
        <v>390.61</v>
      </c>
      <c r="J1176" s="10" t="s">
        <v>32</v>
      </c>
      <c r="K1176" s="10" t="s">
        <v>33</v>
      </c>
      <c r="L1176" s="10" t="s">
        <v>34</v>
      </c>
      <c r="M1176" s="12">
        <v>2734.27</v>
      </c>
      <c r="N1176" s="12">
        <v>2424.73</v>
      </c>
      <c r="O1176" s="10">
        <v>47</v>
      </c>
      <c r="P1176" s="10" t="s">
        <v>26</v>
      </c>
      <c r="Q1176" s="10">
        <v>12</v>
      </c>
      <c r="R1176" s="10" t="s">
        <v>27</v>
      </c>
      <c r="S1176" s="14" t="str">
        <f t="shared" si="18"/>
        <v>Week 4</v>
      </c>
    </row>
    <row r="1177" spans="1:19" x14ac:dyDescent="0.3">
      <c r="A1177" s="15" t="s">
        <v>1454</v>
      </c>
      <c r="B1177" s="16">
        <v>43097</v>
      </c>
      <c r="C1177" s="17" t="s">
        <v>754</v>
      </c>
      <c r="D1177" s="17" t="s">
        <v>21</v>
      </c>
      <c r="E1177" s="17" t="s">
        <v>44</v>
      </c>
      <c r="F1177" s="18">
        <v>8</v>
      </c>
      <c r="G1177" s="19">
        <v>2291.4</v>
      </c>
      <c r="H1177" s="19">
        <v>18331.2</v>
      </c>
      <c r="I1177" s="20">
        <v>1260.27</v>
      </c>
      <c r="J1177" s="17" t="s">
        <v>761</v>
      </c>
      <c r="K1177" s="17" t="s">
        <v>762</v>
      </c>
      <c r="L1177" s="17" t="s">
        <v>34</v>
      </c>
      <c r="M1177" s="19">
        <v>10082.16</v>
      </c>
      <c r="N1177" s="19">
        <v>8249.03999999999</v>
      </c>
      <c r="O1177" s="17">
        <v>44.999999999999901</v>
      </c>
      <c r="P1177" s="17" t="s">
        <v>26</v>
      </c>
      <c r="Q1177" s="17">
        <v>12</v>
      </c>
      <c r="R1177" s="17" t="s">
        <v>27</v>
      </c>
      <c r="S1177" s="14" t="str">
        <f t="shared" si="18"/>
        <v>Week 4</v>
      </c>
    </row>
    <row r="1178" spans="1:19" x14ac:dyDescent="0.3">
      <c r="A1178" s="8" t="s">
        <v>997</v>
      </c>
      <c r="B1178" s="9">
        <v>43097</v>
      </c>
      <c r="C1178" s="10" t="s">
        <v>428</v>
      </c>
      <c r="D1178" s="10" t="s">
        <v>43</v>
      </c>
      <c r="E1178" s="10" t="s">
        <v>230</v>
      </c>
      <c r="F1178" s="11">
        <v>12</v>
      </c>
      <c r="G1178" s="12">
        <v>1072</v>
      </c>
      <c r="H1178" s="12">
        <v>12864</v>
      </c>
      <c r="I1178" s="13">
        <v>439.52</v>
      </c>
      <c r="J1178" s="10" t="s">
        <v>225</v>
      </c>
      <c r="K1178" s="10" t="s">
        <v>226</v>
      </c>
      <c r="L1178" s="10" t="s">
        <v>25</v>
      </c>
      <c r="M1178" s="12">
        <v>5274.24</v>
      </c>
      <c r="N1178" s="12">
        <v>7589.76</v>
      </c>
      <c r="O1178" s="10">
        <v>59</v>
      </c>
      <c r="P1178" s="10" t="s">
        <v>26</v>
      </c>
      <c r="Q1178" s="10">
        <v>12</v>
      </c>
      <c r="R1178" s="10" t="s">
        <v>27</v>
      </c>
      <c r="S1178" s="14" t="str">
        <f t="shared" si="18"/>
        <v>Week 4</v>
      </c>
    </row>
    <row r="1179" spans="1:19" x14ac:dyDescent="0.3">
      <c r="A1179" s="15" t="s">
        <v>1455</v>
      </c>
      <c r="B1179" s="16">
        <v>43098</v>
      </c>
      <c r="C1179" s="17" t="s">
        <v>384</v>
      </c>
      <c r="D1179" s="17" t="s">
        <v>30</v>
      </c>
      <c r="E1179" s="17" t="s">
        <v>91</v>
      </c>
      <c r="F1179" s="18">
        <v>10</v>
      </c>
      <c r="G1179" s="19">
        <v>1092.0999999999999</v>
      </c>
      <c r="H1179" s="19">
        <v>10921</v>
      </c>
      <c r="I1179" s="20">
        <v>786.31200000000001</v>
      </c>
      <c r="J1179" s="17" t="s">
        <v>76</v>
      </c>
      <c r="K1179" s="17" t="s">
        <v>77</v>
      </c>
      <c r="L1179" s="17" t="s">
        <v>56</v>
      </c>
      <c r="M1179" s="19">
        <v>7863.12</v>
      </c>
      <c r="N1179" s="19">
        <v>3057.88</v>
      </c>
      <c r="O1179" s="17">
        <v>28</v>
      </c>
      <c r="P1179" s="17" t="s">
        <v>26</v>
      </c>
      <c r="Q1179" s="17">
        <v>12</v>
      </c>
      <c r="R1179" s="17" t="s">
        <v>27</v>
      </c>
      <c r="S1179" s="14" t="str">
        <f t="shared" si="18"/>
        <v>Week 5</v>
      </c>
    </row>
    <row r="1180" spans="1:19" x14ac:dyDescent="0.3">
      <c r="A1180" s="8" t="s">
        <v>1456</v>
      </c>
      <c r="B1180" s="9">
        <v>43098</v>
      </c>
      <c r="C1180" s="10" t="s">
        <v>1094</v>
      </c>
      <c r="D1180" s="10" t="s">
        <v>30</v>
      </c>
      <c r="E1180" s="10" t="s">
        <v>149</v>
      </c>
      <c r="F1180" s="11">
        <v>7</v>
      </c>
      <c r="G1180" s="12">
        <v>1051.9000000000001</v>
      </c>
      <c r="H1180" s="12">
        <v>7363.3000000000011</v>
      </c>
      <c r="I1180" s="13">
        <v>452.31700000000001</v>
      </c>
      <c r="J1180" s="10" t="s">
        <v>212</v>
      </c>
      <c r="K1180" s="10" t="s">
        <v>213</v>
      </c>
      <c r="L1180" s="10" t="s">
        <v>34</v>
      </c>
      <c r="M1180" s="12">
        <v>3166.2190000000001</v>
      </c>
      <c r="N1180" s="12">
        <v>4197.0810000000001</v>
      </c>
      <c r="O1180" s="10">
        <v>57</v>
      </c>
      <c r="P1180" s="10" t="s">
        <v>26</v>
      </c>
      <c r="Q1180" s="10">
        <v>12</v>
      </c>
      <c r="R1180" s="10" t="s">
        <v>27</v>
      </c>
      <c r="S1180" s="14" t="str">
        <f t="shared" si="18"/>
        <v>Week 5</v>
      </c>
    </row>
    <row r="1181" spans="1:19" x14ac:dyDescent="0.3">
      <c r="A1181" s="15" t="s">
        <v>1457</v>
      </c>
      <c r="B1181" s="16">
        <v>43098</v>
      </c>
      <c r="C1181" s="17" t="s">
        <v>188</v>
      </c>
      <c r="D1181" s="17" t="s">
        <v>21</v>
      </c>
      <c r="E1181" s="17" t="s">
        <v>49</v>
      </c>
      <c r="F1181" s="18">
        <v>9</v>
      </c>
      <c r="G1181" s="19">
        <v>174.2</v>
      </c>
      <c r="H1181" s="19">
        <v>1567.8</v>
      </c>
      <c r="I1181" s="20">
        <v>125.42400000000001</v>
      </c>
      <c r="J1181" s="17" t="s">
        <v>50</v>
      </c>
      <c r="K1181" s="17" t="s">
        <v>51</v>
      </c>
      <c r="L1181" s="17" t="s">
        <v>40</v>
      </c>
      <c r="M1181" s="19">
        <v>1128.816</v>
      </c>
      <c r="N1181" s="19">
        <v>438.98399999999998</v>
      </c>
      <c r="O1181" s="17">
        <v>28</v>
      </c>
      <c r="P1181" s="17" t="s">
        <v>26</v>
      </c>
      <c r="Q1181" s="17">
        <v>12</v>
      </c>
      <c r="R1181" s="17" t="s">
        <v>27</v>
      </c>
      <c r="S1181" s="14" t="str">
        <f t="shared" si="18"/>
        <v>Week 5</v>
      </c>
    </row>
    <row r="1182" spans="1:19" x14ac:dyDescent="0.3">
      <c r="A1182" s="8" t="s">
        <v>1458</v>
      </c>
      <c r="B1182" s="9">
        <v>43098</v>
      </c>
      <c r="C1182" s="10" t="s">
        <v>166</v>
      </c>
      <c r="D1182" s="10" t="s">
        <v>43</v>
      </c>
      <c r="E1182" s="10" t="s">
        <v>91</v>
      </c>
      <c r="F1182" s="11">
        <v>7</v>
      </c>
      <c r="G1182" s="12">
        <v>3865.9</v>
      </c>
      <c r="H1182" s="12">
        <v>27061.3</v>
      </c>
      <c r="I1182" s="13">
        <v>2551.4940000000001</v>
      </c>
      <c r="J1182" s="10" t="s">
        <v>23</v>
      </c>
      <c r="K1182" s="10" t="s">
        <v>24</v>
      </c>
      <c r="L1182" s="10" t="s">
        <v>25</v>
      </c>
      <c r="M1182" s="12">
        <v>17860.457999999999</v>
      </c>
      <c r="N1182" s="12">
        <v>9200.8419999999896</v>
      </c>
      <c r="O1182" s="10">
        <v>33.999999999999901</v>
      </c>
      <c r="P1182" s="10" t="s">
        <v>26</v>
      </c>
      <c r="Q1182" s="10">
        <v>12</v>
      </c>
      <c r="R1182" s="10" t="s">
        <v>27</v>
      </c>
      <c r="S1182" s="14" t="str">
        <f t="shared" si="18"/>
        <v>Week 5</v>
      </c>
    </row>
    <row r="1183" spans="1:19" x14ac:dyDescent="0.3">
      <c r="A1183" s="15" t="s">
        <v>1459</v>
      </c>
      <c r="B1183" s="16">
        <v>43098</v>
      </c>
      <c r="C1183" s="17" t="s">
        <v>783</v>
      </c>
      <c r="D1183" s="17" t="s">
        <v>43</v>
      </c>
      <c r="E1183" s="17" t="s">
        <v>37</v>
      </c>
      <c r="F1183" s="18">
        <v>8</v>
      </c>
      <c r="G1183" s="19">
        <v>4013.3</v>
      </c>
      <c r="H1183" s="19">
        <v>32106.400000000001</v>
      </c>
      <c r="I1183" s="20">
        <v>2046.7829999999999</v>
      </c>
      <c r="J1183" s="17" t="s">
        <v>32</v>
      </c>
      <c r="K1183" s="17" t="s">
        <v>33</v>
      </c>
      <c r="L1183" s="17" t="s">
        <v>34</v>
      </c>
      <c r="M1183" s="19">
        <v>16374.263999999999</v>
      </c>
      <c r="N1183" s="19">
        <v>15732.136</v>
      </c>
      <c r="O1183" s="17">
        <v>49</v>
      </c>
      <c r="P1183" s="17" t="s">
        <v>26</v>
      </c>
      <c r="Q1183" s="17">
        <v>12</v>
      </c>
      <c r="R1183" s="17" t="s">
        <v>27</v>
      </c>
      <c r="S1183" s="14" t="str">
        <f t="shared" si="18"/>
        <v>Week 5</v>
      </c>
    </row>
    <row r="1184" spans="1:19" x14ac:dyDescent="0.3">
      <c r="A1184" s="8" t="s">
        <v>1460</v>
      </c>
      <c r="B1184" s="9">
        <v>43098</v>
      </c>
      <c r="C1184" s="10" t="s">
        <v>176</v>
      </c>
      <c r="D1184" s="10" t="s">
        <v>43</v>
      </c>
      <c r="E1184" s="10" t="s">
        <v>149</v>
      </c>
      <c r="F1184" s="11">
        <v>11</v>
      </c>
      <c r="G1184" s="12">
        <v>2519.1999999999998</v>
      </c>
      <c r="H1184" s="12">
        <v>27711.199999999997</v>
      </c>
      <c r="I1184" s="13">
        <v>1058.0640000000001</v>
      </c>
      <c r="J1184" s="10" t="s">
        <v>45</v>
      </c>
      <c r="K1184" s="10" t="s">
        <v>46</v>
      </c>
      <c r="L1184" s="10" t="s">
        <v>34</v>
      </c>
      <c r="M1184" s="12">
        <v>11638.704</v>
      </c>
      <c r="N1184" s="12">
        <v>16072.495999999999</v>
      </c>
      <c r="O1184" s="10">
        <v>57.999999999999901</v>
      </c>
      <c r="P1184" s="10" t="s">
        <v>26</v>
      </c>
      <c r="Q1184" s="10">
        <v>12</v>
      </c>
      <c r="R1184" s="10" t="s">
        <v>27</v>
      </c>
      <c r="S1184" s="14" t="str">
        <f t="shared" si="18"/>
        <v>Week 5</v>
      </c>
    </row>
    <row r="1185" spans="1:19" x14ac:dyDescent="0.3">
      <c r="A1185" s="15" t="s">
        <v>1461</v>
      </c>
      <c r="B1185" s="16">
        <v>43098</v>
      </c>
      <c r="C1185" s="17" t="s">
        <v>472</v>
      </c>
      <c r="D1185" s="17" t="s">
        <v>21</v>
      </c>
      <c r="E1185" s="17" t="s">
        <v>326</v>
      </c>
      <c r="F1185" s="18">
        <v>7</v>
      </c>
      <c r="G1185" s="19">
        <v>3068.6</v>
      </c>
      <c r="H1185" s="19">
        <v>21480.2</v>
      </c>
      <c r="I1185" s="20">
        <v>2454.88</v>
      </c>
      <c r="J1185" s="17" t="s">
        <v>257</v>
      </c>
      <c r="K1185" s="17" t="s">
        <v>258</v>
      </c>
      <c r="L1185" s="17" t="s">
        <v>25</v>
      </c>
      <c r="M1185" s="19">
        <v>17184.16</v>
      </c>
      <c r="N1185" s="19">
        <v>4296.04</v>
      </c>
      <c r="O1185" s="17">
        <v>20</v>
      </c>
      <c r="P1185" s="17" t="s">
        <v>26</v>
      </c>
      <c r="Q1185" s="17">
        <v>12</v>
      </c>
      <c r="R1185" s="17" t="s">
        <v>27</v>
      </c>
      <c r="S1185" s="14" t="str">
        <f t="shared" si="18"/>
        <v>Week 5</v>
      </c>
    </row>
    <row r="1186" spans="1:19" x14ac:dyDescent="0.3">
      <c r="A1186" s="8" t="s">
        <v>1462</v>
      </c>
      <c r="B1186" s="9">
        <v>43098</v>
      </c>
      <c r="C1186" s="10" t="s">
        <v>594</v>
      </c>
      <c r="D1186" s="10" t="s">
        <v>21</v>
      </c>
      <c r="E1186" s="10" t="s">
        <v>103</v>
      </c>
      <c r="F1186" s="11">
        <v>6</v>
      </c>
      <c r="G1186" s="12">
        <v>180.9</v>
      </c>
      <c r="H1186" s="12">
        <v>1085.4000000000001</v>
      </c>
      <c r="I1186" s="13">
        <v>139.29300000000001</v>
      </c>
      <c r="J1186" s="10" t="s">
        <v>32</v>
      </c>
      <c r="K1186" s="10" t="s">
        <v>33</v>
      </c>
      <c r="L1186" s="10" t="s">
        <v>34</v>
      </c>
      <c r="M1186" s="12">
        <v>835.75800000000004</v>
      </c>
      <c r="N1186" s="12">
        <v>249.642</v>
      </c>
      <c r="O1186" s="10">
        <v>23</v>
      </c>
      <c r="P1186" s="10" t="s">
        <v>26</v>
      </c>
      <c r="Q1186" s="10">
        <v>12</v>
      </c>
      <c r="R1186" s="10" t="s">
        <v>27</v>
      </c>
      <c r="S1186" s="14" t="str">
        <f t="shared" si="18"/>
        <v>Week 5</v>
      </c>
    </row>
    <row r="1187" spans="1:19" x14ac:dyDescent="0.3">
      <c r="A1187" s="15" t="s">
        <v>1463</v>
      </c>
      <c r="B1187" s="16">
        <v>43098</v>
      </c>
      <c r="C1187" s="17" t="s">
        <v>294</v>
      </c>
      <c r="D1187" s="17" t="s">
        <v>21</v>
      </c>
      <c r="E1187" s="17" t="s">
        <v>228</v>
      </c>
      <c r="F1187" s="18">
        <v>12</v>
      </c>
      <c r="G1187" s="19">
        <v>958.1</v>
      </c>
      <c r="H1187" s="19">
        <v>11497.2</v>
      </c>
      <c r="I1187" s="20">
        <v>440.726</v>
      </c>
      <c r="J1187" s="17" t="s">
        <v>116</v>
      </c>
      <c r="K1187" s="17" t="s">
        <v>117</v>
      </c>
      <c r="L1187" s="17" t="s">
        <v>40</v>
      </c>
      <c r="M1187" s="19">
        <v>5288.7120000000004</v>
      </c>
      <c r="N1187" s="19">
        <v>6208.4880000000003</v>
      </c>
      <c r="O1187" s="17">
        <v>54</v>
      </c>
      <c r="P1187" s="17" t="s">
        <v>26</v>
      </c>
      <c r="Q1187" s="17">
        <v>12</v>
      </c>
      <c r="R1187" s="17" t="s">
        <v>27</v>
      </c>
      <c r="S1187" s="14" t="str">
        <f t="shared" si="18"/>
        <v>Week 5</v>
      </c>
    </row>
    <row r="1188" spans="1:19" x14ac:dyDescent="0.3">
      <c r="A1188" s="8" t="s">
        <v>1464</v>
      </c>
      <c r="B1188" s="9">
        <v>43098</v>
      </c>
      <c r="C1188" s="10" t="s">
        <v>142</v>
      </c>
      <c r="D1188" s="10" t="s">
        <v>30</v>
      </c>
      <c r="E1188" s="10" t="s">
        <v>230</v>
      </c>
      <c r="F1188" s="11">
        <v>7</v>
      </c>
      <c r="G1188" s="12">
        <v>234.5</v>
      </c>
      <c r="H1188" s="12">
        <v>1641.5</v>
      </c>
      <c r="I1188" s="13">
        <v>93.8</v>
      </c>
      <c r="J1188" s="10" t="s">
        <v>97</v>
      </c>
      <c r="K1188" s="10" t="s">
        <v>98</v>
      </c>
      <c r="L1188" s="10" t="s">
        <v>56</v>
      </c>
      <c r="M1188" s="12">
        <v>656.6</v>
      </c>
      <c r="N1188" s="12">
        <v>984.89999999999895</v>
      </c>
      <c r="O1188" s="10">
        <v>59.999999999999901</v>
      </c>
      <c r="P1188" s="10" t="s">
        <v>26</v>
      </c>
      <c r="Q1188" s="10">
        <v>12</v>
      </c>
      <c r="R1188" s="10" t="s">
        <v>27</v>
      </c>
      <c r="S1188" s="14" t="str">
        <f t="shared" si="18"/>
        <v>Week 5</v>
      </c>
    </row>
    <row r="1189" spans="1:19" x14ac:dyDescent="0.3">
      <c r="A1189" s="15" t="s">
        <v>1465</v>
      </c>
      <c r="B1189" s="16">
        <v>43098</v>
      </c>
      <c r="C1189" s="17" t="s">
        <v>136</v>
      </c>
      <c r="D1189" s="17" t="s">
        <v>30</v>
      </c>
      <c r="E1189" s="17" t="s">
        <v>115</v>
      </c>
      <c r="F1189" s="18">
        <v>6</v>
      </c>
      <c r="G1189" s="19">
        <v>1072</v>
      </c>
      <c r="H1189" s="19">
        <v>6432</v>
      </c>
      <c r="I1189" s="20">
        <v>707.52</v>
      </c>
      <c r="J1189" s="17" t="s">
        <v>45</v>
      </c>
      <c r="K1189" s="17" t="s">
        <v>46</v>
      </c>
      <c r="L1189" s="17" t="s">
        <v>34</v>
      </c>
      <c r="M1189" s="19">
        <v>4245.12</v>
      </c>
      <c r="N1189" s="19">
        <v>2186.88</v>
      </c>
      <c r="O1189" s="17">
        <v>34</v>
      </c>
      <c r="P1189" s="17" t="s">
        <v>26</v>
      </c>
      <c r="Q1189" s="17">
        <v>12</v>
      </c>
      <c r="R1189" s="17" t="s">
        <v>27</v>
      </c>
      <c r="S1189" s="14" t="str">
        <f t="shared" si="18"/>
        <v>Week 5</v>
      </c>
    </row>
    <row r="1190" spans="1:19" x14ac:dyDescent="0.3">
      <c r="A1190" s="8" t="s">
        <v>1466</v>
      </c>
      <c r="B1190" s="9">
        <v>43098</v>
      </c>
      <c r="C1190" s="10" t="s">
        <v>20</v>
      </c>
      <c r="D1190" s="10" t="s">
        <v>30</v>
      </c>
      <c r="E1190" s="10" t="s">
        <v>59</v>
      </c>
      <c r="F1190" s="11">
        <v>6</v>
      </c>
      <c r="G1190" s="12">
        <v>1045.2</v>
      </c>
      <c r="H1190" s="12">
        <v>6271.2000000000007</v>
      </c>
      <c r="I1190" s="13">
        <v>595.76400000000001</v>
      </c>
      <c r="J1190" s="10" t="s">
        <v>23</v>
      </c>
      <c r="K1190" s="10" t="s">
        <v>24</v>
      </c>
      <c r="L1190" s="10" t="s">
        <v>25</v>
      </c>
      <c r="M1190" s="12">
        <v>3574.5839999999998</v>
      </c>
      <c r="N1190" s="12">
        <v>2696.616</v>
      </c>
      <c r="O1190" s="10">
        <v>43</v>
      </c>
      <c r="P1190" s="10" t="s">
        <v>26</v>
      </c>
      <c r="Q1190" s="10">
        <v>12</v>
      </c>
      <c r="R1190" s="10" t="s">
        <v>27</v>
      </c>
      <c r="S1190" s="14" t="str">
        <f t="shared" si="18"/>
        <v>Week 5</v>
      </c>
    </row>
    <row r="1191" spans="1:19" x14ac:dyDescent="0.3">
      <c r="A1191" s="15" t="s">
        <v>1467</v>
      </c>
      <c r="B1191" s="16">
        <v>43098</v>
      </c>
      <c r="C1191" s="17" t="s">
        <v>215</v>
      </c>
      <c r="D1191" s="17" t="s">
        <v>21</v>
      </c>
      <c r="E1191" s="17" t="s">
        <v>127</v>
      </c>
      <c r="F1191" s="18">
        <v>8</v>
      </c>
      <c r="G1191" s="19">
        <v>174.2</v>
      </c>
      <c r="H1191" s="19">
        <v>1393.6</v>
      </c>
      <c r="I1191" s="20">
        <v>109.746</v>
      </c>
      <c r="J1191" s="17" t="s">
        <v>116</v>
      </c>
      <c r="K1191" s="17" t="s">
        <v>117</v>
      </c>
      <c r="L1191" s="17" t="s">
        <v>40</v>
      </c>
      <c r="M1191" s="19">
        <v>877.96799999999996</v>
      </c>
      <c r="N1191" s="19">
        <v>515.63199999999995</v>
      </c>
      <c r="O1191" s="17">
        <v>37</v>
      </c>
      <c r="P1191" s="17" t="s">
        <v>26</v>
      </c>
      <c r="Q1191" s="17">
        <v>12</v>
      </c>
      <c r="R1191" s="17" t="s">
        <v>27</v>
      </c>
      <c r="S1191" s="14" t="str">
        <f t="shared" si="18"/>
        <v>Week 5</v>
      </c>
    </row>
    <row r="1192" spans="1:19" x14ac:dyDescent="0.3">
      <c r="A1192" s="8" t="s">
        <v>1468</v>
      </c>
      <c r="B1192" s="9">
        <v>43098</v>
      </c>
      <c r="C1192" s="10" t="s">
        <v>109</v>
      </c>
      <c r="D1192" s="10" t="s">
        <v>30</v>
      </c>
      <c r="E1192" s="10" t="s">
        <v>103</v>
      </c>
      <c r="F1192" s="11">
        <v>8</v>
      </c>
      <c r="G1192" s="12">
        <v>6559.3</v>
      </c>
      <c r="H1192" s="12">
        <v>52474.400000000001</v>
      </c>
      <c r="I1192" s="13">
        <v>4132.3590000000004</v>
      </c>
      <c r="J1192" s="10" t="s">
        <v>54</v>
      </c>
      <c r="K1192" s="10" t="s">
        <v>55</v>
      </c>
      <c r="L1192" s="10" t="s">
        <v>56</v>
      </c>
      <c r="M1192" s="12">
        <v>33058.872000000003</v>
      </c>
      <c r="N1192" s="12">
        <v>19415.527999999998</v>
      </c>
      <c r="O1192" s="10">
        <v>36.999999999999901</v>
      </c>
      <c r="P1192" s="10" t="s">
        <v>26</v>
      </c>
      <c r="Q1192" s="10">
        <v>12</v>
      </c>
      <c r="R1192" s="10" t="s">
        <v>27</v>
      </c>
      <c r="S1192" s="14" t="str">
        <f t="shared" si="18"/>
        <v>Week 5</v>
      </c>
    </row>
    <row r="1193" spans="1:19" x14ac:dyDescent="0.3">
      <c r="A1193" s="15" t="s">
        <v>1469</v>
      </c>
      <c r="B1193" s="16">
        <v>43098</v>
      </c>
      <c r="C1193" s="17" t="s">
        <v>664</v>
      </c>
      <c r="D1193" s="17" t="s">
        <v>43</v>
      </c>
      <c r="E1193" s="17" t="s">
        <v>191</v>
      </c>
      <c r="F1193" s="18">
        <v>10</v>
      </c>
      <c r="G1193" s="19">
        <v>3839.1</v>
      </c>
      <c r="H1193" s="19">
        <v>38391</v>
      </c>
      <c r="I1193" s="20">
        <v>2149.8960000000002</v>
      </c>
      <c r="J1193" s="17" t="s">
        <v>54</v>
      </c>
      <c r="K1193" s="17" t="s">
        <v>55</v>
      </c>
      <c r="L1193" s="17" t="s">
        <v>56</v>
      </c>
      <c r="M1193" s="19">
        <v>21498.959999999999</v>
      </c>
      <c r="N1193" s="19">
        <v>16892.039999999899</v>
      </c>
      <c r="O1193" s="17">
        <v>43.999999999999901</v>
      </c>
      <c r="P1193" s="17" t="s">
        <v>26</v>
      </c>
      <c r="Q1193" s="17">
        <v>12</v>
      </c>
      <c r="R1193" s="17" t="s">
        <v>27</v>
      </c>
      <c r="S1193" s="14" t="str">
        <f t="shared" si="18"/>
        <v>Week 5</v>
      </c>
    </row>
    <row r="1194" spans="1:19" x14ac:dyDescent="0.3">
      <c r="A1194" s="8" t="s">
        <v>1470</v>
      </c>
      <c r="B1194" s="9">
        <v>43098</v>
      </c>
      <c r="C1194" s="10" t="s">
        <v>363</v>
      </c>
      <c r="D1194" s="10" t="s">
        <v>21</v>
      </c>
      <c r="E1194" s="10" t="s">
        <v>360</v>
      </c>
      <c r="F1194" s="11">
        <v>8</v>
      </c>
      <c r="G1194" s="12">
        <v>1125.5999999999999</v>
      </c>
      <c r="H1194" s="12">
        <v>9004.7999999999993</v>
      </c>
      <c r="I1194" s="13">
        <v>574.05600000000004</v>
      </c>
      <c r="J1194" s="10" t="s">
        <v>257</v>
      </c>
      <c r="K1194" s="10" t="s">
        <v>258</v>
      </c>
      <c r="L1194" s="10" t="s">
        <v>25</v>
      </c>
      <c r="M1194" s="12">
        <v>4592.4480000000003</v>
      </c>
      <c r="N1194" s="12">
        <v>4412.3519999999999</v>
      </c>
      <c r="O1194" s="10">
        <v>49</v>
      </c>
      <c r="P1194" s="10" t="s">
        <v>26</v>
      </c>
      <c r="Q1194" s="10">
        <v>12</v>
      </c>
      <c r="R1194" s="10" t="s">
        <v>27</v>
      </c>
      <c r="S1194" s="14" t="str">
        <f t="shared" si="18"/>
        <v>Week 5</v>
      </c>
    </row>
    <row r="1195" spans="1:19" x14ac:dyDescent="0.3">
      <c r="A1195" s="15" t="s">
        <v>1471</v>
      </c>
      <c r="B1195" s="16">
        <v>43098</v>
      </c>
      <c r="C1195" s="17" t="s">
        <v>416</v>
      </c>
      <c r="D1195" s="17" t="s">
        <v>30</v>
      </c>
      <c r="E1195" s="17" t="s">
        <v>80</v>
      </c>
      <c r="F1195" s="18">
        <v>5</v>
      </c>
      <c r="G1195" s="19">
        <v>1038.5</v>
      </c>
      <c r="H1195" s="19">
        <v>5192.5</v>
      </c>
      <c r="I1195" s="20">
        <v>830.8</v>
      </c>
      <c r="J1195" s="17" t="s">
        <v>54</v>
      </c>
      <c r="K1195" s="17" t="s">
        <v>55</v>
      </c>
      <c r="L1195" s="17" t="s">
        <v>56</v>
      </c>
      <c r="M1195" s="19">
        <v>4154</v>
      </c>
      <c r="N1195" s="19">
        <v>1038.5</v>
      </c>
      <c r="O1195" s="17">
        <v>20</v>
      </c>
      <c r="P1195" s="17" t="s">
        <v>26</v>
      </c>
      <c r="Q1195" s="17">
        <v>12</v>
      </c>
      <c r="R1195" s="17" t="s">
        <v>27</v>
      </c>
      <c r="S1195" s="14" t="str">
        <f t="shared" si="18"/>
        <v>Week 5</v>
      </c>
    </row>
    <row r="1196" spans="1:19" x14ac:dyDescent="0.3">
      <c r="A1196" s="8" t="s">
        <v>1472</v>
      </c>
      <c r="B1196" s="9">
        <v>43098</v>
      </c>
      <c r="C1196" s="10" t="s">
        <v>783</v>
      </c>
      <c r="D1196" s="10" t="s">
        <v>21</v>
      </c>
      <c r="E1196" s="10" t="s">
        <v>252</v>
      </c>
      <c r="F1196" s="11">
        <v>12</v>
      </c>
      <c r="G1196" s="12">
        <v>2499.1</v>
      </c>
      <c r="H1196" s="12">
        <v>29989.199999999997</v>
      </c>
      <c r="I1196" s="13">
        <v>1624.415</v>
      </c>
      <c r="J1196" s="10" t="s">
        <v>159</v>
      </c>
      <c r="K1196" s="10" t="s">
        <v>160</v>
      </c>
      <c r="L1196" s="10" t="s">
        <v>25</v>
      </c>
      <c r="M1196" s="12">
        <v>19492.98</v>
      </c>
      <c r="N1196" s="12">
        <v>10496.219999999899</v>
      </c>
      <c r="O1196" s="10">
        <v>35</v>
      </c>
      <c r="P1196" s="10" t="s">
        <v>26</v>
      </c>
      <c r="Q1196" s="10">
        <v>12</v>
      </c>
      <c r="R1196" s="10" t="s">
        <v>27</v>
      </c>
      <c r="S1196" s="14" t="str">
        <f t="shared" si="18"/>
        <v>Week 5</v>
      </c>
    </row>
    <row r="1197" spans="1:19" x14ac:dyDescent="0.3">
      <c r="A1197" s="15" t="s">
        <v>1473</v>
      </c>
      <c r="B1197" s="16">
        <v>43098</v>
      </c>
      <c r="C1197" s="17" t="s">
        <v>304</v>
      </c>
      <c r="D1197" s="17" t="s">
        <v>21</v>
      </c>
      <c r="E1197" s="17" t="s">
        <v>191</v>
      </c>
      <c r="F1197" s="18">
        <v>7</v>
      </c>
      <c r="G1197" s="19">
        <v>227.8</v>
      </c>
      <c r="H1197" s="19">
        <v>1594.6000000000001</v>
      </c>
      <c r="I1197" s="20">
        <v>170.85</v>
      </c>
      <c r="J1197" s="17" t="s">
        <v>155</v>
      </c>
      <c r="K1197" s="17" t="s">
        <v>156</v>
      </c>
      <c r="L1197" s="17" t="s">
        <v>56</v>
      </c>
      <c r="M1197" s="19">
        <v>1195.95</v>
      </c>
      <c r="N1197" s="19">
        <v>398.64999999999901</v>
      </c>
      <c r="O1197" s="17">
        <v>24.999999999999901</v>
      </c>
      <c r="P1197" s="17" t="s">
        <v>26</v>
      </c>
      <c r="Q1197" s="17">
        <v>12</v>
      </c>
      <c r="R1197" s="17" t="s">
        <v>27</v>
      </c>
      <c r="S1197" s="14" t="str">
        <f t="shared" si="18"/>
        <v>Week 5</v>
      </c>
    </row>
    <row r="1198" spans="1:19" x14ac:dyDescent="0.3">
      <c r="A1198" s="8" t="s">
        <v>1474</v>
      </c>
      <c r="B1198" s="9">
        <v>43098</v>
      </c>
      <c r="C1198" s="10" t="s">
        <v>389</v>
      </c>
      <c r="D1198" s="10" t="s">
        <v>43</v>
      </c>
      <c r="E1198" s="10" t="s">
        <v>37</v>
      </c>
      <c r="F1198" s="11">
        <v>12</v>
      </c>
      <c r="G1198" s="12">
        <v>2914.5</v>
      </c>
      <c r="H1198" s="12">
        <v>34974</v>
      </c>
      <c r="I1198" s="13">
        <v>1311.5250000000001</v>
      </c>
      <c r="J1198" s="10" t="s">
        <v>45</v>
      </c>
      <c r="K1198" s="10" t="s">
        <v>46</v>
      </c>
      <c r="L1198" s="10" t="s">
        <v>34</v>
      </c>
      <c r="M1198" s="12">
        <v>15738.3</v>
      </c>
      <c r="N1198" s="12">
        <v>19235.699999999899</v>
      </c>
      <c r="O1198" s="10">
        <v>54.999999999999901</v>
      </c>
      <c r="P1198" s="10" t="s">
        <v>26</v>
      </c>
      <c r="Q1198" s="10">
        <v>12</v>
      </c>
      <c r="R1198" s="10" t="s">
        <v>27</v>
      </c>
      <c r="S1198" s="14" t="str">
        <f t="shared" si="18"/>
        <v>Week 5</v>
      </c>
    </row>
    <row r="1199" spans="1:19" x14ac:dyDescent="0.3">
      <c r="A1199" s="15" t="s">
        <v>852</v>
      </c>
      <c r="B1199" s="16">
        <v>43098</v>
      </c>
      <c r="C1199" s="17" t="s">
        <v>297</v>
      </c>
      <c r="D1199" s="17" t="s">
        <v>30</v>
      </c>
      <c r="E1199" s="17" t="s">
        <v>62</v>
      </c>
      <c r="F1199" s="18">
        <v>8</v>
      </c>
      <c r="G1199" s="19">
        <v>5929.5</v>
      </c>
      <c r="H1199" s="19">
        <v>47436</v>
      </c>
      <c r="I1199" s="20">
        <v>3913.47</v>
      </c>
      <c r="J1199" s="17" t="s">
        <v>266</v>
      </c>
      <c r="K1199" s="17" t="s">
        <v>267</v>
      </c>
      <c r="L1199" s="17" t="s">
        <v>34</v>
      </c>
      <c r="M1199" s="19">
        <v>31307.759999999998</v>
      </c>
      <c r="N1199" s="19">
        <v>16128.2399999999</v>
      </c>
      <c r="O1199" s="17">
        <v>34</v>
      </c>
      <c r="P1199" s="17" t="s">
        <v>26</v>
      </c>
      <c r="Q1199" s="17">
        <v>12</v>
      </c>
      <c r="R1199" s="17" t="s">
        <v>27</v>
      </c>
      <c r="S1199" s="14" t="str">
        <f t="shared" si="18"/>
        <v>Week 5</v>
      </c>
    </row>
    <row r="1200" spans="1:19" x14ac:dyDescent="0.3">
      <c r="A1200" s="8" t="s">
        <v>1475</v>
      </c>
      <c r="B1200" s="9">
        <v>43098</v>
      </c>
      <c r="C1200" s="10" t="s">
        <v>791</v>
      </c>
      <c r="D1200" s="10" t="s">
        <v>30</v>
      </c>
      <c r="E1200" s="10" t="s">
        <v>62</v>
      </c>
      <c r="F1200" s="11">
        <v>8</v>
      </c>
      <c r="G1200" s="12">
        <v>757.1</v>
      </c>
      <c r="H1200" s="12">
        <v>6056.8</v>
      </c>
      <c r="I1200" s="13">
        <v>499.68599999999998</v>
      </c>
      <c r="J1200" s="10" t="s">
        <v>218</v>
      </c>
      <c r="K1200" s="10" t="s">
        <v>219</v>
      </c>
      <c r="L1200" s="10" t="s">
        <v>34</v>
      </c>
      <c r="M1200" s="12">
        <v>3997.4879999999998</v>
      </c>
      <c r="N1200" s="12">
        <v>2059.3119999999999</v>
      </c>
      <c r="O1200" s="10">
        <v>34</v>
      </c>
      <c r="P1200" s="10" t="s">
        <v>26</v>
      </c>
      <c r="Q1200" s="10">
        <v>12</v>
      </c>
      <c r="R1200" s="10" t="s">
        <v>27</v>
      </c>
      <c r="S1200" s="14" t="str">
        <f t="shared" si="18"/>
        <v>Week 5</v>
      </c>
    </row>
    <row r="1201" spans="1:19" x14ac:dyDescent="0.3">
      <c r="A1201" s="15" t="s">
        <v>1476</v>
      </c>
      <c r="B1201" s="16">
        <v>43098</v>
      </c>
      <c r="C1201" s="17" t="s">
        <v>461</v>
      </c>
      <c r="D1201" s="17" t="s">
        <v>30</v>
      </c>
      <c r="E1201" s="17" t="s">
        <v>44</v>
      </c>
      <c r="F1201" s="18">
        <v>6</v>
      </c>
      <c r="G1201" s="19">
        <v>268</v>
      </c>
      <c r="H1201" s="19">
        <v>1608</v>
      </c>
      <c r="I1201" s="20">
        <v>152.76</v>
      </c>
      <c r="J1201" s="17" t="s">
        <v>766</v>
      </c>
      <c r="K1201" s="17" t="s">
        <v>767</v>
      </c>
      <c r="L1201" s="17" t="s">
        <v>56</v>
      </c>
      <c r="M1201" s="19">
        <v>916.56</v>
      </c>
      <c r="N1201" s="19">
        <v>691.44</v>
      </c>
      <c r="O1201" s="17">
        <v>43</v>
      </c>
      <c r="P1201" s="17" t="s">
        <v>26</v>
      </c>
      <c r="Q1201" s="17">
        <v>12</v>
      </c>
      <c r="R1201" s="17" t="s">
        <v>27</v>
      </c>
      <c r="S1201" s="14" t="str">
        <f t="shared" si="18"/>
        <v>Week 5</v>
      </c>
    </row>
    <row r="1202" spans="1:19" x14ac:dyDescent="0.3">
      <c r="A1202" s="8" t="s">
        <v>1477</v>
      </c>
      <c r="B1202" s="9">
        <v>43098</v>
      </c>
      <c r="C1202" s="10" t="s">
        <v>176</v>
      </c>
      <c r="D1202" s="10" t="s">
        <v>43</v>
      </c>
      <c r="E1202" s="10" t="s">
        <v>62</v>
      </c>
      <c r="F1202" s="11">
        <v>8</v>
      </c>
      <c r="G1202" s="12">
        <v>187.6</v>
      </c>
      <c r="H1202" s="12">
        <v>1500.8</v>
      </c>
      <c r="I1202" s="13">
        <v>121.94</v>
      </c>
      <c r="J1202" s="10" t="s">
        <v>204</v>
      </c>
      <c r="K1202" s="10" t="s">
        <v>205</v>
      </c>
      <c r="L1202" s="10" t="s">
        <v>34</v>
      </c>
      <c r="M1202" s="12">
        <v>975.52</v>
      </c>
      <c r="N1202" s="12">
        <v>525.28</v>
      </c>
      <c r="O1202" s="10">
        <v>35</v>
      </c>
      <c r="P1202" s="10" t="s">
        <v>26</v>
      </c>
      <c r="Q1202" s="10">
        <v>12</v>
      </c>
      <c r="R1202" s="10" t="s">
        <v>27</v>
      </c>
      <c r="S1202" s="14" t="str">
        <f t="shared" si="18"/>
        <v>Week 5</v>
      </c>
    </row>
    <row r="1203" spans="1:19" x14ac:dyDescent="0.3">
      <c r="A1203" s="15" t="s">
        <v>1478</v>
      </c>
      <c r="B1203" s="16">
        <v>43098</v>
      </c>
      <c r="C1203" s="17" t="s">
        <v>207</v>
      </c>
      <c r="D1203" s="17" t="s">
        <v>30</v>
      </c>
      <c r="E1203" s="17" t="s">
        <v>31</v>
      </c>
      <c r="F1203" s="18">
        <v>5</v>
      </c>
      <c r="G1203" s="19">
        <v>3859.2</v>
      </c>
      <c r="H1203" s="19">
        <v>19296</v>
      </c>
      <c r="I1203" s="20">
        <v>1620.864</v>
      </c>
      <c r="J1203" s="17" t="s">
        <v>766</v>
      </c>
      <c r="K1203" s="17" t="s">
        <v>767</v>
      </c>
      <c r="L1203" s="17" t="s">
        <v>56</v>
      </c>
      <c r="M1203" s="19">
        <v>8104.32</v>
      </c>
      <c r="N1203" s="19">
        <v>11191.68</v>
      </c>
      <c r="O1203" s="17">
        <v>57.999999999999901</v>
      </c>
      <c r="P1203" s="17" t="s">
        <v>26</v>
      </c>
      <c r="Q1203" s="17">
        <v>12</v>
      </c>
      <c r="R1203" s="17" t="s">
        <v>27</v>
      </c>
      <c r="S1203" s="14" t="str">
        <f t="shared" si="18"/>
        <v>Week 5</v>
      </c>
    </row>
    <row r="1204" spans="1:19" x14ac:dyDescent="0.3">
      <c r="A1204" s="8" t="s">
        <v>1479</v>
      </c>
      <c r="B1204" s="9">
        <v>43098</v>
      </c>
      <c r="C1204" s="10" t="s">
        <v>408</v>
      </c>
      <c r="D1204" s="10" t="s">
        <v>21</v>
      </c>
      <c r="E1204" s="10" t="s">
        <v>418</v>
      </c>
      <c r="F1204" s="11">
        <v>12</v>
      </c>
      <c r="G1204" s="12">
        <v>1963.1</v>
      </c>
      <c r="H1204" s="12">
        <v>23557.199999999997</v>
      </c>
      <c r="I1204" s="13">
        <v>1217.1220000000001</v>
      </c>
      <c r="J1204" s="10" t="s">
        <v>23</v>
      </c>
      <c r="K1204" s="10" t="s">
        <v>24</v>
      </c>
      <c r="L1204" s="10" t="s">
        <v>25</v>
      </c>
      <c r="M1204" s="12">
        <v>14605.464</v>
      </c>
      <c r="N1204" s="12">
        <v>8951.7360000000008</v>
      </c>
      <c r="O1204" s="10">
        <v>38</v>
      </c>
      <c r="P1204" s="10" t="s">
        <v>26</v>
      </c>
      <c r="Q1204" s="10">
        <v>12</v>
      </c>
      <c r="R1204" s="10" t="s">
        <v>27</v>
      </c>
      <c r="S1204" s="14" t="str">
        <f t="shared" si="18"/>
        <v>Week 5</v>
      </c>
    </row>
    <row r="1205" spans="1:19" x14ac:dyDescent="0.3">
      <c r="A1205" s="15" t="s">
        <v>1480</v>
      </c>
      <c r="B1205" s="16">
        <v>43098</v>
      </c>
      <c r="C1205" s="17" t="s">
        <v>543</v>
      </c>
      <c r="D1205" s="17" t="s">
        <v>21</v>
      </c>
      <c r="E1205" s="17" t="s">
        <v>103</v>
      </c>
      <c r="F1205" s="18">
        <v>11</v>
      </c>
      <c r="G1205" s="19">
        <v>1051.9000000000001</v>
      </c>
      <c r="H1205" s="19">
        <v>11570.900000000001</v>
      </c>
      <c r="I1205" s="20">
        <v>725.81100000000004</v>
      </c>
      <c r="J1205" s="17" t="s">
        <v>204</v>
      </c>
      <c r="K1205" s="17" t="s">
        <v>205</v>
      </c>
      <c r="L1205" s="17" t="s">
        <v>34</v>
      </c>
      <c r="M1205" s="19">
        <v>7983.9210000000003</v>
      </c>
      <c r="N1205" s="19">
        <v>3586.9789999999998</v>
      </c>
      <c r="O1205" s="17">
        <v>31</v>
      </c>
      <c r="P1205" s="17" t="s">
        <v>26</v>
      </c>
      <c r="Q1205" s="17">
        <v>12</v>
      </c>
      <c r="R1205" s="17" t="s">
        <v>27</v>
      </c>
      <c r="S1205" s="14" t="str">
        <f t="shared" si="18"/>
        <v>Week 5</v>
      </c>
    </row>
    <row r="1206" spans="1:19" x14ac:dyDescent="0.3">
      <c r="A1206" s="8" t="s">
        <v>1481</v>
      </c>
      <c r="B1206" s="9">
        <v>43098</v>
      </c>
      <c r="C1206" s="10" t="s">
        <v>478</v>
      </c>
      <c r="D1206" s="10" t="s">
        <v>21</v>
      </c>
      <c r="E1206" s="10" t="s">
        <v>103</v>
      </c>
      <c r="F1206" s="11">
        <v>9</v>
      </c>
      <c r="G1206" s="12">
        <v>1072</v>
      </c>
      <c r="H1206" s="12">
        <v>9648</v>
      </c>
      <c r="I1206" s="13">
        <v>600.32000000000005</v>
      </c>
      <c r="J1206" s="10" t="s">
        <v>405</v>
      </c>
      <c r="K1206" s="10" t="s">
        <v>406</v>
      </c>
      <c r="L1206" s="10" t="s">
        <v>56</v>
      </c>
      <c r="M1206" s="12">
        <v>5402.88</v>
      </c>
      <c r="N1206" s="12">
        <v>4245.12</v>
      </c>
      <c r="O1206" s="10">
        <v>44</v>
      </c>
      <c r="P1206" s="10" t="s">
        <v>26</v>
      </c>
      <c r="Q1206" s="10">
        <v>12</v>
      </c>
      <c r="R1206" s="10" t="s">
        <v>27</v>
      </c>
      <c r="S1206" s="14" t="str">
        <f t="shared" si="18"/>
        <v>Week 5</v>
      </c>
    </row>
    <row r="1207" spans="1:19" x14ac:dyDescent="0.3">
      <c r="A1207" s="15" t="s">
        <v>376</v>
      </c>
      <c r="B1207" s="16">
        <v>43098</v>
      </c>
      <c r="C1207" s="17" t="s">
        <v>109</v>
      </c>
      <c r="D1207" s="17" t="s">
        <v>21</v>
      </c>
      <c r="E1207" s="17" t="s">
        <v>197</v>
      </c>
      <c r="F1207" s="18">
        <v>9</v>
      </c>
      <c r="G1207" s="19">
        <v>1273</v>
      </c>
      <c r="H1207" s="19">
        <v>11457</v>
      </c>
      <c r="I1207" s="20">
        <v>1069.32</v>
      </c>
      <c r="J1207" s="17" t="s">
        <v>436</v>
      </c>
      <c r="K1207" s="17" t="s">
        <v>437</v>
      </c>
      <c r="L1207" s="17" t="s">
        <v>25</v>
      </c>
      <c r="M1207" s="19">
        <v>9623.8799999999992</v>
      </c>
      <c r="N1207" s="19">
        <v>1833.12</v>
      </c>
      <c r="O1207" s="17">
        <v>16</v>
      </c>
      <c r="P1207" s="17" t="s">
        <v>26</v>
      </c>
      <c r="Q1207" s="17">
        <v>12</v>
      </c>
      <c r="R1207" s="17" t="s">
        <v>27</v>
      </c>
      <c r="S1207" s="14" t="str">
        <f t="shared" si="18"/>
        <v>Week 5</v>
      </c>
    </row>
    <row r="1208" spans="1:19" x14ac:dyDescent="0.3">
      <c r="A1208" s="8" t="s">
        <v>1482</v>
      </c>
      <c r="B1208" s="9">
        <v>43098</v>
      </c>
      <c r="C1208" s="10" t="s">
        <v>294</v>
      </c>
      <c r="D1208" s="10" t="s">
        <v>43</v>
      </c>
      <c r="E1208" s="10" t="s">
        <v>31</v>
      </c>
      <c r="F1208" s="11">
        <v>7</v>
      </c>
      <c r="G1208" s="12">
        <v>1085.4000000000001</v>
      </c>
      <c r="H1208" s="12">
        <v>7597.8000000000011</v>
      </c>
      <c r="I1208" s="13">
        <v>792.34199999999998</v>
      </c>
      <c r="J1208" s="10" t="s">
        <v>23</v>
      </c>
      <c r="K1208" s="10" t="s">
        <v>24</v>
      </c>
      <c r="L1208" s="10" t="s">
        <v>25</v>
      </c>
      <c r="M1208" s="12">
        <v>5546.3940000000002</v>
      </c>
      <c r="N1208" s="12">
        <v>2051.4059999999999</v>
      </c>
      <c r="O1208" s="10">
        <v>27</v>
      </c>
      <c r="P1208" s="10" t="s">
        <v>26</v>
      </c>
      <c r="Q1208" s="10">
        <v>12</v>
      </c>
      <c r="R1208" s="10" t="s">
        <v>27</v>
      </c>
      <c r="S1208" s="14" t="str">
        <f t="shared" si="18"/>
        <v>Week 5</v>
      </c>
    </row>
    <row r="1209" spans="1:19" x14ac:dyDescent="0.3">
      <c r="A1209" s="15" t="s">
        <v>1483</v>
      </c>
      <c r="B1209" s="16">
        <v>43098</v>
      </c>
      <c r="C1209" s="17" t="s">
        <v>570</v>
      </c>
      <c r="D1209" s="17" t="s">
        <v>30</v>
      </c>
      <c r="E1209" s="17" t="s">
        <v>127</v>
      </c>
      <c r="F1209" s="18">
        <v>12</v>
      </c>
      <c r="G1209" s="19">
        <v>2244.5</v>
      </c>
      <c r="H1209" s="19">
        <v>26934</v>
      </c>
      <c r="I1209" s="20">
        <v>1122.25</v>
      </c>
      <c r="J1209" s="17" t="s">
        <v>54</v>
      </c>
      <c r="K1209" s="17" t="s">
        <v>55</v>
      </c>
      <c r="L1209" s="17" t="s">
        <v>56</v>
      </c>
      <c r="M1209" s="19">
        <v>13467</v>
      </c>
      <c r="N1209" s="19">
        <v>13467</v>
      </c>
      <c r="O1209" s="17">
        <v>50</v>
      </c>
      <c r="P1209" s="17" t="s">
        <v>26</v>
      </c>
      <c r="Q1209" s="17">
        <v>12</v>
      </c>
      <c r="R1209" s="17" t="s">
        <v>27</v>
      </c>
      <c r="S1209" s="14" t="str">
        <f t="shared" si="18"/>
        <v>Week 5</v>
      </c>
    </row>
    <row r="1210" spans="1:19" x14ac:dyDescent="0.3">
      <c r="A1210" s="8" t="s">
        <v>897</v>
      </c>
      <c r="B1210" s="9">
        <v>43098</v>
      </c>
      <c r="C1210" s="10" t="s">
        <v>138</v>
      </c>
      <c r="D1210" s="10" t="s">
        <v>21</v>
      </c>
      <c r="E1210" s="10" t="s">
        <v>62</v>
      </c>
      <c r="F1210" s="11">
        <v>5</v>
      </c>
      <c r="G1210" s="12">
        <v>3912.8</v>
      </c>
      <c r="H1210" s="12">
        <v>19564</v>
      </c>
      <c r="I1210" s="13">
        <v>1956.4</v>
      </c>
      <c r="J1210" s="10" t="s">
        <v>212</v>
      </c>
      <c r="K1210" s="10" t="s">
        <v>213</v>
      </c>
      <c r="L1210" s="10" t="s">
        <v>34</v>
      </c>
      <c r="M1210" s="12">
        <v>9782</v>
      </c>
      <c r="N1210" s="12">
        <v>9782</v>
      </c>
      <c r="O1210" s="10">
        <v>50</v>
      </c>
      <c r="P1210" s="10" t="s">
        <v>26</v>
      </c>
      <c r="Q1210" s="10">
        <v>12</v>
      </c>
      <c r="R1210" s="10" t="s">
        <v>27</v>
      </c>
      <c r="S1210" s="14" t="str">
        <f t="shared" si="18"/>
        <v>Week 5</v>
      </c>
    </row>
    <row r="1211" spans="1:19" x14ac:dyDescent="0.3">
      <c r="A1211" s="15" t="s">
        <v>1484</v>
      </c>
      <c r="B1211" s="16">
        <v>43098</v>
      </c>
      <c r="C1211" s="17" t="s">
        <v>509</v>
      </c>
      <c r="D1211" s="17" t="s">
        <v>30</v>
      </c>
      <c r="E1211" s="17" t="s">
        <v>191</v>
      </c>
      <c r="F1211" s="18">
        <v>7</v>
      </c>
      <c r="G1211" s="19">
        <v>1715.2</v>
      </c>
      <c r="H1211" s="19">
        <v>12006.4</v>
      </c>
      <c r="I1211" s="20">
        <v>788.99199999999996</v>
      </c>
      <c r="J1211" s="17" t="s">
        <v>54</v>
      </c>
      <c r="K1211" s="17" t="s">
        <v>55</v>
      </c>
      <c r="L1211" s="17" t="s">
        <v>56</v>
      </c>
      <c r="M1211" s="19">
        <v>5522.9440000000004</v>
      </c>
      <c r="N1211" s="19">
        <v>6483.4559999999901</v>
      </c>
      <c r="O1211" s="17">
        <v>53.999999999999901</v>
      </c>
      <c r="P1211" s="17" t="s">
        <v>26</v>
      </c>
      <c r="Q1211" s="17">
        <v>12</v>
      </c>
      <c r="R1211" s="17" t="s">
        <v>27</v>
      </c>
      <c r="S1211" s="14" t="str">
        <f t="shared" si="18"/>
        <v>Week 5</v>
      </c>
    </row>
    <row r="1212" spans="1:19" x14ac:dyDescent="0.3">
      <c r="A1212" s="8" t="s">
        <v>1485</v>
      </c>
      <c r="B1212" s="9">
        <v>43098</v>
      </c>
      <c r="C1212" s="10" t="s">
        <v>378</v>
      </c>
      <c r="D1212" s="10" t="s">
        <v>21</v>
      </c>
      <c r="E1212" s="10" t="s">
        <v>31</v>
      </c>
      <c r="F1212" s="11">
        <v>7</v>
      </c>
      <c r="G1212" s="12">
        <v>917.9</v>
      </c>
      <c r="H1212" s="12">
        <v>6425.3</v>
      </c>
      <c r="I1212" s="13">
        <v>578.27700000000004</v>
      </c>
      <c r="J1212" s="10" t="s">
        <v>614</v>
      </c>
      <c r="K1212" s="10" t="s">
        <v>615</v>
      </c>
      <c r="L1212" s="10" t="s">
        <v>34</v>
      </c>
      <c r="M1212" s="12">
        <v>4047.9389999999999</v>
      </c>
      <c r="N1212" s="12">
        <v>2377.3609999999999</v>
      </c>
      <c r="O1212" s="10">
        <v>37</v>
      </c>
      <c r="P1212" s="10" t="s">
        <v>26</v>
      </c>
      <c r="Q1212" s="10">
        <v>12</v>
      </c>
      <c r="R1212" s="10" t="s">
        <v>27</v>
      </c>
      <c r="S1212" s="14" t="str">
        <f t="shared" si="18"/>
        <v>Week 5</v>
      </c>
    </row>
    <row r="1213" spans="1:19" x14ac:dyDescent="0.3">
      <c r="A1213" s="15" t="s">
        <v>1486</v>
      </c>
      <c r="B1213" s="16">
        <v>43098</v>
      </c>
      <c r="C1213" s="17" t="s">
        <v>356</v>
      </c>
      <c r="D1213" s="17" t="s">
        <v>43</v>
      </c>
      <c r="E1213" s="17" t="s">
        <v>31</v>
      </c>
      <c r="F1213" s="18">
        <v>6</v>
      </c>
      <c r="G1213" s="19">
        <v>1735.3</v>
      </c>
      <c r="H1213" s="19">
        <v>10411.799999999999</v>
      </c>
      <c r="I1213" s="20">
        <v>850.296999999999</v>
      </c>
      <c r="J1213" s="17" t="s">
        <v>32</v>
      </c>
      <c r="K1213" s="17" t="s">
        <v>33</v>
      </c>
      <c r="L1213" s="17" t="s">
        <v>34</v>
      </c>
      <c r="M1213" s="19">
        <v>5101.7819999999901</v>
      </c>
      <c r="N1213" s="19">
        <v>5310.018</v>
      </c>
      <c r="O1213" s="17">
        <v>51</v>
      </c>
      <c r="P1213" s="17" t="s">
        <v>26</v>
      </c>
      <c r="Q1213" s="17">
        <v>12</v>
      </c>
      <c r="R1213" s="17" t="s">
        <v>27</v>
      </c>
      <c r="S1213" s="14" t="str">
        <f t="shared" si="18"/>
        <v>Week 5</v>
      </c>
    </row>
    <row r="1214" spans="1:19" x14ac:dyDescent="0.3">
      <c r="A1214" s="8" t="s">
        <v>1487</v>
      </c>
      <c r="B1214" s="9">
        <v>43098</v>
      </c>
      <c r="C1214" s="10" t="s">
        <v>435</v>
      </c>
      <c r="D1214" s="10" t="s">
        <v>30</v>
      </c>
      <c r="E1214" s="10" t="s">
        <v>115</v>
      </c>
      <c r="F1214" s="11">
        <v>5</v>
      </c>
      <c r="G1214" s="12">
        <v>830.8</v>
      </c>
      <c r="H1214" s="12">
        <v>4154</v>
      </c>
      <c r="I1214" s="13">
        <v>407.09199999999998</v>
      </c>
      <c r="J1214" s="10" t="s">
        <v>257</v>
      </c>
      <c r="K1214" s="10" t="s">
        <v>258</v>
      </c>
      <c r="L1214" s="10" t="s">
        <v>25</v>
      </c>
      <c r="M1214" s="12">
        <v>2035.46</v>
      </c>
      <c r="N1214" s="12">
        <v>2118.54</v>
      </c>
      <c r="O1214" s="10">
        <v>51</v>
      </c>
      <c r="P1214" s="10" t="s">
        <v>26</v>
      </c>
      <c r="Q1214" s="10">
        <v>12</v>
      </c>
      <c r="R1214" s="10" t="s">
        <v>27</v>
      </c>
      <c r="S1214" s="14" t="str">
        <f t="shared" si="18"/>
        <v>Week 5</v>
      </c>
    </row>
    <row r="1215" spans="1:19" x14ac:dyDescent="0.3">
      <c r="A1215" s="15" t="s">
        <v>1488</v>
      </c>
      <c r="B1215" s="16">
        <v>43098</v>
      </c>
      <c r="C1215" s="17" t="s">
        <v>837</v>
      </c>
      <c r="D1215" s="17" t="s">
        <v>43</v>
      </c>
      <c r="E1215" s="17" t="s">
        <v>127</v>
      </c>
      <c r="F1215" s="18">
        <v>6</v>
      </c>
      <c r="G1215" s="19">
        <v>1842.5</v>
      </c>
      <c r="H1215" s="19">
        <v>11055</v>
      </c>
      <c r="I1215" s="20">
        <v>1050.2249999999999</v>
      </c>
      <c r="J1215" s="17" t="s">
        <v>32</v>
      </c>
      <c r="K1215" s="17" t="s">
        <v>33</v>
      </c>
      <c r="L1215" s="17" t="s">
        <v>34</v>
      </c>
      <c r="M1215" s="19">
        <v>6301.3499999999904</v>
      </c>
      <c r="N1215" s="19">
        <v>4753.6499999999996</v>
      </c>
      <c r="O1215" s="17">
        <v>43</v>
      </c>
      <c r="P1215" s="17" t="s">
        <v>26</v>
      </c>
      <c r="Q1215" s="17">
        <v>12</v>
      </c>
      <c r="R1215" s="17" t="s">
        <v>27</v>
      </c>
      <c r="S1215" s="14" t="str">
        <f t="shared" si="18"/>
        <v>Week 5</v>
      </c>
    </row>
    <row r="1216" spans="1:19" x14ac:dyDescent="0.3">
      <c r="A1216" s="8" t="s">
        <v>1489</v>
      </c>
      <c r="B1216" s="9">
        <v>43098</v>
      </c>
      <c r="C1216" s="10" t="s">
        <v>568</v>
      </c>
      <c r="D1216" s="10" t="s">
        <v>30</v>
      </c>
      <c r="E1216" s="10" t="s">
        <v>146</v>
      </c>
      <c r="F1216" s="11">
        <v>9</v>
      </c>
      <c r="G1216" s="12">
        <v>247.9</v>
      </c>
      <c r="H1216" s="12">
        <v>2231.1</v>
      </c>
      <c r="I1216" s="13">
        <v>151.21899999999999</v>
      </c>
      <c r="J1216" s="10" t="s">
        <v>637</v>
      </c>
      <c r="K1216" s="10" t="s">
        <v>638</v>
      </c>
      <c r="L1216" s="10" t="s">
        <v>40</v>
      </c>
      <c r="M1216" s="12">
        <v>1360.971</v>
      </c>
      <c r="N1216" s="12">
        <v>870.128999999999</v>
      </c>
      <c r="O1216" s="10">
        <v>38.999999999999901</v>
      </c>
      <c r="P1216" s="10" t="s">
        <v>26</v>
      </c>
      <c r="Q1216" s="10">
        <v>12</v>
      </c>
      <c r="R1216" s="10" t="s">
        <v>27</v>
      </c>
      <c r="S1216" s="14" t="str">
        <f t="shared" si="18"/>
        <v>Week 5</v>
      </c>
    </row>
    <row r="1217" spans="1:19" x14ac:dyDescent="0.3">
      <c r="A1217" s="15" t="s">
        <v>1490</v>
      </c>
      <c r="B1217" s="16">
        <v>43098</v>
      </c>
      <c r="C1217" s="17" t="s">
        <v>75</v>
      </c>
      <c r="D1217" s="17" t="s">
        <v>30</v>
      </c>
      <c r="E1217" s="17" t="s">
        <v>73</v>
      </c>
      <c r="F1217" s="18">
        <v>6</v>
      </c>
      <c r="G1217" s="19">
        <v>2586.1999999999998</v>
      </c>
      <c r="H1217" s="19">
        <v>15517.199999999999</v>
      </c>
      <c r="I1217" s="20">
        <v>2172.4079999999999</v>
      </c>
      <c r="J1217" s="17" t="s">
        <v>116</v>
      </c>
      <c r="K1217" s="17" t="s">
        <v>117</v>
      </c>
      <c r="L1217" s="17" t="s">
        <v>40</v>
      </c>
      <c r="M1217" s="19">
        <v>13034.448</v>
      </c>
      <c r="N1217" s="19">
        <v>2482.7519999999899</v>
      </c>
      <c r="O1217" s="17">
        <v>15.999999999999901</v>
      </c>
      <c r="P1217" s="17" t="s">
        <v>26</v>
      </c>
      <c r="Q1217" s="17">
        <v>12</v>
      </c>
      <c r="R1217" s="17" t="s">
        <v>27</v>
      </c>
      <c r="S1217" s="14" t="str">
        <f t="shared" si="18"/>
        <v>Week 5</v>
      </c>
    </row>
    <row r="1218" spans="1:19" x14ac:dyDescent="0.3">
      <c r="A1218" s="8" t="s">
        <v>1491</v>
      </c>
      <c r="B1218" s="9">
        <v>43098</v>
      </c>
      <c r="C1218" s="10" t="s">
        <v>58</v>
      </c>
      <c r="D1218" s="10" t="s">
        <v>21</v>
      </c>
      <c r="E1218" s="10" t="s">
        <v>230</v>
      </c>
      <c r="F1218" s="11">
        <v>5</v>
      </c>
      <c r="G1218" s="12">
        <v>2599.6</v>
      </c>
      <c r="H1218" s="12">
        <v>12998</v>
      </c>
      <c r="I1218" s="13">
        <v>1637.748</v>
      </c>
      <c r="J1218" s="10" t="s">
        <v>32</v>
      </c>
      <c r="K1218" s="10" t="s">
        <v>33</v>
      </c>
      <c r="L1218" s="10" t="s">
        <v>34</v>
      </c>
      <c r="M1218" s="12">
        <v>8188.74</v>
      </c>
      <c r="N1218" s="12">
        <v>4809.26</v>
      </c>
      <c r="O1218" s="10">
        <v>37</v>
      </c>
      <c r="P1218" s="10" t="s">
        <v>26</v>
      </c>
      <c r="Q1218" s="10">
        <v>12</v>
      </c>
      <c r="R1218" s="10" t="s">
        <v>27</v>
      </c>
      <c r="S1218" s="14" t="str">
        <f t="shared" si="18"/>
        <v>Week 5</v>
      </c>
    </row>
    <row r="1219" spans="1:19" x14ac:dyDescent="0.3">
      <c r="A1219" s="15" t="s">
        <v>1492</v>
      </c>
      <c r="B1219" s="16">
        <v>43098</v>
      </c>
      <c r="C1219" s="17" t="s">
        <v>172</v>
      </c>
      <c r="D1219" s="17" t="s">
        <v>30</v>
      </c>
      <c r="E1219" s="17" t="s">
        <v>103</v>
      </c>
      <c r="F1219" s="18">
        <v>10</v>
      </c>
      <c r="G1219" s="19">
        <v>187.6</v>
      </c>
      <c r="H1219" s="19">
        <v>1876</v>
      </c>
      <c r="I1219" s="20">
        <v>75.040000000000006</v>
      </c>
      <c r="J1219" s="17" t="s">
        <v>54</v>
      </c>
      <c r="K1219" s="17" t="s">
        <v>55</v>
      </c>
      <c r="L1219" s="17" t="s">
        <v>56</v>
      </c>
      <c r="M1219" s="19">
        <v>750.4</v>
      </c>
      <c r="N1219" s="19">
        <v>1125.5999999999999</v>
      </c>
      <c r="O1219" s="17">
        <v>60</v>
      </c>
      <c r="P1219" s="17" t="s">
        <v>26</v>
      </c>
      <c r="Q1219" s="17">
        <v>12</v>
      </c>
      <c r="R1219" s="17" t="s">
        <v>27</v>
      </c>
      <c r="S1219" s="14" t="str">
        <f t="shared" ref="S1219:S1282" si="19">"Week "&amp;INT((DAY(B1219)-1)/7)+1</f>
        <v>Week 5</v>
      </c>
    </row>
    <row r="1220" spans="1:19" x14ac:dyDescent="0.3">
      <c r="A1220" s="8" t="s">
        <v>1493</v>
      </c>
      <c r="B1220" s="9">
        <v>43098</v>
      </c>
      <c r="C1220" s="10" t="s">
        <v>174</v>
      </c>
      <c r="D1220" s="10" t="s">
        <v>30</v>
      </c>
      <c r="E1220" s="10" t="s">
        <v>120</v>
      </c>
      <c r="F1220" s="11">
        <v>9</v>
      </c>
      <c r="G1220" s="12">
        <v>3852.5</v>
      </c>
      <c r="H1220" s="12">
        <v>34672.5</v>
      </c>
      <c r="I1220" s="13">
        <v>2311.5</v>
      </c>
      <c r="J1220" s="10" t="s">
        <v>23</v>
      </c>
      <c r="K1220" s="10" t="s">
        <v>24</v>
      </c>
      <c r="L1220" s="10" t="s">
        <v>25</v>
      </c>
      <c r="M1220" s="12">
        <v>20803.5</v>
      </c>
      <c r="N1220" s="12">
        <v>13869</v>
      </c>
      <c r="O1220" s="10">
        <v>40</v>
      </c>
      <c r="P1220" s="10" t="s">
        <v>26</v>
      </c>
      <c r="Q1220" s="10">
        <v>12</v>
      </c>
      <c r="R1220" s="10" t="s">
        <v>27</v>
      </c>
      <c r="S1220" s="14" t="str">
        <f t="shared" si="19"/>
        <v>Week 5</v>
      </c>
    </row>
    <row r="1221" spans="1:19" x14ac:dyDescent="0.3">
      <c r="A1221" s="15" t="s">
        <v>1494</v>
      </c>
      <c r="B1221" s="16">
        <v>43099</v>
      </c>
      <c r="C1221" s="17" t="s">
        <v>154</v>
      </c>
      <c r="D1221" s="17" t="s">
        <v>21</v>
      </c>
      <c r="E1221" s="17" t="s">
        <v>31</v>
      </c>
      <c r="F1221" s="18">
        <v>12</v>
      </c>
      <c r="G1221" s="19">
        <v>1092.0999999999999</v>
      </c>
      <c r="H1221" s="19">
        <v>13105.199999999999</v>
      </c>
      <c r="I1221" s="20">
        <v>589.73400000000004</v>
      </c>
      <c r="J1221" s="17" t="s">
        <v>23</v>
      </c>
      <c r="K1221" s="17" t="s">
        <v>24</v>
      </c>
      <c r="L1221" s="17" t="s">
        <v>25</v>
      </c>
      <c r="M1221" s="19">
        <v>7076.808</v>
      </c>
      <c r="N1221" s="19">
        <v>6028.3919999999898</v>
      </c>
      <c r="O1221" s="17">
        <v>45.999999999999901</v>
      </c>
      <c r="P1221" s="17" t="s">
        <v>26</v>
      </c>
      <c r="Q1221" s="17">
        <v>12</v>
      </c>
      <c r="R1221" s="17" t="s">
        <v>27</v>
      </c>
      <c r="S1221" s="14" t="str">
        <f t="shared" si="19"/>
        <v>Week 5</v>
      </c>
    </row>
    <row r="1222" spans="1:19" x14ac:dyDescent="0.3">
      <c r="A1222" s="8" t="s">
        <v>1495</v>
      </c>
      <c r="B1222" s="9">
        <v>43099</v>
      </c>
      <c r="C1222" s="10" t="s">
        <v>107</v>
      </c>
      <c r="D1222" s="10" t="s">
        <v>43</v>
      </c>
      <c r="E1222" s="10" t="s">
        <v>115</v>
      </c>
      <c r="F1222" s="11">
        <v>11</v>
      </c>
      <c r="G1222" s="12">
        <v>2619.6999999999998</v>
      </c>
      <c r="H1222" s="12">
        <v>28816.699999999997</v>
      </c>
      <c r="I1222" s="13">
        <v>1231.259</v>
      </c>
      <c r="J1222" s="10" t="s">
        <v>54</v>
      </c>
      <c r="K1222" s="10" t="s">
        <v>55</v>
      </c>
      <c r="L1222" s="10" t="s">
        <v>56</v>
      </c>
      <c r="M1222" s="12">
        <v>13543.849</v>
      </c>
      <c r="N1222" s="12">
        <v>15272.851000000001</v>
      </c>
      <c r="O1222" s="10">
        <v>53</v>
      </c>
      <c r="P1222" s="10" t="s">
        <v>26</v>
      </c>
      <c r="Q1222" s="10">
        <v>12</v>
      </c>
      <c r="R1222" s="10" t="s">
        <v>27</v>
      </c>
      <c r="S1222" s="14" t="str">
        <f t="shared" si="19"/>
        <v>Week 5</v>
      </c>
    </row>
    <row r="1223" spans="1:19" x14ac:dyDescent="0.3">
      <c r="A1223" s="15" t="s">
        <v>1496</v>
      </c>
      <c r="B1223" s="16">
        <v>43099</v>
      </c>
      <c r="C1223" s="17" t="s">
        <v>640</v>
      </c>
      <c r="D1223" s="17" t="s">
        <v>30</v>
      </c>
      <c r="E1223" s="17" t="s">
        <v>62</v>
      </c>
      <c r="F1223" s="18">
        <v>12</v>
      </c>
      <c r="G1223" s="19">
        <v>167.5</v>
      </c>
      <c r="H1223" s="19">
        <v>2010</v>
      </c>
      <c r="I1223" s="20">
        <v>68.674999999999997</v>
      </c>
      <c r="J1223" s="17" t="s">
        <v>76</v>
      </c>
      <c r="K1223" s="17" t="s">
        <v>77</v>
      </c>
      <c r="L1223" s="17" t="s">
        <v>56</v>
      </c>
      <c r="M1223" s="19">
        <v>824.099999999999</v>
      </c>
      <c r="N1223" s="19">
        <v>1185.9000000000001</v>
      </c>
      <c r="O1223" s="17">
        <v>59</v>
      </c>
      <c r="P1223" s="17" t="s">
        <v>26</v>
      </c>
      <c r="Q1223" s="17">
        <v>12</v>
      </c>
      <c r="R1223" s="17" t="s">
        <v>27</v>
      </c>
      <c r="S1223" s="14" t="str">
        <f t="shared" si="19"/>
        <v>Week 5</v>
      </c>
    </row>
    <row r="1224" spans="1:19" x14ac:dyDescent="0.3">
      <c r="A1224" s="8" t="s">
        <v>1497</v>
      </c>
      <c r="B1224" s="9">
        <v>43099</v>
      </c>
      <c r="C1224" s="10" t="s">
        <v>124</v>
      </c>
      <c r="D1224" s="10" t="s">
        <v>43</v>
      </c>
      <c r="E1224" s="10" t="s">
        <v>115</v>
      </c>
      <c r="F1224" s="11">
        <v>5</v>
      </c>
      <c r="G1224" s="12">
        <v>2003.3</v>
      </c>
      <c r="H1224" s="12">
        <v>10016.5</v>
      </c>
      <c r="I1224" s="13">
        <v>1161.914</v>
      </c>
      <c r="J1224" s="10" t="s">
        <v>32</v>
      </c>
      <c r="K1224" s="10" t="s">
        <v>33</v>
      </c>
      <c r="L1224" s="10" t="s">
        <v>34</v>
      </c>
      <c r="M1224" s="12">
        <v>5809.57</v>
      </c>
      <c r="N1224" s="12">
        <v>4206.93</v>
      </c>
      <c r="O1224" s="10">
        <v>42</v>
      </c>
      <c r="P1224" s="10" t="s">
        <v>26</v>
      </c>
      <c r="Q1224" s="10">
        <v>12</v>
      </c>
      <c r="R1224" s="10" t="s">
        <v>27</v>
      </c>
      <c r="S1224" s="14" t="str">
        <f t="shared" si="19"/>
        <v>Week 5</v>
      </c>
    </row>
    <row r="1225" spans="1:19" x14ac:dyDescent="0.3">
      <c r="A1225" s="15" t="s">
        <v>1498</v>
      </c>
      <c r="B1225" s="16">
        <v>43099</v>
      </c>
      <c r="C1225" s="17" t="s">
        <v>273</v>
      </c>
      <c r="D1225" s="17" t="s">
        <v>21</v>
      </c>
      <c r="E1225" s="17" t="s">
        <v>91</v>
      </c>
      <c r="F1225" s="18">
        <v>5</v>
      </c>
      <c r="G1225" s="19">
        <v>1232.8</v>
      </c>
      <c r="H1225" s="19">
        <v>6164</v>
      </c>
      <c r="I1225" s="20">
        <v>715.02399999999898</v>
      </c>
      <c r="J1225" s="17" t="s">
        <v>132</v>
      </c>
      <c r="K1225" s="17" t="s">
        <v>133</v>
      </c>
      <c r="L1225" s="17" t="s">
        <v>34</v>
      </c>
      <c r="M1225" s="19">
        <v>3575.1199999999899</v>
      </c>
      <c r="N1225" s="19">
        <v>2588.88</v>
      </c>
      <c r="O1225" s="17">
        <v>42</v>
      </c>
      <c r="P1225" s="17" t="s">
        <v>26</v>
      </c>
      <c r="Q1225" s="17">
        <v>12</v>
      </c>
      <c r="R1225" s="17" t="s">
        <v>27</v>
      </c>
      <c r="S1225" s="14" t="str">
        <f t="shared" si="19"/>
        <v>Week 5</v>
      </c>
    </row>
    <row r="1226" spans="1:19" x14ac:dyDescent="0.3">
      <c r="A1226" s="8" t="s">
        <v>1499</v>
      </c>
      <c r="B1226" s="9">
        <v>43099</v>
      </c>
      <c r="C1226" s="10" t="s">
        <v>384</v>
      </c>
      <c r="D1226" s="10" t="s">
        <v>30</v>
      </c>
      <c r="E1226" s="10" t="s">
        <v>93</v>
      </c>
      <c r="F1226" s="11">
        <v>6</v>
      </c>
      <c r="G1226" s="12">
        <v>1232.8</v>
      </c>
      <c r="H1226" s="12">
        <v>7396.7999999999993</v>
      </c>
      <c r="I1226" s="13">
        <v>850.63199999999995</v>
      </c>
      <c r="J1226" s="10" t="s">
        <v>76</v>
      </c>
      <c r="K1226" s="10" t="s">
        <v>77</v>
      </c>
      <c r="L1226" s="10" t="s">
        <v>56</v>
      </c>
      <c r="M1226" s="12">
        <v>5103.7919999999904</v>
      </c>
      <c r="N1226" s="12">
        <v>2293.0079999999998</v>
      </c>
      <c r="O1226" s="10">
        <v>31</v>
      </c>
      <c r="P1226" s="10" t="s">
        <v>26</v>
      </c>
      <c r="Q1226" s="10">
        <v>12</v>
      </c>
      <c r="R1226" s="10" t="s">
        <v>27</v>
      </c>
      <c r="S1226" s="14" t="str">
        <f t="shared" si="19"/>
        <v>Week 5</v>
      </c>
    </row>
    <row r="1227" spans="1:19" x14ac:dyDescent="0.3">
      <c r="A1227" s="15" t="s">
        <v>1500</v>
      </c>
      <c r="B1227" s="16">
        <v>43099</v>
      </c>
      <c r="C1227" s="17" t="s">
        <v>341</v>
      </c>
      <c r="D1227" s="17" t="s">
        <v>21</v>
      </c>
      <c r="E1227" s="17" t="s">
        <v>146</v>
      </c>
      <c r="F1227" s="18">
        <v>11</v>
      </c>
      <c r="G1227" s="19">
        <v>207.7</v>
      </c>
      <c r="H1227" s="19">
        <v>2284.6999999999998</v>
      </c>
      <c r="I1227" s="20">
        <v>89.311000000000007</v>
      </c>
      <c r="J1227" s="17" t="s">
        <v>32</v>
      </c>
      <c r="K1227" s="17" t="s">
        <v>33</v>
      </c>
      <c r="L1227" s="17" t="s">
        <v>34</v>
      </c>
      <c r="M1227" s="19">
        <v>982.42100000000005</v>
      </c>
      <c r="N1227" s="19">
        <v>1302.279</v>
      </c>
      <c r="O1227" s="17">
        <v>57</v>
      </c>
      <c r="P1227" s="17" t="s">
        <v>26</v>
      </c>
      <c r="Q1227" s="17">
        <v>12</v>
      </c>
      <c r="R1227" s="17" t="s">
        <v>27</v>
      </c>
      <c r="S1227" s="14" t="str">
        <f t="shared" si="19"/>
        <v>Week 5</v>
      </c>
    </row>
    <row r="1228" spans="1:19" x14ac:dyDescent="0.3">
      <c r="A1228" s="8" t="s">
        <v>1501</v>
      </c>
      <c r="B1228" s="9">
        <v>43099</v>
      </c>
      <c r="C1228" s="10" t="s">
        <v>529</v>
      </c>
      <c r="D1228" s="10" t="s">
        <v>43</v>
      </c>
      <c r="E1228" s="10" t="s">
        <v>49</v>
      </c>
      <c r="F1228" s="11">
        <v>7</v>
      </c>
      <c r="G1228" s="12">
        <v>1031.8</v>
      </c>
      <c r="H1228" s="12">
        <v>7222.5999999999995</v>
      </c>
      <c r="I1228" s="13">
        <v>680.98800000000006</v>
      </c>
      <c r="J1228" s="10" t="s">
        <v>94</v>
      </c>
      <c r="K1228" s="10" t="s">
        <v>95</v>
      </c>
      <c r="L1228" s="10" t="s">
        <v>40</v>
      </c>
      <c r="M1228" s="12">
        <v>4766.9160000000002</v>
      </c>
      <c r="N1228" s="12">
        <v>2455.6839999999902</v>
      </c>
      <c r="O1228" s="10">
        <v>33.999999999999901</v>
      </c>
      <c r="P1228" s="10" t="s">
        <v>26</v>
      </c>
      <c r="Q1228" s="10">
        <v>12</v>
      </c>
      <c r="R1228" s="10" t="s">
        <v>27</v>
      </c>
      <c r="S1228" s="14" t="str">
        <f t="shared" si="19"/>
        <v>Week 5</v>
      </c>
    </row>
    <row r="1229" spans="1:19" x14ac:dyDescent="0.3">
      <c r="A1229" s="15" t="s">
        <v>1502</v>
      </c>
      <c r="B1229" s="16">
        <v>43099</v>
      </c>
      <c r="C1229" s="17" t="s">
        <v>288</v>
      </c>
      <c r="D1229" s="17" t="s">
        <v>21</v>
      </c>
      <c r="E1229" s="17" t="s">
        <v>31</v>
      </c>
      <c r="F1229" s="18">
        <v>8</v>
      </c>
      <c r="G1229" s="19">
        <v>743.7</v>
      </c>
      <c r="H1229" s="19">
        <v>5949.6</v>
      </c>
      <c r="I1229" s="20">
        <v>312.35399999999998</v>
      </c>
      <c r="J1229" s="17" t="s">
        <v>411</v>
      </c>
      <c r="K1229" s="17" t="s">
        <v>412</v>
      </c>
      <c r="L1229" s="17" t="s">
        <v>56</v>
      </c>
      <c r="M1229" s="19">
        <v>2498.8319999999999</v>
      </c>
      <c r="N1229" s="19">
        <v>3450.768</v>
      </c>
      <c r="O1229" s="17">
        <v>58</v>
      </c>
      <c r="P1229" s="17" t="s">
        <v>26</v>
      </c>
      <c r="Q1229" s="17">
        <v>12</v>
      </c>
      <c r="R1229" s="17" t="s">
        <v>27</v>
      </c>
      <c r="S1229" s="14" t="str">
        <f t="shared" si="19"/>
        <v>Week 5</v>
      </c>
    </row>
    <row r="1230" spans="1:19" x14ac:dyDescent="0.3">
      <c r="A1230" s="8" t="s">
        <v>1503</v>
      </c>
      <c r="B1230" s="9">
        <v>43099</v>
      </c>
      <c r="C1230" s="10" t="s">
        <v>129</v>
      </c>
      <c r="D1230" s="10" t="s">
        <v>21</v>
      </c>
      <c r="E1230" s="10" t="s">
        <v>115</v>
      </c>
      <c r="F1230" s="11">
        <v>9</v>
      </c>
      <c r="G1230" s="12">
        <v>710.2</v>
      </c>
      <c r="H1230" s="12">
        <v>6391.8</v>
      </c>
      <c r="I1230" s="13">
        <v>482.93599999999998</v>
      </c>
      <c r="J1230" s="10" t="s">
        <v>212</v>
      </c>
      <c r="K1230" s="10" t="s">
        <v>213</v>
      </c>
      <c r="L1230" s="10" t="s">
        <v>34</v>
      </c>
      <c r="M1230" s="12">
        <v>4346.424</v>
      </c>
      <c r="N1230" s="12">
        <v>2045.37599999999</v>
      </c>
      <c r="O1230" s="10">
        <v>31.999999999999901</v>
      </c>
      <c r="P1230" s="10" t="s">
        <v>26</v>
      </c>
      <c r="Q1230" s="10">
        <v>12</v>
      </c>
      <c r="R1230" s="10" t="s">
        <v>27</v>
      </c>
      <c r="S1230" s="14" t="str">
        <f t="shared" si="19"/>
        <v>Week 5</v>
      </c>
    </row>
    <row r="1231" spans="1:19" x14ac:dyDescent="0.3">
      <c r="A1231" s="15" t="s">
        <v>1504</v>
      </c>
      <c r="B1231" s="16">
        <v>43099</v>
      </c>
      <c r="C1231" s="17" t="s">
        <v>837</v>
      </c>
      <c r="D1231" s="17" t="s">
        <v>30</v>
      </c>
      <c r="E1231" s="17" t="s">
        <v>49</v>
      </c>
      <c r="F1231" s="18">
        <v>7</v>
      </c>
      <c r="G1231" s="19">
        <v>1179.2</v>
      </c>
      <c r="H1231" s="19">
        <v>8254.4</v>
      </c>
      <c r="I1231" s="20">
        <v>554.22400000000005</v>
      </c>
      <c r="J1231" s="17" t="s">
        <v>536</v>
      </c>
      <c r="K1231" s="17" t="s">
        <v>537</v>
      </c>
      <c r="L1231" s="17" t="s">
        <v>25</v>
      </c>
      <c r="M1231" s="19">
        <v>3879.5680000000002</v>
      </c>
      <c r="N1231" s="19">
        <v>4374.8319999999903</v>
      </c>
      <c r="O1231" s="17">
        <v>52.999999999999901</v>
      </c>
      <c r="P1231" s="17" t="s">
        <v>26</v>
      </c>
      <c r="Q1231" s="17">
        <v>12</v>
      </c>
      <c r="R1231" s="17" t="s">
        <v>27</v>
      </c>
      <c r="S1231" s="14" t="str">
        <f t="shared" si="19"/>
        <v>Week 5</v>
      </c>
    </row>
    <row r="1232" spans="1:19" x14ac:dyDescent="0.3">
      <c r="A1232" s="8" t="s">
        <v>1249</v>
      </c>
      <c r="B1232" s="9">
        <v>43099</v>
      </c>
      <c r="C1232" s="10" t="s">
        <v>856</v>
      </c>
      <c r="D1232" s="10" t="s">
        <v>21</v>
      </c>
      <c r="E1232" s="10" t="s">
        <v>103</v>
      </c>
      <c r="F1232" s="11">
        <v>12</v>
      </c>
      <c r="G1232" s="12">
        <v>2512.5</v>
      </c>
      <c r="H1232" s="12">
        <v>30150</v>
      </c>
      <c r="I1232" s="13">
        <v>1231.125</v>
      </c>
      <c r="J1232" s="10" t="s">
        <v>155</v>
      </c>
      <c r="K1232" s="10" t="s">
        <v>156</v>
      </c>
      <c r="L1232" s="10" t="s">
        <v>56</v>
      </c>
      <c r="M1232" s="12">
        <v>14773.5</v>
      </c>
      <c r="N1232" s="12">
        <v>15376.5</v>
      </c>
      <c r="O1232" s="10">
        <v>51</v>
      </c>
      <c r="P1232" s="10" t="s">
        <v>26</v>
      </c>
      <c r="Q1232" s="10">
        <v>12</v>
      </c>
      <c r="R1232" s="10" t="s">
        <v>27</v>
      </c>
      <c r="S1232" s="14" t="str">
        <f t="shared" si="19"/>
        <v>Week 5</v>
      </c>
    </row>
    <row r="1233" spans="1:19" x14ac:dyDescent="0.3">
      <c r="A1233" s="15" t="s">
        <v>1505</v>
      </c>
      <c r="B1233" s="16">
        <v>43099</v>
      </c>
      <c r="C1233" s="17" t="s">
        <v>754</v>
      </c>
      <c r="D1233" s="17" t="s">
        <v>30</v>
      </c>
      <c r="E1233" s="17" t="s">
        <v>91</v>
      </c>
      <c r="F1233" s="18">
        <v>10</v>
      </c>
      <c r="G1233" s="19">
        <v>1822.4</v>
      </c>
      <c r="H1233" s="19">
        <v>18224</v>
      </c>
      <c r="I1233" s="20">
        <v>1457.92</v>
      </c>
      <c r="J1233" s="17" t="s">
        <v>23</v>
      </c>
      <c r="K1233" s="17" t="s">
        <v>24</v>
      </c>
      <c r="L1233" s="17" t="s">
        <v>25</v>
      </c>
      <c r="M1233" s="19">
        <v>14579.2</v>
      </c>
      <c r="N1233" s="19">
        <v>3644.7999999999902</v>
      </c>
      <c r="O1233" s="17">
        <v>19.999999999999901</v>
      </c>
      <c r="P1233" s="17" t="s">
        <v>26</v>
      </c>
      <c r="Q1233" s="17">
        <v>12</v>
      </c>
      <c r="R1233" s="17" t="s">
        <v>27</v>
      </c>
      <c r="S1233" s="14" t="str">
        <f t="shared" si="19"/>
        <v>Week 5</v>
      </c>
    </row>
    <row r="1234" spans="1:19" x14ac:dyDescent="0.3">
      <c r="A1234" s="8" t="s">
        <v>1506</v>
      </c>
      <c r="B1234" s="9">
        <v>43099</v>
      </c>
      <c r="C1234" s="10" t="s">
        <v>837</v>
      </c>
      <c r="D1234" s="10" t="s">
        <v>30</v>
      </c>
      <c r="E1234" s="10" t="s">
        <v>62</v>
      </c>
      <c r="F1234" s="11">
        <v>11</v>
      </c>
      <c r="G1234" s="12">
        <v>3906.1</v>
      </c>
      <c r="H1234" s="12">
        <v>42967.1</v>
      </c>
      <c r="I1234" s="13">
        <v>2226.4769999999999</v>
      </c>
      <c r="J1234" s="10" t="s">
        <v>231</v>
      </c>
      <c r="K1234" s="10" t="s">
        <v>232</v>
      </c>
      <c r="L1234" s="10" t="s">
        <v>40</v>
      </c>
      <c r="M1234" s="12">
        <v>24491.246999999999</v>
      </c>
      <c r="N1234" s="12">
        <v>18475.852999999999</v>
      </c>
      <c r="O1234" s="10">
        <v>43</v>
      </c>
      <c r="P1234" s="10" t="s">
        <v>26</v>
      </c>
      <c r="Q1234" s="10">
        <v>12</v>
      </c>
      <c r="R1234" s="10" t="s">
        <v>27</v>
      </c>
      <c r="S1234" s="14" t="str">
        <f t="shared" si="19"/>
        <v>Week 5</v>
      </c>
    </row>
    <row r="1235" spans="1:19" x14ac:dyDescent="0.3">
      <c r="A1235" s="15" t="s">
        <v>1507</v>
      </c>
      <c r="B1235" s="16">
        <v>43099</v>
      </c>
      <c r="C1235" s="17" t="s">
        <v>345</v>
      </c>
      <c r="D1235" s="17" t="s">
        <v>43</v>
      </c>
      <c r="E1235" s="17" t="s">
        <v>284</v>
      </c>
      <c r="F1235" s="18">
        <v>10</v>
      </c>
      <c r="G1235" s="19">
        <v>891.1</v>
      </c>
      <c r="H1235" s="19">
        <v>8911</v>
      </c>
      <c r="I1235" s="20">
        <v>561.39300000000003</v>
      </c>
      <c r="J1235" s="17" t="s">
        <v>32</v>
      </c>
      <c r="K1235" s="17" t="s">
        <v>33</v>
      </c>
      <c r="L1235" s="17" t="s">
        <v>34</v>
      </c>
      <c r="M1235" s="19">
        <v>5613.93</v>
      </c>
      <c r="N1235" s="19">
        <v>3297.0699999999902</v>
      </c>
      <c r="O1235" s="17">
        <v>36.999999999999901</v>
      </c>
      <c r="P1235" s="17" t="s">
        <v>26</v>
      </c>
      <c r="Q1235" s="17">
        <v>12</v>
      </c>
      <c r="R1235" s="17" t="s">
        <v>27</v>
      </c>
      <c r="S1235" s="14" t="str">
        <f t="shared" si="19"/>
        <v>Week 5</v>
      </c>
    </row>
    <row r="1236" spans="1:19" x14ac:dyDescent="0.3">
      <c r="A1236" s="8" t="s">
        <v>1508</v>
      </c>
      <c r="B1236" s="9">
        <v>43099</v>
      </c>
      <c r="C1236" s="10" t="s">
        <v>402</v>
      </c>
      <c r="D1236" s="10" t="s">
        <v>21</v>
      </c>
      <c r="E1236" s="10" t="s">
        <v>73</v>
      </c>
      <c r="F1236" s="11">
        <v>10</v>
      </c>
      <c r="G1236" s="12">
        <v>2613</v>
      </c>
      <c r="H1236" s="12">
        <v>26130</v>
      </c>
      <c r="I1236" s="13">
        <v>1620.06</v>
      </c>
      <c r="J1236" s="10" t="s">
        <v>54</v>
      </c>
      <c r="K1236" s="10" t="s">
        <v>55</v>
      </c>
      <c r="L1236" s="10" t="s">
        <v>56</v>
      </c>
      <c r="M1236" s="12">
        <v>16200.5999999999</v>
      </c>
      <c r="N1236" s="12">
        <v>9929.4</v>
      </c>
      <c r="O1236" s="10">
        <v>38</v>
      </c>
      <c r="P1236" s="10" t="s">
        <v>26</v>
      </c>
      <c r="Q1236" s="10">
        <v>12</v>
      </c>
      <c r="R1236" s="10" t="s">
        <v>27</v>
      </c>
      <c r="S1236" s="14" t="str">
        <f t="shared" si="19"/>
        <v>Week 5</v>
      </c>
    </row>
    <row r="1237" spans="1:19" x14ac:dyDescent="0.3">
      <c r="A1237" s="15" t="s">
        <v>1509</v>
      </c>
      <c r="B1237" s="16">
        <v>43099</v>
      </c>
      <c r="C1237" s="17" t="s">
        <v>217</v>
      </c>
      <c r="D1237" s="17" t="s">
        <v>21</v>
      </c>
      <c r="E1237" s="17" t="s">
        <v>103</v>
      </c>
      <c r="F1237" s="18">
        <v>6</v>
      </c>
      <c r="G1237" s="19">
        <v>1058.5999999999999</v>
      </c>
      <c r="H1237" s="19">
        <v>6351.5999999999995</v>
      </c>
      <c r="I1237" s="20">
        <v>793.95</v>
      </c>
      <c r="J1237" s="17" t="s">
        <v>54</v>
      </c>
      <c r="K1237" s="17" t="s">
        <v>55</v>
      </c>
      <c r="L1237" s="17" t="s">
        <v>56</v>
      </c>
      <c r="M1237" s="19">
        <v>4763.7</v>
      </c>
      <c r="N1237" s="19">
        <v>1587.8999999999901</v>
      </c>
      <c r="O1237" s="17">
        <v>24.999999999999901</v>
      </c>
      <c r="P1237" s="17" t="s">
        <v>26</v>
      </c>
      <c r="Q1237" s="17">
        <v>12</v>
      </c>
      <c r="R1237" s="17" t="s">
        <v>27</v>
      </c>
      <c r="S1237" s="14" t="str">
        <f t="shared" si="19"/>
        <v>Week 5</v>
      </c>
    </row>
    <row r="1238" spans="1:19" x14ac:dyDescent="0.3">
      <c r="A1238" s="8" t="s">
        <v>427</v>
      </c>
      <c r="B1238" s="9">
        <v>43099</v>
      </c>
      <c r="C1238" s="10" t="s">
        <v>428</v>
      </c>
      <c r="D1238" s="10" t="s">
        <v>21</v>
      </c>
      <c r="E1238" s="10" t="s">
        <v>418</v>
      </c>
      <c r="F1238" s="11">
        <v>5</v>
      </c>
      <c r="G1238" s="12">
        <v>3926.2</v>
      </c>
      <c r="H1238" s="12">
        <v>19631</v>
      </c>
      <c r="I1238" s="13">
        <v>3062.4360000000001</v>
      </c>
      <c r="J1238" s="10" t="s">
        <v>405</v>
      </c>
      <c r="K1238" s="10" t="s">
        <v>406</v>
      </c>
      <c r="L1238" s="10" t="s">
        <v>56</v>
      </c>
      <c r="M1238" s="12">
        <v>15312.18</v>
      </c>
      <c r="N1238" s="12">
        <v>4318.82</v>
      </c>
      <c r="O1238" s="10">
        <v>21.999999999999901</v>
      </c>
      <c r="P1238" s="10" t="s">
        <v>26</v>
      </c>
      <c r="Q1238" s="10">
        <v>12</v>
      </c>
      <c r="R1238" s="10" t="s">
        <v>27</v>
      </c>
      <c r="S1238" s="14" t="str">
        <f t="shared" si="19"/>
        <v>Week 5</v>
      </c>
    </row>
    <row r="1239" spans="1:19" x14ac:dyDescent="0.3">
      <c r="A1239" s="15" t="s">
        <v>1005</v>
      </c>
      <c r="B1239" s="16">
        <v>43099</v>
      </c>
      <c r="C1239" s="17" t="s">
        <v>82</v>
      </c>
      <c r="D1239" s="17" t="s">
        <v>21</v>
      </c>
      <c r="E1239" s="17" t="s">
        <v>91</v>
      </c>
      <c r="F1239" s="18">
        <v>12</v>
      </c>
      <c r="G1239" s="19">
        <v>3879.3</v>
      </c>
      <c r="H1239" s="19">
        <v>46551.600000000006</v>
      </c>
      <c r="I1239" s="20">
        <v>3103.44</v>
      </c>
      <c r="J1239" s="17" t="s">
        <v>23</v>
      </c>
      <c r="K1239" s="17" t="s">
        <v>24</v>
      </c>
      <c r="L1239" s="17" t="s">
        <v>25</v>
      </c>
      <c r="M1239" s="19">
        <v>37241.279999999999</v>
      </c>
      <c r="N1239" s="19">
        <v>9310.32</v>
      </c>
      <c r="O1239" s="17">
        <v>19.999999999999901</v>
      </c>
      <c r="P1239" s="17" t="s">
        <v>26</v>
      </c>
      <c r="Q1239" s="17">
        <v>12</v>
      </c>
      <c r="R1239" s="17" t="s">
        <v>27</v>
      </c>
      <c r="S1239" s="14" t="str">
        <f t="shared" si="19"/>
        <v>Week 5</v>
      </c>
    </row>
    <row r="1240" spans="1:19" x14ac:dyDescent="0.3">
      <c r="A1240" s="8" t="s">
        <v>1510</v>
      </c>
      <c r="B1240" s="9">
        <v>43099</v>
      </c>
      <c r="C1240" s="10" t="s">
        <v>347</v>
      </c>
      <c r="D1240" s="10" t="s">
        <v>21</v>
      </c>
      <c r="E1240" s="10" t="s">
        <v>228</v>
      </c>
      <c r="F1240" s="11">
        <v>11</v>
      </c>
      <c r="G1240" s="12">
        <v>3973.1</v>
      </c>
      <c r="H1240" s="12">
        <v>43704.1</v>
      </c>
      <c r="I1240" s="13">
        <v>3337.404</v>
      </c>
      <c r="J1240" s="10" t="s">
        <v>23</v>
      </c>
      <c r="K1240" s="10" t="s">
        <v>24</v>
      </c>
      <c r="L1240" s="10" t="s">
        <v>25</v>
      </c>
      <c r="M1240" s="12">
        <v>36711.444000000003</v>
      </c>
      <c r="N1240" s="12">
        <v>6992.6559999999899</v>
      </c>
      <c r="O1240" s="10">
        <v>15.999999999999901</v>
      </c>
      <c r="P1240" s="10" t="s">
        <v>26</v>
      </c>
      <c r="Q1240" s="10">
        <v>12</v>
      </c>
      <c r="R1240" s="10" t="s">
        <v>27</v>
      </c>
      <c r="S1240" s="14" t="str">
        <f t="shared" si="19"/>
        <v>Week 5</v>
      </c>
    </row>
    <row r="1241" spans="1:19" x14ac:dyDescent="0.3">
      <c r="A1241" s="15" t="s">
        <v>1154</v>
      </c>
      <c r="B1241" s="16">
        <v>43099</v>
      </c>
      <c r="C1241" s="17" t="s">
        <v>380</v>
      </c>
      <c r="D1241" s="17" t="s">
        <v>21</v>
      </c>
      <c r="E1241" s="17" t="s">
        <v>120</v>
      </c>
      <c r="F1241" s="18">
        <v>9</v>
      </c>
      <c r="G1241" s="19">
        <v>234.5</v>
      </c>
      <c r="H1241" s="19">
        <v>2110.5</v>
      </c>
      <c r="I1241" s="20">
        <v>194.63499999999999</v>
      </c>
      <c r="J1241" s="17" t="s">
        <v>32</v>
      </c>
      <c r="K1241" s="17" t="s">
        <v>33</v>
      </c>
      <c r="L1241" s="17" t="s">
        <v>34</v>
      </c>
      <c r="M1241" s="19">
        <v>1751.7149999999999</v>
      </c>
      <c r="N1241" s="19">
        <v>358.78500000000003</v>
      </c>
      <c r="O1241" s="17">
        <v>17</v>
      </c>
      <c r="P1241" s="17" t="s">
        <v>26</v>
      </c>
      <c r="Q1241" s="17">
        <v>12</v>
      </c>
      <c r="R1241" s="17" t="s">
        <v>27</v>
      </c>
      <c r="S1241" s="14" t="str">
        <f t="shared" si="19"/>
        <v>Week 5</v>
      </c>
    </row>
    <row r="1242" spans="1:19" x14ac:dyDescent="0.3">
      <c r="A1242" s="8" t="s">
        <v>451</v>
      </c>
      <c r="B1242" s="9">
        <v>43099</v>
      </c>
      <c r="C1242" s="10" t="s">
        <v>72</v>
      </c>
      <c r="D1242" s="10" t="s">
        <v>30</v>
      </c>
      <c r="E1242" s="10" t="s">
        <v>197</v>
      </c>
      <c r="F1242" s="11">
        <v>7</v>
      </c>
      <c r="G1242" s="12">
        <v>2331.6</v>
      </c>
      <c r="H1242" s="12">
        <v>16321.199999999999</v>
      </c>
      <c r="I1242" s="13">
        <v>1841.9639999999999</v>
      </c>
      <c r="J1242" s="10" t="s">
        <v>54</v>
      </c>
      <c r="K1242" s="10" t="s">
        <v>55</v>
      </c>
      <c r="L1242" s="10" t="s">
        <v>56</v>
      </c>
      <c r="M1242" s="12">
        <v>12893.748</v>
      </c>
      <c r="N1242" s="12">
        <v>3427.4519999999902</v>
      </c>
      <c r="O1242" s="10">
        <v>20.999999999999901</v>
      </c>
      <c r="P1242" s="10" t="s">
        <v>26</v>
      </c>
      <c r="Q1242" s="10">
        <v>12</v>
      </c>
      <c r="R1242" s="10" t="s">
        <v>27</v>
      </c>
      <c r="S1242" s="14" t="str">
        <f t="shared" si="19"/>
        <v>Week 5</v>
      </c>
    </row>
    <row r="1243" spans="1:19" x14ac:dyDescent="0.3">
      <c r="A1243" s="15" t="s">
        <v>1511</v>
      </c>
      <c r="B1243" s="16">
        <v>43099</v>
      </c>
      <c r="C1243" s="17" t="s">
        <v>215</v>
      </c>
      <c r="D1243" s="17" t="s">
        <v>30</v>
      </c>
      <c r="E1243" s="17" t="s">
        <v>103</v>
      </c>
      <c r="F1243" s="18">
        <v>7</v>
      </c>
      <c r="G1243" s="19">
        <v>1025.0999999999999</v>
      </c>
      <c r="H1243" s="19">
        <v>7175.6999999999989</v>
      </c>
      <c r="I1243" s="20">
        <v>809.82899999999995</v>
      </c>
      <c r="J1243" s="17" t="s">
        <v>76</v>
      </c>
      <c r="K1243" s="17" t="s">
        <v>77</v>
      </c>
      <c r="L1243" s="17" t="s">
        <v>56</v>
      </c>
      <c r="M1243" s="19">
        <v>5668.8029999999999</v>
      </c>
      <c r="N1243" s="19">
        <v>1506.8969999999899</v>
      </c>
      <c r="O1243" s="17">
        <v>20.999999999999901</v>
      </c>
      <c r="P1243" s="17" t="s">
        <v>26</v>
      </c>
      <c r="Q1243" s="17">
        <v>12</v>
      </c>
      <c r="R1243" s="17" t="s">
        <v>27</v>
      </c>
      <c r="S1243" s="14" t="str">
        <f t="shared" si="19"/>
        <v>Week 5</v>
      </c>
    </row>
    <row r="1244" spans="1:19" x14ac:dyDescent="0.3">
      <c r="A1244" s="8" t="s">
        <v>1512</v>
      </c>
      <c r="B1244" s="9">
        <v>43099</v>
      </c>
      <c r="C1244" s="10" t="s">
        <v>568</v>
      </c>
      <c r="D1244" s="10" t="s">
        <v>21</v>
      </c>
      <c r="E1244" s="10" t="s">
        <v>103</v>
      </c>
      <c r="F1244" s="11">
        <v>10</v>
      </c>
      <c r="G1244" s="12">
        <v>5092</v>
      </c>
      <c r="H1244" s="12">
        <v>50920</v>
      </c>
      <c r="I1244" s="13">
        <v>2393.2399999999998</v>
      </c>
      <c r="J1244" s="10" t="s">
        <v>257</v>
      </c>
      <c r="K1244" s="10" t="s">
        <v>258</v>
      </c>
      <c r="L1244" s="10" t="s">
        <v>25</v>
      </c>
      <c r="M1244" s="12">
        <v>23932.3999999999</v>
      </c>
      <c r="N1244" s="12">
        <v>26987.599999999999</v>
      </c>
      <c r="O1244" s="10">
        <v>53</v>
      </c>
      <c r="P1244" s="10" t="s">
        <v>26</v>
      </c>
      <c r="Q1244" s="10">
        <v>12</v>
      </c>
      <c r="R1244" s="10" t="s">
        <v>27</v>
      </c>
      <c r="S1244" s="14" t="str">
        <f t="shared" si="19"/>
        <v>Week 5</v>
      </c>
    </row>
    <row r="1245" spans="1:19" x14ac:dyDescent="0.3">
      <c r="A1245" s="15" t="s">
        <v>1513</v>
      </c>
      <c r="B1245" s="16">
        <v>43099</v>
      </c>
      <c r="C1245" s="17" t="s">
        <v>640</v>
      </c>
      <c r="D1245" s="17" t="s">
        <v>21</v>
      </c>
      <c r="E1245" s="17" t="s">
        <v>31</v>
      </c>
      <c r="F1245" s="18">
        <v>12</v>
      </c>
      <c r="G1245" s="19">
        <v>2465.6</v>
      </c>
      <c r="H1245" s="19">
        <v>29587.199999999997</v>
      </c>
      <c r="I1245" s="20">
        <v>1799.8879999999999</v>
      </c>
      <c r="J1245" s="17" t="s">
        <v>94</v>
      </c>
      <c r="K1245" s="17" t="s">
        <v>95</v>
      </c>
      <c r="L1245" s="17" t="s">
        <v>40</v>
      </c>
      <c r="M1245" s="19">
        <v>21598.655999999999</v>
      </c>
      <c r="N1245" s="19">
        <v>7988.5439999999899</v>
      </c>
      <c r="O1245" s="17">
        <v>26.999999999999901</v>
      </c>
      <c r="P1245" s="17" t="s">
        <v>26</v>
      </c>
      <c r="Q1245" s="17">
        <v>12</v>
      </c>
      <c r="R1245" s="17" t="s">
        <v>27</v>
      </c>
      <c r="S1245" s="14" t="str">
        <f t="shared" si="19"/>
        <v>Week 5</v>
      </c>
    </row>
    <row r="1246" spans="1:19" x14ac:dyDescent="0.3">
      <c r="A1246" s="8" t="s">
        <v>1514</v>
      </c>
      <c r="B1246" s="9">
        <v>43099</v>
      </c>
      <c r="C1246" s="10" t="s">
        <v>158</v>
      </c>
      <c r="D1246" s="10" t="s">
        <v>21</v>
      </c>
      <c r="E1246" s="10" t="s">
        <v>306</v>
      </c>
      <c r="F1246" s="11">
        <v>11</v>
      </c>
      <c r="G1246" s="12">
        <v>1835.8</v>
      </c>
      <c r="H1246" s="12">
        <v>20193.8</v>
      </c>
      <c r="I1246" s="13">
        <v>844.46799999999996</v>
      </c>
      <c r="J1246" s="10" t="s">
        <v>23</v>
      </c>
      <c r="K1246" s="10" t="s">
        <v>24</v>
      </c>
      <c r="L1246" s="10" t="s">
        <v>25</v>
      </c>
      <c r="M1246" s="12">
        <v>9289.1479999999992</v>
      </c>
      <c r="N1246" s="12">
        <v>10904.652</v>
      </c>
      <c r="O1246" s="10">
        <v>54</v>
      </c>
      <c r="P1246" s="10" t="s">
        <v>26</v>
      </c>
      <c r="Q1246" s="10">
        <v>12</v>
      </c>
      <c r="R1246" s="10" t="s">
        <v>27</v>
      </c>
      <c r="S1246" s="14" t="str">
        <f t="shared" si="19"/>
        <v>Week 5</v>
      </c>
    </row>
    <row r="1247" spans="1:19" x14ac:dyDescent="0.3">
      <c r="A1247" s="15" t="s">
        <v>1515</v>
      </c>
      <c r="B1247" s="16">
        <v>43099</v>
      </c>
      <c r="C1247" s="17" t="s">
        <v>42</v>
      </c>
      <c r="D1247" s="17" t="s">
        <v>30</v>
      </c>
      <c r="E1247" s="17" t="s">
        <v>37</v>
      </c>
      <c r="F1247" s="18">
        <v>10</v>
      </c>
      <c r="G1247" s="19">
        <v>241.2</v>
      </c>
      <c r="H1247" s="19">
        <v>2412</v>
      </c>
      <c r="I1247" s="20">
        <v>183.31200000000001</v>
      </c>
      <c r="J1247" s="17" t="s">
        <v>32</v>
      </c>
      <c r="K1247" s="17" t="s">
        <v>33</v>
      </c>
      <c r="L1247" s="17" t="s">
        <v>34</v>
      </c>
      <c r="M1247" s="19">
        <v>1833.12</v>
      </c>
      <c r="N1247" s="19">
        <v>578.87999999999897</v>
      </c>
      <c r="O1247" s="17">
        <v>23.999999999999901</v>
      </c>
      <c r="P1247" s="17" t="s">
        <v>26</v>
      </c>
      <c r="Q1247" s="17">
        <v>12</v>
      </c>
      <c r="R1247" s="17" t="s">
        <v>27</v>
      </c>
      <c r="S1247" s="14" t="str">
        <f t="shared" si="19"/>
        <v>Week 5</v>
      </c>
    </row>
    <row r="1248" spans="1:19" x14ac:dyDescent="0.3">
      <c r="A1248" s="8" t="s">
        <v>1516</v>
      </c>
      <c r="B1248" s="9">
        <v>43099</v>
      </c>
      <c r="C1248" s="10" t="s">
        <v>356</v>
      </c>
      <c r="D1248" s="10" t="s">
        <v>21</v>
      </c>
      <c r="E1248" s="10" t="s">
        <v>103</v>
      </c>
      <c r="F1248" s="11">
        <v>8</v>
      </c>
      <c r="G1248" s="12">
        <v>3819</v>
      </c>
      <c r="H1248" s="12">
        <v>30552</v>
      </c>
      <c r="I1248" s="13">
        <v>2978.82</v>
      </c>
      <c r="J1248" s="10" t="s">
        <v>204</v>
      </c>
      <c r="K1248" s="10" t="s">
        <v>205</v>
      </c>
      <c r="L1248" s="10" t="s">
        <v>34</v>
      </c>
      <c r="M1248" s="12">
        <v>23830.560000000001</v>
      </c>
      <c r="N1248" s="12">
        <v>6721.4399999999896</v>
      </c>
      <c r="O1248" s="10">
        <v>21.999999999999901</v>
      </c>
      <c r="P1248" s="10" t="s">
        <v>26</v>
      </c>
      <c r="Q1248" s="10">
        <v>12</v>
      </c>
      <c r="R1248" s="10" t="s">
        <v>27</v>
      </c>
      <c r="S1248" s="14" t="str">
        <f t="shared" si="19"/>
        <v>Week 5</v>
      </c>
    </row>
    <row r="1249" spans="1:19" x14ac:dyDescent="0.3">
      <c r="A1249" s="15" t="s">
        <v>1517</v>
      </c>
      <c r="B1249" s="16">
        <v>43099</v>
      </c>
      <c r="C1249" s="17" t="s">
        <v>519</v>
      </c>
      <c r="D1249" s="17" t="s">
        <v>43</v>
      </c>
      <c r="E1249" s="17" t="s">
        <v>73</v>
      </c>
      <c r="F1249" s="18">
        <v>11</v>
      </c>
      <c r="G1249" s="19">
        <v>1125.5999999999999</v>
      </c>
      <c r="H1249" s="19">
        <v>12381.599999999999</v>
      </c>
      <c r="I1249" s="20">
        <v>787.92</v>
      </c>
      <c r="J1249" s="17" t="s">
        <v>177</v>
      </c>
      <c r="K1249" s="17" t="s">
        <v>178</v>
      </c>
      <c r="L1249" s="17" t="s">
        <v>40</v>
      </c>
      <c r="M1249" s="19">
        <v>8667.1200000000008</v>
      </c>
      <c r="N1249" s="19">
        <v>3714.48</v>
      </c>
      <c r="O1249" s="17">
        <v>30</v>
      </c>
      <c r="P1249" s="17" t="s">
        <v>26</v>
      </c>
      <c r="Q1249" s="17">
        <v>12</v>
      </c>
      <c r="R1249" s="17" t="s">
        <v>27</v>
      </c>
      <c r="S1249" s="14" t="str">
        <f t="shared" si="19"/>
        <v>Week 5</v>
      </c>
    </row>
    <row r="1250" spans="1:19" x14ac:dyDescent="0.3">
      <c r="A1250" s="8" t="s">
        <v>650</v>
      </c>
      <c r="B1250" s="9">
        <v>43099</v>
      </c>
      <c r="C1250" s="10" t="s">
        <v>643</v>
      </c>
      <c r="D1250" s="10" t="s">
        <v>30</v>
      </c>
      <c r="E1250" s="10" t="s">
        <v>191</v>
      </c>
      <c r="F1250" s="11">
        <v>6</v>
      </c>
      <c r="G1250" s="12">
        <v>1072</v>
      </c>
      <c r="H1250" s="12">
        <v>6432</v>
      </c>
      <c r="I1250" s="13">
        <v>621.76</v>
      </c>
      <c r="J1250" s="10" t="s">
        <v>45</v>
      </c>
      <c r="K1250" s="10" t="s">
        <v>46</v>
      </c>
      <c r="L1250" s="10" t="s">
        <v>34</v>
      </c>
      <c r="M1250" s="12">
        <v>3730.56</v>
      </c>
      <c r="N1250" s="12">
        <v>2701.44</v>
      </c>
      <c r="O1250" s="10">
        <v>42</v>
      </c>
      <c r="P1250" s="10" t="s">
        <v>26</v>
      </c>
      <c r="Q1250" s="10">
        <v>12</v>
      </c>
      <c r="R1250" s="10" t="s">
        <v>27</v>
      </c>
      <c r="S1250" s="14" t="str">
        <f t="shared" si="19"/>
        <v>Week 5</v>
      </c>
    </row>
    <row r="1251" spans="1:19" x14ac:dyDescent="0.3">
      <c r="A1251" s="15" t="s">
        <v>1518</v>
      </c>
      <c r="B1251" s="16">
        <v>43099</v>
      </c>
      <c r="C1251" s="17" t="s">
        <v>643</v>
      </c>
      <c r="D1251" s="17" t="s">
        <v>21</v>
      </c>
      <c r="E1251" s="17" t="s">
        <v>149</v>
      </c>
      <c r="F1251" s="18">
        <v>8</v>
      </c>
      <c r="G1251" s="19">
        <v>3852.5</v>
      </c>
      <c r="H1251" s="19">
        <v>30820</v>
      </c>
      <c r="I1251" s="20">
        <v>2041.825</v>
      </c>
      <c r="J1251" s="17" t="s">
        <v>54</v>
      </c>
      <c r="K1251" s="17" t="s">
        <v>55</v>
      </c>
      <c r="L1251" s="17" t="s">
        <v>56</v>
      </c>
      <c r="M1251" s="19">
        <v>16334.6</v>
      </c>
      <c r="N1251" s="19">
        <v>14485.4</v>
      </c>
      <c r="O1251" s="17">
        <v>47</v>
      </c>
      <c r="P1251" s="17" t="s">
        <v>26</v>
      </c>
      <c r="Q1251" s="17">
        <v>12</v>
      </c>
      <c r="R1251" s="17" t="s">
        <v>27</v>
      </c>
      <c r="S1251" s="14" t="str">
        <f t="shared" si="19"/>
        <v>Week 5</v>
      </c>
    </row>
    <row r="1252" spans="1:19" x14ac:dyDescent="0.3">
      <c r="A1252" s="8" t="s">
        <v>67</v>
      </c>
      <c r="B1252" s="9">
        <v>43099</v>
      </c>
      <c r="C1252" s="10" t="s">
        <v>68</v>
      </c>
      <c r="D1252" s="10" t="s">
        <v>21</v>
      </c>
      <c r="E1252" s="10" t="s">
        <v>37</v>
      </c>
      <c r="F1252" s="11">
        <v>9</v>
      </c>
      <c r="G1252" s="12">
        <v>3162.4</v>
      </c>
      <c r="H1252" s="12">
        <v>28461.600000000002</v>
      </c>
      <c r="I1252" s="13">
        <v>1739.32</v>
      </c>
      <c r="J1252" s="10" t="s">
        <v>54</v>
      </c>
      <c r="K1252" s="10" t="s">
        <v>55</v>
      </c>
      <c r="L1252" s="10" t="s">
        <v>56</v>
      </c>
      <c r="M1252" s="12">
        <v>15653.88</v>
      </c>
      <c r="N1252" s="12">
        <v>12807.72</v>
      </c>
      <c r="O1252" s="10">
        <v>45</v>
      </c>
      <c r="P1252" s="10" t="s">
        <v>26</v>
      </c>
      <c r="Q1252" s="10">
        <v>12</v>
      </c>
      <c r="R1252" s="10" t="s">
        <v>27</v>
      </c>
      <c r="S1252" s="14" t="str">
        <f t="shared" si="19"/>
        <v>Week 5</v>
      </c>
    </row>
    <row r="1253" spans="1:19" x14ac:dyDescent="0.3">
      <c r="A1253" s="15" t="s">
        <v>1519</v>
      </c>
      <c r="B1253" s="16">
        <v>43099</v>
      </c>
      <c r="C1253" s="17" t="s">
        <v>316</v>
      </c>
      <c r="D1253" s="17" t="s">
        <v>21</v>
      </c>
      <c r="E1253" s="17" t="s">
        <v>37</v>
      </c>
      <c r="F1253" s="18">
        <v>5</v>
      </c>
      <c r="G1253" s="19">
        <v>1025.0999999999999</v>
      </c>
      <c r="H1253" s="19">
        <v>5125.5</v>
      </c>
      <c r="I1253" s="20">
        <v>563.80499999999995</v>
      </c>
      <c r="J1253" s="17" t="s">
        <v>23</v>
      </c>
      <c r="K1253" s="17" t="s">
        <v>24</v>
      </c>
      <c r="L1253" s="17" t="s">
        <v>25</v>
      </c>
      <c r="M1253" s="19">
        <v>2819.0250000000001</v>
      </c>
      <c r="N1253" s="19">
        <v>2306.4749999999999</v>
      </c>
      <c r="O1253" s="17">
        <v>44.999999999999901</v>
      </c>
      <c r="P1253" s="17" t="s">
        <v>26</v>
      </c>
      <c r="Q1253" s="17">
        <v>12</v>
      </c>
      <c r="R1253" s="17" t="s">
        <v>27</v>
      </c>
      <c r="S1253" s="14" t="str">
        <f t="shared" si="19"/>
        <v>Week 5</v>
      </c>
    </row>
    <row r="1254" spans="1:19" x14ac:dyDescent="0.3">
      <c r="A1254" s="8" t="s">
        <v>1520</v>
      </c>
      <c r="B1254" s="9">
        <v>43099</v>
      </c>
      <c r="C1254" s="10" t="s">
        <v>145</v>
      </c>
      <c r="D1254" s="10" t="s">
        <v>30</v>
      </c>
      <c r="E1254" s="10" t="s">
        <v>22</v>
      </c>
      <c r="F1254" s="11">
        <v>10</v>
      </c>
      <c r="G1254" s="12">
        <v>2211</v>
      </c>
      <c r="H1254" s="12">
        <v>22110</v>
      </c>
      <c r="I1254" s="13">
        <v>1127.6099999999999</v>
      </c>
      <c r="J1254" s="10" t="s">
        <v>54</v>
      </c>
      <c r="K1254" s="10" t="s">
        <v>55</v>
      </c>
      <c r="L1254" s="10" t="s">
        <v>56</v>
      </c>
      <c r="M1254" s="12">
        <v>11276.1</v>
      </c>
      <c r="N1254" s="12">
        <v>10833.8999999999</v>
      </c>
      <c r="O1254" s="10">
        <v>48.999999999999901</v>
      </c>
      <c r="P1254" s="10" t="s">
        <v>26</v>
      </c>
      <c r="Q1254" s="10">
        <v>12</v>
      </c>
      <c r="R1254" s="10" t="s">
        <v>27</v>
      </c>
      <c r="S1254" s="14" t="str">
        <f t="shared" si="19"/>
        <v>Week 5</v>
      </c>
    </row>
    <row r="1255" spans="1:19" x14ac:dyDescent="0.3">
      <c r="A1255" s="15" t="s">
        <v>1521</v>
      </c>
      <c r="B1255" s="16">
        <v>43099</v>
      </c>
      <c r="C1255" s="17" t="s">
        <v>402</v>
      </c>
      <c r="D1255" s="17" t="s">
        <v>21</v>
      </c>
      <c r="E1255" s="17" t="s">
        <v>73</v>
      </c>
      <c r="F1255" s="18">
        <v>6</v>
      </c>
      <c r="G1255" s="19">
        <v>917.9</v>
      </c>
      <c r="H1255" s="19">
        <v>5507.4</v>
      </c>
      <c r="I1255" s="20">
        <v>367.16</v>
      </c>
      <c r="J1255" s="17" t="s">
        <v>54</v>
      </c>
      <c r="K1255" s="17" t="s">
        <v>55</v>
      </c>
      <c r="L1255" s="17" t="s">
        <v>56</v>
      </c>
      <c r="M1255" s="19">
        <v>2202.96</v>
      </c>
      <c r="N1255" s="19">
        <v>3304.4399999999901</v>
      </c>
      <c r="O1255" s="17">
        <v>60</v>
      </c>
      <c r="P1255" s="17" t="s">
        <v>26</v>
      </c>
      <c r="Q1255" s="17">
        <v>12</v>
      </c>
      <c r="R1255" s="17" t="s">
        <v>27</v>
      </c>
      <c r="S1255" s="14" t="str">
        <f t="shared" si="19"/>
        <v>Week 5</v>
      </c>
    </row>
    <row r="1256" spans="1:19" x14ac:dyDescent="0.3">
      <c r="A1256" s="8" t="s">
        <v>1522</v>
      </c>
      <c r="B1256" s="9">
        <v>43099</v>
      </c>
      <c r="C1256" s="10" t="s">
        <v>249</v>
      </c>
      <c r="D1256" s="10" t="s">
        <v>30</v>
      </c>
      <c r="E1256" s="10" t="s">
        <v>44</v>
      </c>
      <c r="F1256" s="11">
        <v>6</v>
      </c>
      <c r="G1256" s="12">
        <v>2559.4</v>
      </c>
      <c r="H1256" s="12">
        <v>15356.400000000001</v>
      </c>
      <c r="I1256" s="13">
        <v>1714.798</v>
      </c>
      <c r="J1256" s="10" t="s">
        <v>225</v>
      </c>
      <c r="K1256" s="10" t="s">
        <v>226</v>
      </c>
      <c r="L1256" s="10" t="s">
        <v>25</v>
      </c>
      <c r="M1256" s="12">
        <v>10288.788</v>
      </c>
      <c r="N1256" s="12">
        <v>5067.6120000000001</v>
      </c>
      <c r="O1256" s="10">
        <v>33</v>
      </c>
      <c r="P1256" s="10" t="s">
        <v>26</v>
      </c>
      <c r="Q1256" s="10">
        <v>12</v>
      </c>
      <c r="R1256" s="10" t="s">
        <v>27</v>
      </c>
      <c r="S1256" s="14" t="str">
        <f t="shared" si="19"/>
        <v>Week 5</v>
      </c>
    </row>
    <row r="1257" spans="1:19" x14ac:dyDescent="0.3">
      <c r="A1257" s="15" t="s">
        <v>1523</v>
      </c>
      <c r="B1257" s="16">
        <v>43099</v>
      </c>
      <c r="C1257" s="17" t="s">
        <v>671</v>
      </c>
      <c r="D1257" s="17" t="s">
        <v>21</v>
      </c>
      <c r="E1257" s="17" t="s">
        <v>110</v>
      </c>
      <c r="F1257" s="18">
        <v>8</v>
      </c>
      <c r="G1257" s="19">
        <v>3859.2</v>
      </c>
      <c r="H1257" s="19">
        <v>30873.599999999999</v>
      </c>
      <c r="I1257" s="20">
        <v>2354.1120000000001</v>
      </c>
      <c r="J1257" s="17" t="s">
        <v>50</v>
      </c>
      <c r="K1257" s="17" t="s">
        <v>51</v>
      </c>
      <c r="L1257" s="17" t="s">
        <v>40</v>
      </c>
      <c r="M1257" s="19">
        <v>18832.896000000001</v>
      </c>
      <c r="N1257" s="19">
        <v>12040.704</v>
      </c>
      <c r="O1257" s="17">
        <v>39</v>
      </c>
      <c r="P1257" s="17" t="s">
        <v>26</v>
      </c>
      <c r="Q1257" s="17">
        <v>12</v>
      </c>
      <c r="R1257" s="17" t="s">
        <v>27</v>
      </c>
      <c r="S1257" s="14" t="str">
        <f t="shared" si="19"/>
        <v>Week 5</v>
      </c>
    </row>
    <row r="1258" spans="1:19" x14ac:dyDescent="0.3">
      <c r="A1258" s="8" t="s">
        <v>1524</v>
      </c>
      <c r="B1258" s="9">
        <v>43099</v>
      </c>
      <c r="C1258" s="10" t="s">
        <v>358</v>
      </c>
      <c r="D1258" s="10" t="s">
        <v>30</v>
      </c>
      <c r="E1258" s="10" t="s">
        <v>91</v>
      </c>
      <c r="F1258" s="11">
        <v>9</v>
      </c>
      <c r="G1258" s="12">
        <v>2432.1</v>
      </c>
      <c r="H1258" s="12">
        <v>21888.899999999998</v>
      </c>
      <c r="I1258" s="13">
        <v>1653.828</v>
      </c>
      <c r="J1258" s="10" t="s">
        <v>637</v>
      </c>
      <c r="K1258" s="10" t="s">
        <v>638</v>
      </c>
      <c r="L1258" s="10" t="s">
        <v>40</v>
      </c>
      <c r="M1258" s="12">
        <v>14884.451999999999</v>
      </c>
      <c r="N1258" s="12">
        <v>7004.4479999999903</v>
      </c>
      <c r="O1258" s="10">
        <v>31.999999999999901</v>
      </c>
      <c r="P1258" s="10" t="s">
        <v>26</v>
      </c>
      <c r="Q1258" s="10">
        <v>12</v>
      </c>
      <c r="R1258" s="10" t="s">
        <v>27</v>
      </c>
      <c r="S1258" s="14" t="str">
        <f t="shared" si="19"/>
        <v>Week 5</v>
      </c>
    </row>
    <row r="1259" spans="1:19" x14ac:dyDescent="0.3">
      <c r="A1259" s="15" t="s">
        <v>1525</v>
      </c>
      <c r="B1259" s="16">
        <v>43099</v>
      </c>
      <c r="C1259" s="17" t="s">
        <v>448</v>
      </c>
      <c r="D1259" s="17" t="s">
        <v>30</v>
      </c>
      <c r="E1259" s="17" t="s">
        <v>91</v>
      </c>
      <c r="F1259" s="18">
        <v>5</v>
      </c>
      <c r="G1259" s="19">
        <v>864.3</v>
      </c>
      <c r="H1259" s="19">
        <v>4321.5</v>
      </c>
      <c r="I1259" s="20">
        <v>363.00599999999997</v>
      </c>
      <c r="J1259" s="17" t="s">
        <v>38</v>
      </c>
      <c r="K1259" s="17" t="s">
        <v>39</v>
      </c>
      <c r="L1259" s="17" t="s">
        <v>40</v>
      </c>
      <c r="M1259" s="19">
        <v>1815.03</v>
      </c>
      <c r="N1259" s="19">
        <v>2506.4699999999998</v>
      </c>
      <c r="O1259" s="17">
        <v>57.999999999999901</v>
      </c>
      <c r="P1259" s="17" t="s">
        <v>26</v>
      </c>
      <c r="Q1259" s="17">
        <v>12</v>
      </c>
      <c r="R1259" s="17" t="s">
        <v>27</v>
      </c>
      <c r="S1259" s="14" t="str">
        <f t="shared" si="19"/>
        <v>Week 5</v>
      </c>
    </row>
    <row r="1260" spans="1:19" x14ac:dyDescent="0.3">
      <c r="A1260" s="8" t="s">
        <v>954</v>
      </c>
      <c r="B1260" s="9">
        <v>43099</v>
      </c>
      <c r="C1260" s="10" t="s">
        <v>695</v>
      </c>
      <c r="D1260" s="10" t="s">
        <v>30</v>
      </c>
      <c r="E1260" s="10" t="s">
        <v>149</v>
      </c>
      <c r="F1260" s="11">
        <v>11</v>
      </c>
      <c r="G1260" s="12">
        <v>1051.9000000000001</v>
      </c>
      <c r="H1260" s="12">
        <v>11570.900000000001</v>
      </c>
      <c r="I1260" s="13">
        <v>557.50699999999995</v>
      </c>
      <c r="J1260" s="10" t="s">
        <v>54</v>
      </c>
      <c r="K1260" s="10" t="s">
        <v>55</v>
      </c>
      <c r="L1260" s="10" t="s">
        <v>56</v>
      </c>
      <c r="M1260" s="12">
        <v>6132.5770000000002</v>
      </c>
      <c r="N1260" s="12">
        <v>5438.3230000000003</v>
      </c>
      <c r="O1260" s="10">
        <v>47</v>
      </c>
      <c r="P1260" s="10" t="s">
        <v>26</v>
      </c>
      <c r="Q1260" s="10">
        <v>12</v>
      </c>
      <c r="R1260" s="10" t="s">
        <v>27</v>
      </c>
      <c r="S1260" s="14" t="str">
        <f t="shared" si="19"/>
        <v>Week 5</v>
      </c>
    </row>
    <row r="1261" spans="1:19" x14ac:dyDescent="0.3">
      <c r="A1261" s="15" t="s">
        <v>57</v>
      </c>
      <c r="B1261" s="16">
        <v>43099</v>
      </c>
      <c r="C1261" s="17" t="s">
        <v>58</v>
      </c>
      <c r="D1261" s="17" t="s">
        <v>30</v>
      </c>
      <c r="E1261" s="17" t="s">
        <v>59</v>
      </c>
      <c r="F1261" s="18">
        <v>6</v>
      </c>
      <c r="G1261" s="19">
        <v>1835.8</v>
      </c>
      <c r="H1261" s="19">
        <v>11014.8</v>
      </c>
      <c r="I1261" s="20">
        <v>1083.1219999999901</v>
      </c>
      <c r="J1261" s="17" t="s">
        <v>411</v>
      </c>
      <c r="K1261" s="17" t="s">
        <v>412</v>
      </c>
      <c r="L1261" s="17" t="s">
        <v>56</v>
      </c>
      <c r="M1261" s="19">
        <v>6498.73199999999</v>
      </c>
      <c r="N1261" s="19">
        <v>4516.0680000000002</v>
      </c>
      <c r="O1261" s="17">
        <v>41</v>
      </c>
      <c r="P1261" s="17" t="s">
        <v>26</v>
      </c>
      <c r="Q1261" s="17">
        <v>12</v>
      </c>
      <c r="R1261" s="17" t="s">
        <v>27</v>
      </c>
      <c r="S1261" s="14" t="str">
        <f t="shared" si="19"/>
        <v>Week 5</v>
      </c>
    </row>
    <row r="1262" spans="1:19" x14ac:dyDescent="0.3">
      <c r="A1262" s="8" t="s">
        <v>1526</v>
      </c>
      <c r="B1262" s="9">
        <v>43099</v>
      </c>
      <c r="C1262" s="10" t="s">
        <v>551</v>
      </c>
      <c r="D1262" s="10" t="s">
        <v>30</v>
      </c>
      <c r="E1262" s="10" t="s">
        <v>326</v>
      </c>
      <c r="F1262" s="11">
        <v>9</v>
      </c>
      <c r="G1262" s="12">
        <v>944.7</v>
      </c>
      <c r="H1262" s="12">
        <v>8502.3000000000011</v>
      </c>
      <c r="I1262" s="13">
        <v>415.66800000000001</v>
      </c>
      <c r="J1262" s="10" t="s">
        <v>257</v>
      </c>
      <c r="K1262" s="10" t="s">
        <v>258</v>
      </c>
      <c r="L1262" s="10" t="s">
        <v>25</v>
      </c>
      <c r="M1262" s="12">
        <v>3741.0120000000002</v>
      </c>
      <c r="N1262" s="12">
        <v>4761.2879999999996</v>
      </c>
      <c r="O1262" s="10">
        <v>55.999999999999901</v>
      </c>
      <c r="P1262" s="10" t="s">
        <v>26</v>
      </c>
      <c r="Q1262" s="10">
        <v>12</v>
      </c>
      <c r="R1262" s="10" t="s">
        <v>27</v>
      </c>
      <c r="S1262" s="14" t="str">
        <f t="shared" si="19"/>
        <v>Week 5</v>
      </c>
    </row>
    <row r="1263" spans="1:19" x14ac:dyDescent="0.3">
      <c r="A1263" s="15" t="s">
        <v>1527</v>
      </c>
      <c r="B1263" s="16">
        <v>43099</v>
      </c>
      <c r="C1263" s="17" t="s">
        <v>209</v>
      </c>
      <c r="D1263" s="17" t="s">
        <v>21</v>
      </c>
      <c r="E1263" s="17" t="s">
        <v>326</v>
      </c>
      <c r="F1263" s="18">
        <v>7</v>
      </c>
      <c r="G1263" s="19">
        <v>174.2</v>
      </c>
      <c r="H1263" s="19">
        <v>1219.3999999999999</v>
      </c>
      <c r="I1263" s="20">
        <v>87.1</v>
      </c>
      <c r="J1263" s="17" t="s">
        <v>159</v>
      </c>
      <c r="K1263" s="17" t="s">
        <v>160</v>
      </c>
      <c r="L1263" s="17" t="s">
        <v>25</v>
      </c>
      <c r="M1263" s="19">
        <v>609.70000000000005</v>
      </c>
      <c r="N1263" s="19">
        <v>609.70000000000005</v>
      </c>
      <c r="O1263" s="17">
        <v>50</v>
      </c>
      <c r="P1263" s="17" t="s">
        <v>26</v>
      </c>
      <c r="Q1263" s="17">
        <v>12</v>
      </c>
      <c r="R1263" s="17" t="s">
        <v>27</v>
      </c>
      <c r="S1263" s="14" t="str">
        <f t="shared" si="19"/>
        <v>Week 5</v>
      </c>
    </row>
    <row r="1264" spans="1:19" x14ac:dyDescent="0.3">
      <c r="A1264" s="8" t="s">
        <v>1528</v>
      </c>
      <c r="B1264" s="9">
        <v>43099</v>
      </c>
      <c r="C1264" s="10" t="s">
        <v>188</v>
      </c>
      <c r="D1264" s="10" t="s">
        <v>21</v>
      </c>
      <c r="E1264" s="10" t="s">
        <v>73</v>
      </c>
      <c r="F1264" s="11">
        <v>8</v>
      </c>
      <c r="G1264" s="12">
        <v>3999.9</v>
      </c>
      <c r="H1264" s="12">
        <v>31999.200000000001</v>
      </c>
      <c r="I1264" s="13">
        <v>2199.9450000000002</v>
      </c>
      <c r="J1264" s="10" t="s">
        <v>104</v>
      </c>
      <c r="K1264" s="10" t="s">
        <v>105</v>
      </c>
      <c r="L1264" s="10" t="s">
        <v>25</v>
      </c>
      <c r="M1264" s="12">
        <v>17599.560000000001</v>
      </c>
      <c r="N1264" s="12">
        <v>14399.64</v>
      </c>
      <c r="O1264" s="10">
        <v>44.999999999999901</v>
      </c>
      <c r="P1264" s="10" t="s">
        <v>26</v>
      </c>
      <c r="Q1264" s="10">
        <v>12</v>
      </c>
      <c r="R1264" s="10" t="s">
        <v>27</v>
      </c>
      <c r="S1264" s="14" t="str">
        <f t="shared" si="19"/>
        <v>Week 5</v>
      </c>
    </row>
    <row r="1265" spans="1:19" x14ac:dyDescent="0.3">
      <c r="A1265" s="15" t="s">
        <v>1529</v>
      </c>
      <c r="B1265" s="16">
        <v>43099</v>
      </c>
      <c r="C1265" s="17" t="s">
        <v>570</v>
      </c>
      <c r="D1265" s="17" t="s">
        <v>30</v>
      </c>
      <c r="E1265" s="17" t="s">
        <v>265</v>
      </c>
      <c r="F1265" s="18">
        <v>11</v>
      </c>
      <c r="G1265" s="19">
        <v>991.6</v>
      </c>
      <c r="H1265" s="19">
        <v>10907.6</v>
      </c>
      <c r="I1265" s="20">
        <v>644.54</v>
      </c>
      <c r="J1265" s="17" t="s">
        <v>54</v>
      </c>
      <c r="K1265" s="17" t="s">
        <v>55</v>
      </c>
      <c r="L1265" s="17" t="s">
        <v>56</v>
      </c>
      <c r="M1265" s="19">
        <v>7089.94</v>
      </c>
      <c r="N1265" s="19">
        <v>3817.66</v>
      </c>
      <c r="O1265" s="17">
        <v>35</v>
      </c>
      <c r="P1265" s="17" t="s">
        <v>26</v>
      </c>
      <c r="Q1265" s="17">
        <v>12</v>
      </c>
      <c r="R1265" s="17" t="s">
        <v>27</v>
      </c>
      <c r="S1265" s="14" t="str">
        <f t="shared" si="19"/>
        <v>Week 5</v>
      </c>
    </row>
    <row r="1266" spans="1:19" x14ac:dyDescent="0.3">
      <c r="A1266" s="8" t="s">
        <v>1530</v>
      </c>
      <c r="B1266" s="9">
        <v>43099</v>
      </c>
      <c r="C1266" s="10" t="s">
        <v>474</v>
      </c>
      <c r="D1266" s="10" t="s">
        <v>21</v>
      </c>
      <c r="E1266" s="10" t="s">
        <v>93</v>
      </c>
      <c r="F1266" s="11">
        <v>10</v>
      </c>
      <c r="G1266" s="12">
        <v>1735.3</v>
      </c>
      <c r="H1266" s="12">
        <v>17353</v>
      </c>
      <c r="I1266" s="13">
        <v>1145.298</v>
      </c>
      <c r="J1266" s="10" t="s">
        <v>257</v>
      </c>
      <c r="K1266" s="10" t="s">
        <v>258</v>
      </c>
      <c r="L1266" s="10" t="s">
        <v>25</v>
      </c>
      <c r="M1266" s="12">
        <v>11452.98</v>
      </c>
      <c r="N1266" s="12">
        <v>5900.02</v>
      </c>
      <c r="O1266" s="10">
        <v>34</v>
      </c>
      <c r="P1266" s="10" t="s">
        <v>26</v>
      </c>
      <c r="Q1266" s="10">
        <v>12</v>
      </c>
      <c r="R1266" s="10" t="s">
        <v>27</v>
      </c>
      <c r="S1266" s="14" t="str">
        <f t="shared" si="19"/>
        <v>Week 5</v>
      </c>
    </row>
    <row r="1267" spans="1:19" x14ac:dyDescent="0.3">
      <c r="A1267" s="15" t="s">
        <v>1531</v>
      </c>
      <c r="B1267" s="16">
        <v>43100</v>
      </c>
      <c r="C1267" s="17" t="s">
        <v>352</v>
      </c>
      <c r="D1267" s="17" t="s">
        <v>30</v>
      </c>
      <c r="E1267" s="17" t="s">
        <v>115</v>
      </c>
      <c r="F1267" s="18">
        <v>11</v>
      </c>
      <c r="G1267" s="19">
        <v>2237.8000000000002</v>
      </c>
      <c r="H1267" s="19">
        <v>24615.800000000003</v>
      </c>
      <c r="I1267" s="20">
        <v>1499.326</v>
      </c>
      <c r="J1267" s="17" t="s">
        <v>212</v>
      </c>
      <c r="K1267" s="17" t="s">
        <v>213</v>
      </c>
      <c r="L1267" s="17" t="s">
        <v>34</v>
      </c>
      <c r="M1267" s="19">
        <v>16492.585999999999</v>
      </c>
      <c r="N1267" s="19">
        <v>8123.2139999999999</v>
      </c>
      <c r="O1267" s="17">
        <v>32.999999999999901</v>
      </c>
      <c r="P1267" s="17" t="s">
        <v>26</v>
      </c>
      <c r="Q1267" s="17">
        <v>12</v>
      </c>
      <c r="R1267" s="17" t="s">
        <v>27</v>
      </c>
      <c r="S1267" s="14" t="str">
        <f t="shared" si="19"/>
        <v>Week 5</v>
      </c>
    </row>
    <row r="1268" spans="1:19" x14ac:dyDescent="0.3">
      <c r="A1268" s="8" t="s">
        <v>1532</v>
      </c>
      <c r="B1268" s="9">
        <v>43100</v>
      </c>
      <c r="C1268" s="10" t="s">
        <v>843</v>
      </c>
      <c r="D1268" s="10" t="s">
        <v>21</v>
      </c>
      <c r="E1268" s="10" t="s">
        <v>49</v>
      </c>
      <c r="F1268" s="11">
        <v>10</v>
      </c>
      <c r="G1268" s="12">
        <v>2010</v>
      </c>
      <c r="H1268" s="12">
        <v>20100</v>
      </c>
      <c r="I1268" s="13">
        <v>924.6</v>
      </c>
      <c r="J1268" s="10" t="s">
        <v>155</v>
      </c>
      <c r="K1268" s="10" t="s">
        <v>156</v>
      </c>
      <c r="L1268" s="10" t="s">
        <v>56</v>
      </c>
      <c r="M1268" s="12">
        <v>9246</v>
      </c>
      <c r="N1268" s="12">
        <v>10854</v>
      </c>
      <c r="O1268" s="10">
        <v>54</v>
      </c>
      <c r="P1268" s="10" t="s">
        <v>26</v>
      </c>
      <c r="Q1268" s="10">
        <v>12</v>
      </c>
      <c r="R1268" s="10" t="s">
        <v>27</v>
      </c>
      <c r="S1268" s="14" t="str">
        <f t="shared" si="19"/>
        <v>Week 5</v>
      </c>
    </row>
    <row r="1269" spans="1:19" x14ac:dyDescent="0.3">
      <c r="A1269" s="15" t="s">
        <v>1533</v>
      </c>
      <c r="B1269" s="16">
        <v>43100</v>
      </c>
      <c r="C1269" s="17" t="s">
        <v>158</v>
      </c>
      <c r="D1269" s="17" t="s">
        <v>43</v>
      </c>
      <c r="E1269" s="17" t="s">
        <v>37</v>
      </c>
      <c r="F1269" s="18">
        <v>9</v>
      </c>
      <c r="G1269" s="19">
        <v>3644.8</v>
      </c>
      <c r="H1269" s="19">
        <v>32803.200000000004</v>
      </c>
      <c r="I1269" s="20">
        <v>2587.808</v>
      </c>
      <c r="J1269" s="17" t="s">
        <v>225</v>
      </c>
      <c r="K1269" s="17" t="s">
        <v>226</v>
      </c>
      <c r="L1269" s="17" t="s">
        <v>25</v>
      </c>
      <c r="M1269" s="19">
        <v>23290.272000000001</v>
      </c>
      <c r="N1269" s="19">
        <v>9512.9279999999999</v>
      </c>
      <c r="O1269" s="17">
        <v>29</v>
      </c>
      <c r="P1269" s="17" t="s">
        <v>26</v>
      </c>
      <c r="Q1269" s="17">
        <v>12</v>
      </c>
      <c r="R1269" s="17" t="s">
        <v>27</v>
      </c>
      <c r="S1269" s="14" t="str">
        <f t="shared" si="19"/>
        <v>Week 5</v>
      </c>
    </row>
    <row r="1270" spans="1:19" x14ac:dyDescent="0.3">
      <c r="A1270" s="8" t="s">
        <v>1534</v>
      </c>
      <c r="B1270" s="9">
        <v>43100</v>
      </c>
      <c r="C1270" s="10" t="s">
        <v>470</v>
      </c>
      <c r="D1270" s="10" t="s">
        <v>43</v>
      </c>
      <c r="E1270" s="10" t="s">
        <v>62</v>
      </c>
      <c r="F1270" s="11">
        <v>6</v>
      </c>
      <c r="G1270" s="12">
        <v>1943</v>
      </c>
      <c r="H1270" s="12">
        <v>11658</v>
      </c>
      <c r="I1270" s="13">
        <v>1224.0899999999999</v>
      </c>
      <c r="J1270" s="10" t="s">
        <v>536</v>
      </c>
      <c r="K1270" s="10" t="s">
        <v>537</v>
      </c>
      <c r="L1270" s="10" t="s">
        <v>25</v>
      </c>
      <c r="M1270" s="12">
        <v>7344.53999999999</v>
      </c>
      <c r="N1270" s="12">
        <v>4313.46</v>
      </c>
      <c r="O1270" s="10">
        <v>37</v>
      </c>
      <c r="P1270" s="10" t="s">
        <v>26</v>
      </c>
      <c r="Q1270" s="10">
        <v>12</v>
      </c>
      <c r="R1270" s="10" t="s">
        <v>27</v>
      </c>
      <c r="S1270" s="14" t="str">
        <f t="shared" si="19"/>
        <v>Week 5</v>
      </c>
    </row>
    <row r="1271" spans="1:19" x14ac:dyDescent="0.3">
      <c r="A1271" s="15" t="s">
        <v>1535</v>
      </c>
      <c r="B1271" s="16">
        <v>43100</v>
      </c>
      <c r="C1271" s="17" t="s">
        <v>402</v>
      </c>
      <c r="D1271" s="17" t="s">
        <v>21</v>
      </c>
      <c r="E1271" s="17" t="s">
        <v>103</v>
      </c>
      <c r="F1271" s="18">
        <v>9</v>
      </c>
      <c r="G1271" s="19">
        <v>3095.4</v>
      </c>
      <c r="H1271" s="19">
        <v>27858.600000000002</v>
      </c>
      <c r="I1271" s="20">
        <v>1392.93</v>
      </c>
      <c r="J1271" s="17" t="s">
        <v>23</v>
      </c>
      <c r="K1271" s="17" t="s">
        <v>24</v>
      </c>
      <c r="L1271" s="17" t="s">
        <v>25</v>
      </c>
      <c r="M1271" s="19">
        <v>12536.37</v>
      </c>
      <c r="N1271" s="19">
        <v>15322.23</v>
      </c>
      <c r="O1271" s="17">
        <v>55</v>
      </c>
      <c r="P1271" s="17" t="s">
        <v>26</v>
      </c>
      <c r="Q1271" s="17">
        <v>12</v>
      </c>
      <c r="R1271" s="17" t="s">
        <v>27</v>
      </c>
      <c r="S1271" s="14" t="str">
        <f t="shared" si="19"/>
        <v>Week 5</v>
      </c>
    </row>
    <row r="1272" spans="1:19" x14ac:dyDescent="0.3">
      <c r="A1272" s="8" t="s">
        <v>1536</v>
      </c>
      <c r="B1272" s="9">
        <v>43100</v>
      </c>
      <c r="C1272" s="10" t="s">
        <v>468</v>
      </c>
      <c r="D1272" s="10" t="s">
        <v>21</v>
      </c>
      <c r="E1272" s="10" t="s">
        <v>31</v>
      </c>
      <c r="F1272" s="11">
        <v>6</v>
      </c>
      <c r="G1272" s="12">
        <v>234.5</v>
      </c>
      <c r="H1272" s="12">
        <v>1407</v>
      </c>
      <c r="I1272" s="13">
        <v>128.97499999999999</v>
      </c>
      <c r="J1272" s="10" t="s">
        <v>225</v>
      </c>
      <c r="K1272" s="10" t="s">
        <v>226</v>
      </c>
      <c r="L1272" s="10" t="s">
        <v>25</v>
      </c>
      <c r="M1272" s="12">
        <v>773.85</v>
      </c>
      <c r="N1272" s="12">
        <v>633.14999999999895</v>
      </c>
      <c r="O1272" s="10">
        <v>44.999999999999901</v>
      </c>
      <c r="P1272" s="10" t="s">
        <v>26</v>
      </c>
      <c r="Q1272" s="10">
        <v>12</v>
      </c>
      <c r="R1272" s="10" t="s">
        <v>27</v>
      </c>
      <c r="S1272" s="14" t="str">
        <f t="shared" si="19"/>
        <v>Week 5</v>
      </c>
    </row>
    <row r="1273" spans="1:19" x14ac:dyDescent="0.3">
      <c r="A1273" s="15" t="s">
        <v>1537</v>
      </c>
      <c r="B1273" s="16">
        <v>43100</v>
      </c>
      <c r="C1273" s="17" t="s">
        <v>154</v>
      </c>
      <c r="D1273" s="17" t="s">
        <v>30</v>
      </c>
      <c r="E1273" s="17" t="s">
        <v>228</v>
      </c>
      <c r="F1273" s="18">
        <v>9</v>
      </c>
      <c r="G1273" s="19">
        <v>3812.3</v>
      </c>
      <c r="H1273" s="19">
        <v>34310.700000000004</v>
      </c>
      <c r="I1273" s="20">
        <v>2211.134</v>
      </c>
      <c r="J1273" s="17" t="s">
        <v>405</v>
      </c>
      <c r="K1273" s="17" t="s">
        <v>406</v>
      </c>
      <c r="L1273" s="17" t="s">
        <v>56</v>
      </c>
      <c r="M1273" s="19">
        <v>19900.205999999998</v>
      </c>
      <c r="N1273" s="19">
        <v>14410.494000000001</v>
      </c>
      <c r="O1273" s="17">
        <v>42</v>
      </c>
      <c r="P1273" s="17" t="s">
        <v>26</v>
      </c>
      <c r="Q1273" s="17">
        <v>12</v>
      </c>
      <c r="R1273" s="17" t="s">
        <v>27</v>
      </c>
      <c r="S1273" s="14" t="str">
        <f t="shared" si="19"/>
        <v>Week 5</v>
      </c>
    </row>
    <row r="1274" spans="1:19" x14ac:dyDescent="0.3">
      <c r="A1274" s="8" t="s">
        <v>1538</v>
      </c>
      <c r="B1274" s="9">
        <v>43100</v>
      </c>
      <c r="C1274" s="10" t="s">
        <v>474</v>
      </c>
      <c r="D1274" s="10" t="s">
        <v>21</v>
      </c>
      <c r="E1274" s="10" t="s">
        <v>44</v>
      </c>
      <c r="F1274" s="11">
        <v>10</v>
      </c>
      <c r="G1274" s="12">
        <v>1118.9000000000001</v>
      </c>
      <c r="H1274" s="12">
        <v>11189</v>
      </c>
      <c r="I1274" s="13">
        <v>503.505</v>
      </c>
      <c r="J1274" s="10" t="s">
        <v>45</v>
      </c>
      <c r="K1274" s="10" t="s">
        <v>46</v>
      </c>
      <c r="L1274" s="10" t="s">
        <v>34</v>
      </c>
      <c r="M1274" s="12">
        <v>5035.05</v>
      </c>
      <c r="N1274" s="12">
        <v>6153.95</v>
      </c>
      <c r="O1274" s="10">
        <v>54.999999999999901</v>
      </c>
      <c r="P1274" s="10" t="s">
        <v>26</v>
      </c>
      <c r="Q1274" s="10">
        <v>12</v>
      </c>
      <c r="R1274" s="10" t="s">
        <v>27</v>
      </c>
      <c r="S1274" s="14" t="str">
        <f t="shared" si="19"/>
        <v>Week 5</v>
      </c>
    </row>
    <row r="1275" spans="1:19" x14ac:dyDescent="0.3">
      <c r="A1275" s="15" t="s">
        <v>1539</v>
      </c>
      <c r="B1275" s="16">
        <v>43100</v>
      </c>
      <c r="C1275" s="17" t="s">
        <v>114</v>
      </c>
      <c r="D1275" s="17" t="s">
        <v>21</v>
      </c>
      <c r="E1275" s="17" t="s">
        <v>197</v>
      </c>
      <c r="F1275" s="18">
        <v>9</v>
      </c>
      <c r="G1275" s="19">
        <v>2418.6999999999998</v>
      </c>
      <c r="H1275" s="19">
        <v>21768.3</v>
      </c>
      <c r="I1275" s="20">
        <v>1596.3420000000001</v>
      </c>
      <c r="J1275" s="17" t="s">
        <v>436</v>
      </c>
      <c r="K1275" s="17" t="s">
        <v>437</v>
      </c>
      <c r="L1275" s="17" t="s">
        <v>25</v>
      </c>
      <c r="M1275" s="19">
        <v>14367.078</v>
      </c>
      <c r="N1275" s="19">
        <v>7401.2219999999998</v>
      </c>
      <c r="O1275" s="17">
        <v>34</v>
      </c>
      <c r="P1275" s="17" t="s">
        <v>26</v>
      </c>
      <c r="Q1275" s="17">
        <v>12</v>
      </c>
      <c r="R1275" s="17" t="s">
        <v>27</v>
      </c>
      <c r="S1275" s="14" t="str">
        <f t="shared" si="19"/>
        <v>Week 5</v>
      </c>
    </row>
    <row r="1276" spans="1:19" x14ac:dyDescent="0.3">
      <c r="A1276" s="8" t="s">
        <v>1540</v>
      </c>
      <c r="B1276" s="9">
        <v>43100</v>
      </c>
      <c r="C1276" s="10" t="s">
        <v>478</v>
      </c>
      <c r="D1276" s="10" t="s">
        <v>30</v>
      </c>
      <c r="E1276" s="10" t="s">
        <v>120</v>
      </c>
      <c r="F1276" s="11">
        <v>7</v>
      </c>
      <c r="G1276" s="12">
        <v>1085.4000000000001</v>
      </c>
      <c r="H1276" s="12">
        <v>7597.8000000000011</v>
      </c>
      <c r="I1276" s="13">
        <v>629.53200000000004</v>
      </c>
      <c r="J1276" s="10" t="s">
        <v>76</v>
      </c>
      <c r="K1276" s="10" t="s">
        <v>77</v>
      </c>
      <c r="L1276" s="10" t="s">
        <v>56</v>
      </c>
      <c r="M1276" s="12">
        <v>4406.7240000000002</v>
      </c>
      <c r="N1276" s="12">
        <v>3191.076</v>
      </c>
      <c r="O1276" s="10">
        <v>42</v>
      </c>
      <c r="P1276" s="10" t="s">
        <v>26</v>
      </c>
      <c r="Q1276" s="10">
        <v>12</v>
      </c>
      <c r="R1276" s="10" t="s">
        <v>27</v>
      </c>
      <c r="S1276" s="14" t="str">
        <f t="shared" si="19"/>
        <v>Week 5</v>
      </c>
    </row>
    <row r="1277" spans="1:19" x14ac:dyDescent="0.3">
      <c r="A1277" s="15" t="s">
        <v>1541</v>
      </c>
      <c r="B1277" s="16">
        <v>43100</v>
      </c>
      <c r="C1277" s="17" t="s">
        <v>856</v>
      </c>
      <c r="D1277" s="17" t="s">
        <v>30</v>
      </c>
      <c r="E1277" s="17" t="s">
        <v>31</v>
      </c>
      <c r="F1277" s="18">
        <v>9</v>
      </c>
      <c r="G1277" s="19">
        <v>797.3</v>
      </c>
      <c r="H1277" s="19">
        <v>7175.7</v>
      </c>
      <c r="I1277" s="20">
        <v>422.56900000000002</v>
      </c>
      <c r="J1277" s="17" t="s">
        <v>54</v>
      </c>
      <c r="K1277" s="17" t="s">
        <v>55</v>
      </c>
      <c r="L1277" s="17" t="s">
        <v>56</v>
      </c>
      <c r="M1277" s="19">
        <v>3803.1210000000001</v>
      </c>
      <c r="N1277" s="19">
        <v>3372.5790000000002</v>
      </c>
      <c r="O1277" s="17">
        <v>47</v>
      </c>
      <c r="P1277" s="17" t="s">
        <v>26</v>
      </c>
      <c r="Q1277" s="17">
        <v>12</v>
      </c>
      <c r="R1277" s="17" t="s">
        <v>27</v>
      </c>
      <c r="S1277" s="14" t="str">
        <f t="shared" si="19"/>
        <v>Week 5</v>
      </c>
    </row>
    <row r="1278" spans="1:19" x14ac:dyDescent="0.3">
      <c r="A1278" s="8" t="s">
        <v>828</v>
      </c>
      <c r="B1278" s="9">
        <v>43100</v>
      </c>
      <c r="C1278" s="10" t="s">
        <v>591</v>
      </c>
      <c r="D1278" s="10" t="s">
        <v>21</v>
      </c>
      <c r="E1278" s="10" t="s">
        <v>149</v>
      </c>
      <c r="F1278" s="11">
        <v>5</v>
      </c>
      <c r="G1278" s="12">
        <v>1989.9</v>
      </c>
      <c r="H1278" s="12">
        <v>9949.5</v>
      </c>
      <c r="I1278" s="13">
        <v>1631.7180000000001</v>
      </c>
      <c r="J1278" s="10" t="s">
        <v>45</v>
      </c>
      <c r="K1278" s="10" t="s">
        <v>46</v>
      </c>
      <c r="L1278" s="10" t="s">
        <v>34</v>
      </c>
      <c r="M1278" s="12">
        <v>8158.59</v>
      </c>
      <c r="N1278" s="12">
        <v>1790.9099999999901</v>
      </c>
      <c r="O1278" s="10">
        <v>18</v>
      </c>
      <c r="P1278" s="10" t="s">
        <v>26</v>
      </c>
      <c r="Q1278" s="10">
        <v>12</v>
      </c>
      <c r="R1278" s="10" t="s">
        <v>27</v>
      </c>
      <c r="S1278" s="14" t="str">
        <f t="shared" si="19"/>
        <v>Week 5</v>
      </c>
    </row>
    <row r="1279" spans="1:19" x14ac:dyDescent="0.3">
      <c r="A1279" s="15" t="s">
        <v>1542</v>
      </c>
      <c r="B1279" s="16">
        <v>43100</v>
      </c>
      <c r="C1279" s="17" t="s">
        <v>435</v>
      </c>
      <c r="D1279" s="17" t="s">
        <v>21</v>
      </c>
      <c r="E1279" s="17" t="s">
        <v>418</v>
      </c>
      <c r="F1279" s="18">
        <v>6</v>
      </c>
      <c r="G1279" s="19">
        <v>1855.9</v>
      </c>
      <c r="H1279" s="19">
        <v>11135.400000000001</v>
      </c>
      <c r="I1279" s="20">
        <v>816.596</v>
      </c>
      <c r="J1279" s="17" t="s">
        <v>218</v>
      </c>
      <c r="K1279" s="17" t="s">
        <v>219</v>
      </c>
      <c r="L1279" s="17" t="s">
        <v>34</v>
      </c>
      <c r="M1279" s="19">
        <v>4899.576</v>
      </c>
      <c r="N1279" s="19">
        <v>6235.8239999999996</v>
      </c>
      <c r="O1279" s="17">
        <v>56</v>
      </c>
      <c r="P1279" s="17" t="s">
        <v>26</v>
      </c>
      <c r="Q1279" s="17">
        <v>12</v>
      </c>
      <c r="R1279" s="17" t="s">
        <v>27</v>
      </c>
      <c r="S1279" s="14" t="str">
        <f t="shared" si="19"/>
        <v>Week 5</v>
      </c>
    </row>
    <row r="1280" spans="1:19" x14ac:dyDescent="0.3">
      <c r="A1280" s="8" t="s">
        <v>1543</v>
      </c>
      <c r="B1280" s="9">
        <v>43100</v>
      </c>
      <c r="C1280" s="10" t="s">
        <v>499</v>
      </c>
      <c r="D1280" s="10" t="s">
        <v>21</v>
      </c>
      <c r="E1280" s="10" t="s">
        <v>191</v>
      </c>
      <c r="F1280" s="11">
        <v>11</v>
      </c>
      <c r="G1280" s="12">
        <v>2298.1</v>
      </c>
      <c r="H1280" s="12">
        <v>25279.1</v>
      </c>
      <c r="I1280" s="13">
        <v>988.18299999999999</v>
      </c>
      <c r="J1280" s="10" t="s">
        <v>766</v>
      </c>
      <c r="K1280" s="10" t="s">
        <v>767</v>
      </c>
      <c r="L1280" s="10" t="s">
        <v>56</v>
      </c>
      <c r="M1280" s="12">
        <v>10870.012999999901</v>
      </c>
      <c r="N1280" s="12">
        <v>14409.087</v>
      </c>
      <c r="O1280" s="10">
        <v>57</v>
      </c>
      <c r="P1280" s="10" t="s">
        <v>26</v>
      </c>
      <c r="Q1280" s="10">
        <v>12</v>
      </c>
      <c r="R1280" s="10" t="s">
        <v>27</v>
      </c>
      <c r="S1280" s="14" t="str">
        <f t="shared" si="19"/>
        <v>Week 5</v>
      </c>
    </row>
    <row r="1281" spans="1:19" x14ac:dyDescent="0.3">
      <c r="A1281" s="15" t="s">
        <v>1544</v>
      </c>
      <c r="B1281" s="16">
        <v>43100</v>
      </c>
      <c r="C1281" s="17" t="s">
        <v>321</v>
      </c>
      <c r="D1281" s="17" t="s">
        <v>21</v>
      </c>
      <c r="E1281" s="17" t="s">
        <v>91</v>
      </c>
      <c r="F1281" s="18">
        <v>9</v>
      </c>
      <c r="G1281" s="19">
        <v>1842.5</v>
      </c>
      <c r="H1281" s="19">
        <v>16582.5</v>
      </c>
      <c r="I1281" s="20">
        <v>1529.2749999999901</v>
      </c>
      <c r="J1281" s="17" t="s">
        <v>76</v>
      </c>
      <c r="K1281" s="17" t="s">
        <v>77</v>
      </c>
      <c r="L1281" s="17" t="s">
        <v>56</v>
      </c>
      <c r="M1281" s="19">
        <v>13763.4749999999</v>
      </c>
      <c r="N1281" s="19">
        <v>2819.0250000000001</v>
      </c>
      <c r="O1281" s="17">
        <v>17</v>
      </c>
      <c r="P1281" s="17" t="s">
        <v>26</v>
      </c>
      <c r="Q1281" s="17">
        <v>12</v>
      </c>
      <c r="R1281" s="17" t="s">
        <v>27</v>
      </c>
      <c r="S1281" s="14" t="str">
        <f t="shared" si="19"/>
        <v>Week 5</v>
      </c>
    </row>
    <row r="1282" spans="1:19" x14ac:dyDescent="0.3">
      <c r="A1282" s="8" t="s">
        <v>1545</v>
      </c>
      <c r="B1282" s="9">
        <v>43100</v>
      </c>
      <c r="C1282" s="10" t="s">
        <v>136</v>
      </c>
      <c r="D1282" s="10" t="s">
        <v>30</v>
      </c>
      <c r="E1282" s="10" t="s">
        <v>265</v>
      </c>
      <c r="F1282" s="11">
        <v>11</v>
      </c>
      <c r="G1282" s="12">
        <v>2840.8</v>
      </c>
      <c r="H1282" s="12">
        <v>31248.800000000003</v>
      </c>
      <c r="I1282" s="13">
        <v>1619.2559999999901</v>
      </c>
      <c r="J1282" s="10" t="s">
        <v>23</v>
      </c>
      <c r="K1282" s="10" t="s">
        <v>24</v>
      </c>
      <c r="L1282" s="10" t="s">
        <v>25</v>
      </c>
      <c r="M1282" s="12">
        <v>17811.815999999999</v>
      </c>
      <c r="N1282" s="12">
        <v>13436.984</v>
      </c>
      <c r="O1282" s="10">
        <v>43</v>
      </c>
      <c r="P1282" s="10" t="s">
        <v>26</v>
      </c>
      <c r="Q1282" s="10">
        <v>12</v>
      </c>
      <c r="R1282" s="10" t="s">
        <v>27</v>
      </c>
      <c r="S1282" s="14" t="str">
        <f t="shared" si="19"/>
        <v>Week 5</v>
      </c>
    </row>
    <row r="1283" spans="1:19" x14ac:dyDescent="0.3">
      <c r="A1283" s="15" t="s">
        <v>1546</v>
      </c>
      <c r="B1283" s="16">
        <v>43100</v>
      </c>
      <c r="C1283" s="17" t="s">
        <v>1094</v>
      </c>
      <c r="D1283" s="17" t="s">
        <v>30</v>
      </c>
      <c r="E1283" s="17" t="s">
        <v>115</v>
      </c>
      <c r="F1283" s="18">
        <v>8</v>
      </c>
      <c r="G1283" s="19">
        <v>2546</v>
      </c>
      <c r="H1283" s="19">
        <v>20368</v>
      </c>
      <c r="I1283" s="20">
        <v>2062.2600000000002</v>
      </c>
      <c r="J1283" s="17" t="s">
        <v>177</v>
      </c>
      <c r="K1283" s="17" t="s">
        <v>178</v>
      </c>
      <c r="L1283" s="17" t="s">
        <v>40</v>
      </c>
      <c r="M1283" s="19">
        <v>16498.080000000002</v>
      </c>
      <c r="N1283" s="19">
        <v>3869.9199999999901</v>
      </c>
      <c r="O1283" s="17">
        <v>18.999999999999901</v>
      </c>
      <c r="P1283" s="17" t="s">
        <v>26</v>
      </c>
      <c r="Q1283" s="17">
        <v>12</v>
      </c>
      <c r="R1283" s="17" t="s">
        <v>27</v>
      </c>
      <c r="S1283" s="14" t="str">
        <f t="shared" ref="S1283:S1314" si="20">"Week "&amp;INT((DAY(B1283)-1)/7)+1</f>
        <v>Week 5</v>
      </c>
    </row>
    <row r="1284" spans="1:19" x14ac:dyDescent="0.3">
      <c r="A1284" s="8" t="s">
        <v>1547</v>
      </c>
      <c r="B1284" s="9">
        <v>43100</v>
      </c>
      <c r="C1284" s="10" t="s">
        <v>594</v>
      </c>
      <c r="D1284" s="10" t="s">
        <v>21</v>
      </c>
      <c r="E1284" s="10" t="s">
        <v>73</v>
      </c>
      <c r="F1284" s="11">
        <v>12</v>
      </c>
      <c r="G1284" s="12">
        <v>214.4</v>
      </c>
      <c r="H1284" s="12">
        <v>2572.8000000000002</v>
      </c>
      <c r="I1284" s="13">
        <v>175.80799999999999</v>
      </c>
      <c r="J1284" s="10" t="s">
        <v>83</v>
      </c>
      <c r="K1284" s="10" t="s">
        <v>84</v>
      </c>
      <c r="L1284" s="10" t="s">
        <v>34</v>
      </c>
      <c r="M1284" s="12">
        <v>2109.6959999999999</v>
      </c>
      <c r="N1284" s="12">
        <v>463.10399999999998</v>
      </c>
      <c r="O1284" s="10">
        <v>18</v>
      </c>
      <c r="P1284" s="10" t="s">
        <v>26</v>
      </c>
      <c r="Q1284" s="10">
        <v>12</v>
      </c>
      <c r="R1284" s="10" t="s">
        <v>27</v>
      </c>
      <c r="S1284" s="14" t="str">
        <f t="shared" si="20"/>
        <v>Week 5</v>
      </c>
    </row>
    <row r="1285" spans="1:19" x14ac:dyDescent="0.3">
      <c r="A1285" s="15" t="s">
        <v>1548</v>
      </c>
      <c r="B1285" s="16">
        <v>43100</v>
      </c>
      <c r="C1285" s="17" t="s">
        <v>68</v>
      </c>
      <c r="D1285" s="17" t="s">
        <v>21</v>
      </c>
      <c r="E1285" s="17" t="s">
        <v>93</v>
      </c>
      <c r="F1285" s="18">
        <v>6</v>
      </c>
      <c r="G1285" s="19">
        <v>6492.3</v>
      </c>
      <c r="H1285" s="19">
        <v>38953.800000000003</v>
      </c>
      <c r="I1285" s="20">
        <v>2661.8429999999998</v>
      </c>
      <c r="J1285" s="17" t="s">
        <v>766</v>
      </c>
      <c r="K1285" s="17" t="s">
        <v>767</v>
      </c>
      <c r="L1285" s="17" t="s">
        <v>56</v>
      </c>
      <c r="M1285" s="19">
        <v>15971.057999999901</v>
      </c>
      <c r="N1285" s="19">
        <v>22982.741999999998</v>
      </c>
      <c r="O1285" s="17">
        <v>59</v>
      </c>
      <c r="P1285" s="17" t="s">
        <v>26</v>
      </c>
      <c r="Q1285" s="17">
        <v>12</v>
      </c>
      <c r="R1285" s="17" t="s">
        <v>27</v>
      </c>
      <c r="S1285" s="14" t="str">
        <f t="shared" si="20"/>
        <v>Week 5</v>
      </c>
    </row>
    <row r="1286" spans="1:19" x14ac:dyDescent="0.3">
      <c r="A1286" s="8" t="s">
        <v>1549</v>
      </c>
      <c r="B1286" s="9">
        <v>43100</v>
      </c>
      <c r="C1286" s="10" t="s">
        <v>1413</v>
      </c>
      <c r="D1286" s="10" t="s">
        <v>21</v>
      </c>
      <c r="E1286" s="10" t="s">
        <v>418</v>
      </c>
      <c r="F1286" s="11">
        <v>11</v>
      </c>
      <c r="G1286" s="12">
        <v>1159.0999999999999</v>
      </c>
      <c r="H1286" s="12">
        <v>12750.099999999999</v>
      </c>
      <c r="I1286" s="13">
        <v>475.23099999999999</v>
      </c>
      <c r="J1286" s="10" t="s">
        <v>225</v>
      </c>
      <c r="K1286" s="10" t="s">
        <v>226</v>
      </c>
      <c r="L1286" s="10" t="s">
        <v>25</v>
      </c>
      <c r="M1286" s="12">
        <v>5227.5410000000002</v>
      </c>
      <c r="N1286" s="12">
        <v>7522.5590000000002</v>
      </c>
      <c r="O1286" s="10">
        <v>59</v>
      </c>
      <c r="P1286" s="10" t="s">
        <v>26</v>
      </c>
      <c r="Q1286" s="10">
        <v>12</v>
      </c>
      <c r="R1286" s="10" t="s">
        <v>27</v>
      </c>
      <c r="S1286" s="14" t="str">
        <f t="shared" si="20"/>
        <v>Week 5</v>
      </c>
    </row>
    <row r="1287" spans="1:19" x14ac:dyDescent="0.3">
      <c r="A1287" s="15" t="s">
        <v>710</v>
      </c>
      <c r="B1287" s="16">
        <v>43100</v>
      </c>
      <c r="C1287" s="17" t="s">
        <v>29</v>
      </c>
      <c r="D1287" s="17" t="s">
        <v>30</v>
      </c>
      <c r="E1287" s="17" t="s">
        <v>115</v>
      </c>
      <c r="F1287" s="18">
        <v>5</v>
      </c>
      <c r="G1287" s="19">
        <v>1728.6</v>
      </c>
      <c r="H1287" s="19">
        <v>8643</v>
      </c>
      <c r="I1287" s="20">
        <v>1123.5899999999999</v>
      </c>
      <c r="J1287" s="17" t="s">
        <v>38</v>
      </c>
      <c r="K1287" s="17" t="s">
        <v>39</v>
      </c>
      <c r="L1287" s="17" t="s">
        <v>40</v>
      </c>
      <c r="M1287" s="19">
        <v>5617.95</v>
      </c>
      <c r="N1287" s="19">
        <v>3025.0499999999902</v>
      </c>
      <c r="O1287" s="17">
        <v>34.999999999999901</v>
      </c>
      <c r="P1287" s="17" t="s">
        <v>26</v>
      </c>
      <c r="Q1287" s="17">
        <v>12</v>
      </c>
      <c r="R1287" s="17" t="s">
        <v>27</v>
      </c>
      <c r="S1287" s="14" t="str">
        <f t="shared" si="20"/>
        <v>Week 5</v>
      </c>
    </row>
    <row r="1288" spans="1:19" x14ac:dyDescent="0.3">
      <c r="A1288" s="8" t="s">
        <v>1550</v>
      </c>
      <c r="B1288" s="9">
        <v>43100</v>
      </c>
      <c r="C1288" s="10" t="s">
        <v>435</v>
      </c>
      <c r="D1288" s="10" t="s">
        <v>21</v>
      </c>
      <c r="E1288" s="10" t="s">
        <v>306</v>
      </c>
      <c r="F1288" s="11">
        <v>5</v>
      </c>
      <c r="G1288" s="12">
        <v>3819</v>
      </c>
      <c r="H1288" s="12">
        <v>19095</v>
      </c>
      <c r="I1288" s="13">
        <v>2864.25</v>
      </c>
      <c r="J1288" s="10" t="s">
        <v>454</v>
      </c>
      <c r="K1288" s="10" t="s">
        <v>455</v>
      </c>
      <c r="L1288" s="10" t="s">
        <v>25</v>
      </c>
      <c r="M1288" s="12">
        <v>14321.25</v>
      </c>
      <c r="N1288" s="12">
        <v>4773.75</v>
      </c>
      <c r="O1288" s="10">
        <v>25</v>
      </c>
      <c r="P1288" s="10" t="s">
        <v>26</v>
      </c>
      <c r="Q1288" s="10">
        <v>12</v>
      </c>
      <c r="R1288" s="10" t="s">
        <v>27</v>
      </c>
      <c r="S1288" s="14" t="str">
        <f t="shared" si="20"/>
        <v>Week 5</v>
      </c>
    </row>
    <row r="1289" spans="1:19" x14ac:dyDescent="0.3">
      <c r="A1289" s="15" t="s">
        <v>1551</v>
      </c>
      <c r="B1289" s="16">
        <v>43100</v>
      </c>
      <c r="C1289" s="17" t="s">
        <v>499</v>
      </c>
      <c r="D1289" s="17" t="s">
        <v>30</v>
      </c>
      <c r="E1289" s="17" t="s">
        <v>120</v>
      </c>
      <c r="F1289" s="18">
        <v>5</v>
      </c>
      <c r="G1289" s="19">
        <v>268</v>
      </c>
      <c r="H1289" s="19">
        <v>1340</v>
      </c>
      <c r="I1289" s="20">
        <v>131.32</v>
      </c>
      <c r="J1289" s="17" t="s">
        <v>536</v>
      </c>
      <c r="K1289" s="17" t="s">
        <v>537</v>
      </c>
      <c r="L1289" s="17" t="s">
        <v>25</v>
      </c>
      <c r="M1289" s="19">
        <v>656.599999999999</v>
      </c>
      <c r="N1289" s="19">
        <v>683.4</v>
      </c>
      <c r="O1289" s="17">
        <v>51</v>
      </c>
      <c r="P1289" s="17" t="s">
        <v>26</v>
      </c>
      <c r="Q1289" s="17">
        <v>12</v>
      </c>
      <c r="R1289" s="17" t="s">
        <v>27</v>
      </c>
      <c r="S1289" s="14" t="str">
        <f t="shared" si="20"/>
        <v>Week 5</v>
      </c>
    </row>
    <row r="1290" spans="1:19" x14ac:dyDescent="0.3">
      <c r="A1290" s="8" t="s">
        <v>533</v>
      </c>
      <c r="B1290" s="9">
        <v>43100</v>
      </c>
      <c r="C1290" s="10" t="s">
        <v>82</v>
      </c>
      <c r="D1290" s="10" t="s">
        <v>30</v>
      </c>
      <c r="E1290" s="10" t="s">
        <v>31</v>
      </c>
      <c r="F1290" s="11">
        <v>12</v>
      </c>
      <c r="G1290" s="12">
        <v>2479</v>
      </c>
      <c r="H1290" s="12">
        <v>29748</v>
      </c>
      <c r="I1290" s="13">
        <v>1512.19</v>
      </c>
      <c r="J1290" s="10" t="s">
        <v>614</v>
      </c>
      <c r="K1290" s="10" t="s">
        <v>615</v>
      </c>
      <c r="L1290" s="10" t="s">
        <v>34</v>
      </c>
      <c r="M1290" s="12">
        <v>18146.28</v>
      </c>
      <c r="N1290" s="12">
        <v>11601.72</v>
      </c>
      <c r="O1290" s="10">
        <v>39</v>
      </c>
      <c r="P1290" s="10" t="s">
        <v>26</v>
      </c>
      <c r="Q1290" s="10">
        <v>12</v>
      </c>
      <c r="R1290" s="10" t="s">
        <v>27</v>
      </c>
      <c r="S1290" s="14" t="str">
        <f t="shared" si="20"/>
        <v>Week 5</v>
      </c>
    </row>
    <row r="1291" spans="1:19" x14ac:dyDescent="0.3">
      <c r="A1291" s="15" t="s">
        <v>1552</v>
      </c>
      <c r="B1291" s="16">
        <v>43100</v>
      </c>
      <c r="C1291" s="17" t="s">
        <v>1413</v>
      </c>
      <c r="D1291" s="17" t="s">
        <v>30</v>
      </c>
      <c r="E1291" s="17" t="s">
        <v>284</v>
      </c>
      <c r="F1291" s="18">
        <v>5</v>
      </c>
      <c r="G1291" s="19">
        <v>2458.9</v>
      </c>
      <c r="H1291" s="19">
        <v>12294.5</v>
      </c>
      <c r="I1291" s="20">
        <v>1549.107</v>
      </c>
      <c r="J1291" s="17" t="s">
        <v>458</v>
      </c>
      <c r="K1291" s="17" t="s">
        <v>459</v>
      </c>
      <c r="L1291" s="17" t="s">
        <v>34</v>
      </c>
      <c r="M1291" s="19">
        <v>7745.5349999999999</v>
      </c>
      <c r="N1291" s="19">
        <v>4548.9650000000001</v>
      </c>
      <c r="O1291" s="17">
        <v>37</v>
      </c>
      <c r="P1291" s="17" t="s">
        <v>26</v>
      </c>
      <c r="Q1291" s="17">
        <v>12</v>
      </c>
      <c r="R1291" s="17" t="s">
        <v>27</v>
      </c>
      <c r="S1291" s="14" t="str">
        <f t="shared" si="20"/>
        <v>Week 5</v>
      </c>
    </row>
    <row r="1292" spans="1:19" x14ac:dyDescent="0.3">
      <c r="A1292" s="8" t="s">
        <v>1553</v>
      </c>
      <c r="B1292" s="9">
        <v>43100</v>
      </c>
      <c r="C1292" s="10" t="s">
        <v>131</v>
      </c>
      <c r="D1292" s="10" t="s">
        <v>30</v>
      </c>
      <c r="E1292" s="10" t="s">
        <v>73</v>
      </c>
      <c r="F1292" s="11">
        <v>7</v>
      </c>
      <c r="G1292" s="12">
        <v>1775.5</v>
      </c>
      <c r="H1292" s="12">
        <v>12428.5</v>
      </c>
      <c r="I1292" s="13">
        <v>1473.665</v>
      </c>
      <c r="J1292" s="10" t="s">
        <v>45</v>
      </c>
      <c r="K1292" s="10" t="s">
        <v>46</v>
      </c>
      <c r="L1292" s="10" t="s">
        <v>34</v>
      </c>
      <c r="M1292" s="12">
        <v>10315.654999999901</v>
      </c>
      <c r="N1292" s="12">
        <v>2112.8449999999998</v>
      </c>
      <c r="O1292" s="10">
        <v>17</v>
      </c>
      <c r="P1292" s="10" t="s">
        <v>26</v>
      </c>
      <c r="Q1292" s="10">
        <v>12</v>
      </c>
      <c r="R1292" s="10" t="s">
        <v>27</v>
      </c>
      <c r="S1292" s="14" t="str">
        <f t="shared" si="20"/>
        <v>Week 5</v>
      </c>
    </row>
    <row r="1293" spans="1:19" x14ac:dyDescent="0.3">
      <c r="A1293" s="15" t="s">
        <v>1554</v>
      </c>
      <c r="B1293" s="16">
        <v>43100</v>
      </c>
      <c r="C1293" s="17" t="s">
        <v>221</v>
      </c>
      <c r="D1293" s="17" t="s">
        <v>21</v>
      </c>
      <c r="E1293" s="17" t="s">
        <v>191</v>
      </c>
      <c r="F1293" s="18">
        <v>6</v>
      </c>
      <c r="G1293" s="19">
        <v>3845.8</v>
      </c>
      <c r="H1293" s="19">
        <v>23074.800000000003</v>
      </c>
      <c r="I1293" s="20">
        <v>1769.068</v>
      </c>
      <c r="J1293" s="17" t="s">
        <v>32</v>
      </c>
      <c r="K1293" s="17" t="s">
        <v>33</v>
      </c>
      <c r="L1293" s="17" t="s">
        <v>34</v>
      </c>
      <c r="M1293" s="19">
        <v>10614.407999999999</v>
      </c>
      <c r="N1293" s="19">
        <v>12460.392</v>
      </c>
      <c r="O1293" s="17">
        <v>54</v>
      </c>
      <c r="P1293" s="17" t="s">
        <v>26</v>
      </c>
      <c r="Q1293" s="17">
        <v>12</v>
      </c>
      <c r="R1293" s="17" t="s">
        <v>27</v>
      </c>
      <c r="S1293" s="14" t="str">
        <f t="shared" si="20"/>
        <v>Week 5</v>
      </c>
    </row>
    <row r="1294" spans="1:19" x14ac:dyDescent="0.3">
      <c r="A1294" s="8" t="s">
        <v>1555</v>
      </c>
      <c r="B1294" s="9">
        <v>43100</v>
      </c>
      <c r="C1294" s="10" t="s">
        <v>453</v>
      </c>
      <c r="D1294" s="10" t="s">
        <v>21</v>
      </c>
      <c r="E1294" s="10" t="s">
        <v>115</v>
      </c>
      <c r="F1294" s="11">
        <v>7</v>
      </c>
      <c r="G1294" s="12">
        <v>891.1</v>
      </c>
      <c r="H1294" s="12">
        <v>6237.7</v>
      </c>
      <c r="I1294" s="13">
        <v>427.72800000000001</v>
      </c>
      <c r="J1294" s="10" t="s">
        <v>23</v>
      </c>
      <c r="K1294" s="10" t="s">
        <v>24</v>
      </c>
      <c r="L1294" s="10" t="s">
        <v>25</v>
      </c>
      <c r="M1294" s="12">
        <v>2994.096</v>
      </c>
      <c r="N1294" s="12">
        <v>3243.6039999999998</v>
      </c>
      <c r="O1294" s="10">
        <v>52</v>
      </c>
      <c r="P1294" s="10" t="s">
        <v>26</v>
      </c>
      <c r="Q1294" s="10">
        <v>12</v>
      </c>
      <c r="R1294" s="10" t="s">
        <v>27</v>
      </c>
      <c r="S1294" s="14" t="str">
        <f t="shared" si="20"/>
        <v>Week 5</v>
      </c>
    </row>
    <row r="1295" spans="1:19" x14ac:dyDescent="0.3">
      <c r="A1295" s="15" t="s">
        <v>1556</v>
      </c>
      <c r="B1295" s="16">
        <v>43100</v>
      </c>
      <c r="C1295" s="17" t="s">
        <v>288</v>
      </c>
      <c r="D1295" s="17" t="s">
        <v>21</v>
      </c>
      <c r="E1295" s="17" t="s">
        <v>103</v>
      </c>
      <c r="F1295" s="18">
        <v>5</v>
      </c>
      <c r="G1295" s="19">
        <v>1025.0999999999999</v>
      </c>
      <c r="H1295" s="19">
        <v>5125.5</v>
      </c>
      <c r="I1295" s="20">
        <v>717.57</v>
      </c>
      <c r="J1295" s="17" t="s">
        <v>45</v>
      </c>
      <c r="K1295" s="17" t="s">
        <v>46</v>
      </c>
      <c r="L1295" s="17" t="s">
        <v>34</v>
      </c>
      <c r="M1295" s="19">
        <v>3587.85</v>
      </c>
      <c r="N1295" s="19">
        <v>1537.65</v>
      </c>
      <c r="O1295" s="17">
        <v>30</v>
      </c>
      <c r="P1295" s="17" t="s">
        <v>26</v>
      </c>
      <c r="Q1295" s="17">
        <v>12</v>
      </c>
      <c r="R1295" s="17" t="s">
        <v>27</v>
      </c>
      <c r="S1295" s="14" t="str">
        <f t="shared" si="20"/>
        <v>Week 5</v>
      </c>
    </row>
    <row r="1296" spans="1:19" x14ac:dyDescent="0.3">
      <c r="A1296" s="8" t="s">
        <v>1557</v>
      </c>
      <c r="B1296" s="9">
        <v>43100</v>
      </c>
      <c r="C1296" s="10" t="s">
        <v>626</v>
      </c>
      <c r="D1296" s="10" t="s">
        <v>21</v>
      </c>
      <c r="E1296" s="10" t="s">
        <v>62</v>
      </c>
      <c r="F1296" s="11">
        <v>10</v>
      </c>
      <c r="G1296" s="12">
        <v>3249.5</v>
      </c>
      <c r="H1296" s="12">
        <v>32495</v>
      </c>
      <c r="I1296" s="13">
        <v>2697.085</v>
      </c>
      <c r="J1296" s="10" t="s">
        <v>536</v>
      </c>
      <c r="K1296" s="10" t="s">
        <v>537</v>
      </c>
      <c r="L1296" s="10" t="s">
        <v>25</v>
      </c>
      <c r="M1296" s="12">
        <v>26970.85</v>
      </c>
      <c r="N1296" s="12">
        <v>5524.15</v>
      </c>
      <c r="O1296" s="10">
        <v>17</v>
      </c>
      <c r="P1296" s="10" t="s">
        <v>26</v>
      </c>
      <c r="Q1296" s="10">
        <v>12</v>
      </c>
      <c r="R1296" s="10" t="s">
        <v>27</v>
      </c>
      <c r="S1296" s="14" t="str">
        <f t="shared" si="20"/>
        <v>Week 5</v>
      </c>
    </row>
    <row r="1297" spans="1:19" x14ac:dyDescent="0.3">
      <c r="A1297" s="15" t="s">
        <v>1558</v>
      </c>
      <c r="B1297" s="16">
        <v>43100</v>
      </c>
      <c r="C1297" s="17" t="s">
        <v>626</v>
      </c>
      <c r="D1297" s="17" t="s">
        <v>21</v>
      </c>
      <c r="E1297" s="17" t="s">
        <v>93</v>
      </c>
      <c r="F1297" s="18">
        <v>8</v>
      </c>
      <c r="G1297" s="19">
        <v>5299.7</v>
      </c>
      <c r="H1297" s="19">
        <v>42397.599999999999</v>
      </c>
      <c r="I1297" s="20">
        <v>2596.8530000000001</v>
      </c>
      <c r="J1297" s="17" t="s">
        <v>23</v>
      </c>
      <c r="K1297" s="17" t="s">
        <v>24</v>
      </c>
      <c r="L1297" s="17" t="s">
        <v>25</v>
      </c>
      <c r="M1297" s="19">
        <v>20774.824000000001</v>
      </c>
      <c r="N1297" s="19">
        <v>21622.7759999999</v>
      </c>
      <c r="O1297" s="17">
        <v>51</v>
      </c>
      <c r="P1297" s="17" t="s">
        <v>26</v>
      </c>
      <c r="Q1297" s="17">
        <v>12</v>
      </c>
      <c r="R1297" s="17" t="s">
        <v>27</v>
      </c>
      <c r="S1297" s="14" t="str">
        <f t="shared" si="20"/>
        <v>Week 5</v>
      </c>
    </row>
    <row r="1298" spans="1:19" x14ac:dyDescent="0.3">
      <c r="A1298" s="8" t="s">
        <v>1559</v>
      </c>
      <c r="B1298" s="9">
        <v>43100</v>
      </c>
      <c r="C1298" s="10" t="s">
        <v>188</v>
      </c>
      <c r="D1298" s="10" t="s">
        <v>21</v>
      </c>
      <c r="E1298" s="10" t="s">
        <v>120</v>
      </c>
      <c r="F1298" s="11">
        <v>5</v>
      </c>
      <c r="G1298" s="12">
        <v>6083.6</v>
      </c>
      <c r="H1298" s="12">
        <v>30418</v>
      </c>
      <c r="I1298" s="13">
        <v>3041.8</v>
      </c>
      <c r="J1298" s="10" t="s">
        <v>54</v>
      </c>
      <c r="K1298" s="10" t="s">
        <v>55</v>
      </c>
      <c r="L1298" s="10" t="s">
        <v>56</v>
      </c>
      <c r="M1298" s="12">
        <v>15209</v>
      </c>
      <c r="N1298" s="12">
        <v>15209</v>
      </c>
      <c r="O1298" s="10">
        <v>50</v>
      </c>
      <c r="P1298" s="10" t="s">
        <v>26</v>
      </c>
      <c r="Q1298" s="10">
        <v>12</v>
      </c>
      <c r="R1298" s="10" t="s">
        <v>27</v>
      </c>
      <c r="S1298" s="14" t="str">
        <f t="shared" si="20"/>
        <v>Week 5</v>
      </c>
    </row>
    <row r="1299" spans="1:19" x14ac:dyDescent="0.3">
      <c r="A1299" s="15" t="s">
        <v>1560</v>
      </c>
      <c r="B1299" s="16">
        <v>43100</v>
      </c>
      <c r="C1299" s="17" t="s">
        <v>126</v>
      </c>
      <c r="D1299" s="17" t="s">
        <v>21</v>
      </c>
      <c r="E1299" s="17" t="s">
        <v>326</v>
      </c>
      <c r="F1299" s="18">
        <v>9</v>
      </c>
      <c r="G1299" s="19">
        <v>3973.1</v>
      </c>
      <c r="H1299" s="19">
        <v>35757.9</v>
      </c>
      <c r="I1299" s="20">
        <v>2185.2049999999999</v>
      </c>
      <c r="J1299" s="17" t="s">
        <v>116</v>
      </c>
      <c r="K1299" s="17" t="s">
        <v>117</v>
      </c>
      <c r="L1299" s="17" t="s">
        <v>40</v>
      </c>
      <c r="M1299" s="19">
        <v>19666.845000000001</v>
      </c>
      <c r="N1299" s="19">
        <v>16091.055</v>
      </c>
      <c r="O1299" s="17">
        <v>45</v>
      </c>
      <c r="P1299" s="17" t="s">
        <v>26</v>
      </c>
      <c r="Q1299" s="17">
        <v>12</v>
      </c>
      <c r="R1299" s="17" t="s">
        <v>27</v>
      </c>
      <c r="S1299" s="14" t="str">
        <f t="shared" si="20"/>
        <v>Week 5</v>
      </c>
    </row>
    <row r="1300" spans="1:19" x14ac:dyDescent="0.3">
      <c r="A1300" s="8" t="s">
        <v>1561</v>
      </c>
      <c r="B1300" s="9">
        <v>43100</v>
      </c>
      <c r="C1300" s="10" t="s">
        <v>297</v>
      </c>
      <c r="D1300" s="10" t="s">
        <v>43</v>
      </c>
      <c r="E1300" s="10" t="s">
        <v>115</v>
      </c>
      <c r="F1300" s="11">
        <v>9</v>
      </c>
      <c r="G1300" s="12">
        <v>1038.5</v>
      </c>
      <c r="H1300" s="12">
        <v>9346.5</v>
      </c>
      <c r="I1300" s="13">
        <v>695.79499999999996</v>
      </c>
      <c r="J1300" s="10" t="s">
        <v>411</v>
      </c>
      <c r="K1300" s="10" t="s">
        <v>412</v>
      </c>
      <c r="L1300" s="10" t="s">
        <v>56</v>
      </c>
      <c r="M1300" s="12">
        <v>6262.1549999999997</v>
      </c>
      <c r="N1300" s="12">
        <v>3084.3449999999898</v>
      </c>
      <c r="O1300" s="10">
        <v>32.999999999999901</v>
      </c>
      <c r="P1300" s="10" t="s">
        <v>26</v>
      </c>
      <c r="Q1300" s="10">
        <v>12</v>
      </c>
      <c r="R1300" s="10" t="s">
        <v>27</v>
      </c>
      <c r="S1300" s="14" t="str">
        <f t="shared" si="20"/>
        <v>Week 5</v>
      </c>
    </row>
    <row r="1301" spans="1:19" x14ac:dyDescent="0.3">
      <c r="A1301" s="15" t="s">
        <v>486</v>
      </c>
      <c r="B1301" s="16">
        <v>43100</v>
      </c>
      <c r="C1301" s="17" t="s">
        <v>487</v>
      </c>
      <c r="D1301" s="17" t="s">
        <v>21</v>
      </c>
      <c r="E1301" s="17" t="s">
        <v>146</v>
      </c>
      <c r="F1301" s="18">
        <v>9</v>
      </c>
      <c r="G1301" s="19">
        <v>241.2</v>
      </c>
      <c r="H1301" s="19">
        <v>2170.7999999999997</v>
      </c>
      <c r="I1301" s="20">
        <v>161.60400000000001</v>
      </c>
      <c r="J1301" s="17" t="s">
        <v>225</v>
      </c>
      <c r="K1301" s="17" t="s">
        <v>226</v>
      </c>
      <c r="L1301" s="17" t="s">
        <v>25</v>
      </c>
      <c r="M1301" s="19">
        <v>1454.4359999999999</v>
      </c>
      <c r="N1301" s="19">
        <v>716.36400000000003</v>
      </c>
      <c r="O1301" s="17">
        <v>32.999999999999901</v>
      </c>
      <c r="P1301" s="17" t="s">
        <v>26</v>
      </c>
      <c r="Q1301" s="17">
        <v>12</v>
      </c>
      <c r="R1301" s="17" t="s">
        <v>27</v>
      </c>
      <c r="S1301" s="14" t="str">
        <f t="shared" si="20"/>
        <v>Week 5</v>
      </c>
    </row>
    <row r="1302" spans="1:19" x14ac:dyDescent="0.3">
      <c r="A1302" s="8" t="s">
        <v>1323</v>
      </c>
      <c r="B1302" s="9">
        <v>43100</v>
      </c>
      <c r="C1302" s="10" t="s">
        <v>145</v>
      </c>
      <c r="D1302" s="10" t="s">
        <v>21</v>
      </c>
      <c r="E1302" s="10" t="s">
        <v>149</v>
      </c>
      <c r="F1302" s="11">
        <v>6</v>
      </c>
      <c r="G1302" s="12">
        <v>1916.2</v>
      </c>
      <c r="H1302" s="12">
        <v>11497.2</v>
      </c>
      <c r="I1302" s="13">
        <v>1207.2059999999999</v>
      </c>
      <c r="J1302" s="10" t="s">
        <v>38</v>
      </c>
      <c r="K1302" s="10" t="s">
        <v>39</v>
      </c>
      <c r="L1302" s="10" t="s">
        <v>40</v>
      </c>
      <c r="M1302" s="12">
        <v>7243.2359999999999</v>
      </c>
      <c r="N1302" s="12">
        <v>4253.9639999999999</v>
      </c>
      <c r="O1302" s="10">
        <v>37</v>
      </c>
      <c r="P1302" s="10" t="s">
        <v>26</v>
      </c>
      <c r="Q1302" s="10">
        <v>12</v>
      </c>
      <c r="R1302" s="10" t="s">
        <v>27</v>
      </c>
      <c r="S1302" s="14" t="str">
        <f t="shared" si="20"/>
        <v>Week 5</v>
      </c>
    </row>
    <row r="1303" spans="1:19" x14ac:dyDescent="0.3">
      <c r="A1303" s="15" t="s">
        <v>1562</v>
      </c>
      <c r="B1303" s="16">
        <v>43100</v>
      </c>
      <c r="C1303" s="17" t="s">
        <v>349</v>
      </c>
      <c r="D1303" s="17" t="s">
        <v>21</v>
      </c>
      <c r="E1303" s="17" t="s">
        <v>191</v>
      </c>
      <c r="F1303" s="18">
        <v>11</v>
      </c>
      <c r="G1303" s="19">
        <v>5768.7</v>
      </c>
      <c r="H1303" s="19">
        <v>63455.7</v>
      </c>
      <c r="I1303" s="20">
        <v>4095.77699999999</v>
      </c>
      <c r="J1303" s="17" t="s">
        <v>54</v>
      </c>
      <c r="K1303" s="17" t="s">
        <v>55</v>
      </c>
      <c r="L1303" s="17" t="s">
        <v>56</v>
      </c>
      <c r="M1303" s="19">
        <v>45053.546999999999</v>
      </c>
      <c r="N1303" s="19">
        <v>18402.152999999998</v>
      </c>
      <c r="O1303" s="17">
        <v>28.999999999999901</v>
      </c>
      <c r="P1303" s="17" t="s">
        <v>26</v>
      </c>
      <c r="Q1303" s="17">
        <v>12</v>
      </c>
      <c r="R1303" s="17" t="s">
        <v>27</v>
      </c>
      <c r="S1303" s="14" t="str">
        <f t="shared" si="20"/>
        <v>Week 5</v>
      </c>
    </row>
    <row r="1304" spans="1:19" x14ac:dyDescent="0.3">
      <c r="A1304" s="8" t="s">
        <v>1305</v>
      </c>
      <c r="B1304" s="9">
        <v>43100</v>
      </c>
      <c r="C1304" s="10" t="s">
        <v>217</v>
      </c>
      <c r="D1304" s="10" t="s">
        <v>43</v>
      </c>
      <c r="E1304" s="10" t="s">
        <v>49</v>
      </c>
      <c r="F1304" s="11">
        <v>6</v>
      </c>
      <c r="G1304" s="12">
        <v>1125.5999999999999</v>
      </c>
      <c r="H1304" s="12">
        <v>6753.5999999999995</v>
      </c>
      <c r="I1304" s="13">
        <v>934.24800000000005</v>
      </c>
      <c r="J1304" s="10" t="s">
        <v>116</v>
      </c>
      <c r="K1304" s="10" t="s">
        <v>117</v>
      </c>
      <c r="L1304" s="10" t="s">
        <v>40</v>
      </c>
      <c r="M1304" s="12">
        <v>5605.4880000000003</v>
      </c>
      <c r="N1304" s="12">
        <v>1148.1120000000001</v>
      </c>
      <c r="O1304" s="10">
        <v>17</v>
      </c>
      <c r="P1304" s="10" t="s">
        <v>26</v>
      </c>
      <c r="Q1304" s="10">
        <v>12</v>
      </c>
      <c r="R1304" s="10" t="s">
        <v>27</v>
      </c>
      <c r="S1304" s="14" t="str">
        <f t="shared" si="20"/>
        <v>Week 5</v>
      </c>
    </row>
    <row r="1305" spans="1:19" x14ac:dyDescent="0.3">
      <c r="A1305" s="15" t="s">
        <v>1563</v>
      </c>
      <c r="B1305" s="16">
        <v>43100</v>
      </c>
      <c r="C1305" s="17" t="s">
        <v>497</v>
      </c>
      <c r="D1305" s="17" t="s">
        <v>30</v>
      </c>
      <c r="E1305" s="17" t="s">
        <v>191</v>
      </c>
      <c r="F1305" s="18">
        <v>10</v>
      </c>
      <c r="G1305" s="19">
        <v>5768.7</v>
      </c>
      <c r="H1305" s="19">
        <v>57687</v>
      </c>
      <c r="I1305" s="20">
        <v>4268.8379999999997</v>
      </c>
      <c r="J1305" s="17" t="s">
        <v>23</v>
      </c>
      <c r="K1305" s="17" t="s">
        <v>24</v>
      </c>
      <c r="L1305" s="17" t="s">
        <v>25</v>
      </c>
      <c r="M1305" s="19">
        <v>42688.38</v>
      </c>
      <c r="N1305" s="19">
        <v>14998.62</v>
      </c>
      <c r="O1305" s="17">
        <v>26</v>
      </c>
      <c r="P1305" s="17" t="s">
        <v>26</v>
      </c>
      <c r="Q1305" s="17">
        <v>12</v>
      </c>
      <c r="R1305" s="17" t="s">
        <v>27</v>
      </c>
      <c r="S1305" s="14" t="str">
        <f t="shared" si="20"/>
        <v>Week 5</v>
      </c>
    </row>
    <row r="1306" spans="1:19" x14ac:dyDescent="0.3">
      <c r="A1306" s="8" t="s">
        <v>1564</v>
      </c>
      <c r="B1306" s="9">
        <v>43100</v>
      </c>
      <c r="C1306" s="10" t="s">
        <v>358</v>
      </c>
      <c r="D1306" s="10" t="s">
        <v>30</v>
      </c>
      <c r="E1306" s="10" t="s">
        <v>37</v>
      </c>
      <c r="F1306" s="11">
        <v>11</v>
      </c>
      <c r="G1306" s="12">
        <v>3899.4</v>
      </c>
      <c r="H1306" s="12">
        <v>42893.4</v>
      </c>
      <c r="I1306" s="13">
        <v>2456.6219999999998</v>
      </c>
      <c r="J1306" s="10" t="s">
        <v>225</v>
      </c>
      <c r="K1306" s="10" t="s">
        <v>226</v>
      </c>
      <c r="L1306" s="10" t="s">
        <v>25</v>
      </c>
      <c r="M1306" s="12">
        <v>27022.842000000001</v>
      </c>
      <c r="N1306" s="12">
        <v>15870.557999999901</v>
      </c>
      <c r="O1306" s="10">
        <v>36.999999999999901</v>
      </c>
      <c r="P1306" s="10" t="s">
        <v>26</v>
      </c>
      <c r="Q1306" s="10">
        <v>12</v>
      </c>
      <c r="R1306" s="10" t="s">
        <v>27</v>
      </c>
      <c r="S1306" s="14" t="str">
        <f t="shared" si="20"/>
        <v>Week 5</v>
      </c>
    </row>
    <row r="1307" spans="1:19" x14ac:dyDescent="0.3">
      <c r="A1307" s="15" t="s">
        <v>1565</v>
      </c>
      <c r="B1307" s="16">
        <v>43100</v>
      </c>
      <c r="C1307" s="17" t="s">
        <v>217</v>
      </c>
      <c r="D1307" s="17" t="s">
        <v>30</v>
      </c>
      <c r="E1307" s="17" t="s">
        <v>110</v>
      </c>
      <c r="F1307" s="18">
        <v>6</v>
      </c>
      <c r="G1307" s="19">
        <v>971.5</v>
      </c>
      <c r="H1307" s="19">
        <v>5829</v>
      </c>
      <c r="I1307" s="20">
        <v>777.2</v>
      </c>
      <c r="J1307" s="17" t="s">
        <v>94</v>
      </c>
      <c r="K1307" s="17" t="s">
        <v>95</v>
      </c>
      <c r="L1307" s="17" t="s">
        <v>40</v>
      </c>
      <c r="M1307" s="19">
        <v>4663.2</v>
      </c>
      <c r="N1307" s="19">
        <v>1165.79999999999</v>
      </c>
      <c r="O1307" s="17">
        <v>19.999999999999901</v>
      </c>
      <c r="P1307" s="17" t="s">
        <v>26</v>
      </c>
      <c r="Q1307" s="17">
        <v>12</v>
      </c>
      <c r="R1307" s="17" t="s">
        <v>27</v>
      </c>
      <c r="S1307" s="14" t="str">
        <f t="shared" si="20"/>
        <v>Week 5</v>
      </c>
    </row>
    <row r="1308" spans="1:19" x14ac:dyDescent="0.3">
      <c r="A1308" s="8" t="s">
        <v>1566</v>
      </c>
      <c r="B1308" s="9">
        <v>43100</v>
      </c>
      <c r="C1308" s="10" t="s">
        <v>664</v>
      </c>
      <c r="D1308" s="10" t="s">
        <v>21</v>
      </c>
      <c r="E1308" s="10" t="s">
        <v>127</v>
      </c>
      <c r="F1308" s="11">
        <v>7</v>
      </c>
      <c r="G1308" s="12">
        <v>1715.2</v>
      </c>
      <c r="H1308" s="12">
        <v>12006.4</v>
      </c>
      <c r="I1308" s="13">
        <v>857.6</v>
      </c>
      <c r="J1308" s="10" t="s">
        <v>222</v>
      </c>
      <c r="K1308" s="10" t="s">
        <v>223</v>
      </c>
      <c r="L1308" s="10" t="s">
        <v>25</v>
      </c>
      <c r="M1308" s="12">
        <v>6003.2</v>
      </c>
      <c r="N1308" s="12">
        <v>6003.2</v>
      </c>
      <c r="O1308" s="10">
        <v>50</v>
      </c>
      <c r="P1308" s="10" t="s">
        <v>26</v>
      </c>
      <c r="Q1308" s="10">
        <v>12</v>
      </c>
      <c r="R1308" s="10" t="s">
        <v>27</v>
      </c>
      <c r="S1308" s="14" t="str">
        <f t="shared" si="20"/>
        <v>Week 5</v>
      </c>
    </row>
    <row r="1309" spans="1:19" x14ac:dyDescent="0.3">
      <c r="A1309" s="15" t="s">
        <v>1567</v>
      </c>
      <c r="B1309" s="16">
        <v>43100</v>
      </c>
      <c r="C1309" s="17" t="s">
        <v>86</v>
      </c>
      <c r="D1309" s="17" t="s">
        <v>43</v>
      </c>
      <c r="E1309" s="17" t="s">
        <v>146</v>
      </c>
      <c r="F1309" s="18">
        <v>12</v>
      </c>
      <c r="G1309" s="19">
        <v>2613</v>
      </c>
      <c r="H1309" s="19">
        <v>31356</v>
      </c>
      <c r="I1309" s="20">
        <v>1802.96999999999</v>
      </c>
      <c r="J1309" s="17" t="s">
        <v>32</v>
      </c>
      <c r="K1309" s="17" t="s">
        <v>33</v>
      </c>
      <c r="L1309" s="17" t="s">
        <v>34</v>
      </c>
      <c r="M1309" s="19">
        <v>21635.64</v>
      </c>
      <c r="N1309" s="19">
        <v>9720.36</v>
      </c>
      <c r="O1309" s="17">
        <v>31</v>
      </c>
      <c r="P1309" s="17" t="s">
        <v>26</v>
      </c>
      <c r="Q1309" s="17">
        <v>12</v>
      </c>
      <c r="R1309" s="17" t="s">
        <v>27</v>
      </c>
      <c r="S1309" s="14" t="str">
        <f t="shared" si="20"/>
        <v>Week 5</v>
      </c>
    </row>
    <row r="1310" spans="1:19" x14ac:dyDescent="0.3">
      <c r="A1310" s="8" t="s">
        <v>1568</v>
      </c>
      <c r="B1310" s="9">
        <v>43100</v>
      </c>
      <c r="C1310" s="10" t="s">
        <v>389</v>
      </c>
      <c r="D1310" s="10" t="s">
        <v>21</v>
      </c>
      <c r="E1310" s="10" t="s">
        <v>146</v>
      </c>
      <c r="F1310" s="11">
        <v>9</v>
      </c>
      <c r="G1310" s="12">
        <v>984.9</v>
      </c>
      <c r="H1310" s="12">
        <v>8864.1</v>
      </c>
      <c r="I1310" s="13">
        <v>512.14800000000002</v>
      </c>
      <c r="J1310" s="10" t="s">
        <v>222</v>
      </c>
      <c r="K1310" s="10" t="s">
        <v>223</v>
      </c>
      <c r="L1310" s="10" t="s">
        <v>25</v>
      </c>
      <c r="M1310" s="12">
        <v>4609.3320000000003</v>
      </c>
      <c r="N1310" s="12">
        <v>4254.768</v>
      </c>
      <c r="O1310" s="10">
        <v>48</v>
      </c>
      <c r="P1310" s="10" t="s">
        <v>26</v>
      </c>
      <c r="Q1310" s="10">
        <v>12</v>
      </c>
      <c r="R1310" s="10" t="s">
        <v>27</v>
      </c>
      <c r="S1310" s="14" t="str">
        <f t="shared" si="20"/>
        <v>Week 5</v>
      </c>
    </row>
    <row r="1311" spans="1:19" x14ac:dyDescent="0.3">
      <c r="A1311" s="15" t="s">
        <v>1569</v>
      </c>
      <c r="B1311" s="16">
        <v>43100</v>
      </c>
      <c r="C1311" s="17" t="s">
        <v>349</v>
      </c>
      <c r="D1311" s="17" t="s">
        <v>21</v>
      </c>
      <c r="E1311" s="17" t="s">
        <v>149</v>
      </c>
      <c r="F1311" s="18">
        <v>12</v>
      </c>
      <c r="G1311" s="19">
        <v>201</v>
      </c>
      <c r="H1311" s="19">
        <v>2412</v>
      </c>
      <c r="I1311" s="20">
        <v>90.45</v>
      </c>
      <c r="J1311" s="17" t="s">
        <v>50</v>
      </c>
      <c r="K1311" s="17" t="s">
        <v>51</v>
      </c>
      <c r="L1311" s="17" t="s">
        <v>40</v>
      </c>
      <c r="M1311" s="19">
        <v>1085.4000000000001</v>
      </c>
      <c r="N1311" s="19">
        <v>1326.6</v>
      </c>
      <c r="O1311" s="17">
        <v>54.999999999999901</v>
      </c>
      <c r="P1311" s="17" t="s">
        <v>26</v>
      </c>
      <c r="Q1311" s="17">
        <v>12</v>
      </c>
      <c r="R1311" s="17" t="s">
        <v>27</v>
      </c>
      <c r="S1311" s="14" t="str">
        <f t="shared" si="20"/>
        <v>Week 5</v>
      </c>
    </row>
    <row r="1312" spans="1:19" x14ac:dyDescent="0.3">
      <c r="A1312" s="8" t="s">
        <v>1570</v>
      </c>
      <c r="B1312" s="9">
        <v>43100</v>
      </c>
      <c r="C1312" s="10" t="s">
        <v>86</v>
      </c>
      <c r="D1312" s="10" t="s">
        <v>30</v>
      </c>
      <c r="E1312" s="10" t="s">
        <v>93</v>
      </c>
      <c r="F1312" s="11">
        <v>9</v>
      </c>
      <c r="G1312" s="12">
        <v>3825.7</v>
      </c>
      <c r="H1312" s="12">
        <v>34431.299999999996</v>
      </c>
      <c r="I1312" s="13">
        <v>3098.817</v>
      </c>
      <c r="J1312" s="10" t="s">
        <v>32</v>
      </c>
      <c r="K1312" s="10" t="s">
        <v>33</v>
      </c>
      <c r="L1312" s="10" t="s">
        <v>34</v>
      </c>
      <c r="M1312" s="12">
        <v>27889.352999999999</v>
      </c>
      <c r="N1312" s="12">
        <v>6541.9470000000001</v>
      </c>
      <c r="O1312" s="10">
        <v>18.999999999999901</v>
      </c>
      <c r="P1312" s="10" t="s">
        <v>26</v>
      </c>
      <c r="Q1312" s="10">
        <v>12</v>
      </c>
      <c r="R1312" s="10" t="s">
        <v>27</v>
      </c>
      <c r="S1312" s="14" t="str">
        <f t="shared" si="20"/>
        <v>Week 5</v>
      </c>
    </row>
    <row r="1313" spans="1:19" x14ac:dyDescent="0.3">
      <c r="A1313" s="15" t="s">
        <v>1571</v>
      </c>
      <c r="B1313" s="16">
        <v>43100</v>
      </c>
      <c r="C1313" s="17" t="s">
        <v>166</v>
      </c>
      <c r="D1313" s="17" t="s">
        <v>30</v>
      </c>
      <c r="E1313" s="17" t="s">
        <v>93</v>
      </c>
      <c r="F1313" s="18">
        <v>5</v>
      </c>
      <c r="G1313" s="19">
        <v>1835.8</v>
      </c>
      <c r="H1313" s="19">
        <v>9179</v>
      </c>
      <c r="I1313" s="20">
        <v>972.97400000000005</v>
      </c>
      <c r="J1313" s="17" t="s">
        <v>94</v>
      </c>
      <c r="K1313" s="17" t="s">
        <v>95</v>
      </c>
      <c r="L1313" s="17" t="s">
        <v>40</v>
      </c>
      <c r="M1313" s="19">
        <v>4864.87</v>
      </c>
      <c r="N1313" s="19">
        <v>4314.13</v>
      </c>
      <c r="O1313" s="17">
        <v>47</v>
      </c>
      <c r="P1313" s="17" t="s">
        <v>26</v>
      </c>
      <c r="Q1313" s="17">
        <v>12</v>
      </c>
      <c r="R1313" s="17" t="s">
        <v>27</v>
      </c>
      <c r="S1313" s="14" t="str">
        <f t="shared" si="20"/>
        <v>Week 5</v>
      </c>
    </row>
    <row r="1314" spans="1:19" x14ac:dyDescent="0.3">
      <c r="A1314" s="8" t="s">
        <v>1572</v>
      </c>
      <c r="B1314" s="9">
        <v>43100</v>
      </c>
      <c r="C1314" s="10" t="s">
        <v>314</v>
      </c>
      <c r="D1314" s="10" t="s">
        <v>30</v>
      </c>
      <c r="E1314" s="10" t="s">
        <v>103</v>
      </c>
      <c r="F1314" s="11">
        <v>8</v>
      </c>
      <c r="G1314" s="12">
        <v>207.7</v>
      </c>
      <c r="H1314" s="12">
        <v>1661.6</v>
      </c>
      <c r="I1314" s="13">
        <v>93.465000000000003</v>
      </c>
      <c r="J1314" s="10" t="s">
        <v>54</v>
      </c>
      <c r="K1314" s="10" t="s">
        <v>55</v>
      </c>
      <c r="L1314" s="10" t="s">
        <v>56</v>
      </c>
      <c r="M1314" s="12">
        <v>747.72</v>
      </c>
      <c r="N1314" s="12">
        <v>913.88</v>
      </c>
      <c r="O1314" s="10">
        <v>55</v>
      </c>
      <c r="P1314" s="10" t="s">
        <v>26</v>
      </c>
      <c r="Q1314" s="10">
        <v>12</v>
      </c>
      <c r="R1314" s="10" t="s">
        <v>27</v>
      </c>
      <c r="S1314" s="14" t="str">
        <f t="shared" si="20"/>
        <v>Week 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DAE4-B313-4C9A-8F10-C231B80E8DF2}">
  <dimension ref="A3:L200"/>
  <sheetViews>
    <sheetView topLeftCell="A141" workbookViewId="0">
      <selection activeCell="K189" sqref="K189"/>
    </sheetView>
  </sheetViews>
  <sheetFormatPr defaultRowHeight="14.4" x14ac:dyDescent="0.3"/>
  <cols>
    <col min="1" max="1" width="12.44140625" bestFit="1" customWidth="1"/>
    <col min="2" max="2" width="22" bestFit="1" customWidth="1"/>
    <col min="3" max="6" width="7" bestFit="1" customWidth="1"/>
    <col min="7" max="7" width="16.109375" customWidth="1"/>
  </cols>
  <sheetData>
    <row r="3" spans="1:2" x14ac:dyDescent="0.3">
      <c r="A3" s="28" t="s">
        <v>1573</v>
      </c>
      <c r="B3" t="s">
        <v>1574</v>
      </c>
    </row>
    <row r="4" spans="1:2" x14ac:dyDescent="0.3">
      <c r="A4" s="21" t="s">
        <v>31</v>
      </c>
      <c r="B4" s="22">
        <v>2566455.0999999996</v>
      </c>
    </row>
    <row r="5" spans="1:2" x14ac:dyDescent="0.3">
      <c r="A5" s="21" t="s">
        <v>103</v>
      </c>
      <c r="B5" s="22">
        <v>2162029.7000000002</v>
      </c>
    </row>
    <row r="6" spans="1:2" x14ac:dyDescent="0.3">
      <c r="A6" s="21" t="s">
        <v>37</v>
      </c>
      <c r="B6" s="22">
        <v>1841896.9999999998</v>
      </c>
    </row>
    <row r="7" spans="1:2" x14ac:dyDescent="0.3">
      <c r="A7" s="21" t="s">
        <v>91</v>
      </c>
      <c r="B7" s="22">
        <v>1698577.2999999998</v>
      </c>
    </row>
    <row r="8" spans="1:2" x14ac:dyDescent="0.3">
      <c r="A8" s="21" t="s">
        <v>115</v>
      </c>
      <c r="B8" s="22">
        <v>1483721.7</v>
      </c>
    </row>
    <row r="9" spans="1:2" x14ac:dyDescent="0.3">
      <c r="A9" s="21" t="s">
        <v>49</v>
      </c>
      <c r="B9" s="22">
        <v>1287123.6000000001</v>
      </c>
    </row>
    <row r="10" spans="1:2" x14ac:dyDescent="0.3">
      <c r="A10" s="21" t="s">
        <v>62</v>
      </c>
      <c r="B10" s="22">
        <v>1257724.0000000005</v>
      </c>
    </row>
    <row r="11" spans="1:2" x14ac:dyDescent="0.3">
      <c r="A11" s="21" t="s">
        <v>73</v>
      </c>
      <c r="B11" s="22">
        <v>1170255.5</v>
      </c>
    </row>
    <row r="12" spans="1:2" x14ac:dyDescent="0.3">
      <c r="A12" s="21" t="s">
        <v>191</v>
      </c>
      <c r="B12" s="22">
        <v>1101634.1000000001</v>
      </c>
    </row>
    <row r="13" spans="1:2" x14ac:dyDescent="0.3">
      <c r="A13" s="21" t="s">
        <v>149</v>
      </c>
      <c r="B13" s="22">
        <v>1028148.4999999998</v>
      </c>
    </row>
    <row r="14" spans="1:2" x14ac:dyDescent="0.3">
      <c r="A14" s="21" t="s">
        <v>93</v>
      </c>
      <c r="B14" s="22">
        <v>985375.70000000007</v>
      </c>
    </row>
    <row r="15" spans="1:2" x14ac:dyDescent="0.3">
      <c r="A15" s="21" t="s">
        <v>120</v>
      </c>
      <c r="B15" s="22">
        <v>919367.3</v>
      </c>
    </row>
    <row r="16" spans="1:2" x14ac:dyDescent="0.3">
      <c r="A16" s="21" t="s">
        <v>326</v>
      </c>
      <c r="B16" s="22">
        <v>858457.60000000009</v>
      </c>
    </row>
    <row r="17" spans="1:2" x14ac:dyDescent="0.3">
      <c r="A17" s="21" t="s">
        <v>146</v>
      </c>
      <c r="B17" s="22">
        <v>829506.89999999991</v>
      </c>
    </row>
    <row r="18" spans="1:2" x14ac:dyDescent="0.3">
      <c r="A18" s="21" t="s">
        <v>127</v>
      </c>
      <c r="B18" s="22">
        <v>637692.60000000021</v>
      </c>
    </row>
    <row r="19" spans="1:2" x14ac:dyDescent="0.3">
      <c r="A19" s="21" t="s">
        <v>228</v>
      </c>
      <c r="B19" s="22">
        <v>555282.6</v>
      </c>
    </row>
    <row r="20" spans="1:2" x14ac:dyDescent="0.3">
      <c r="A20" s="21" t="s">
        <v>252</v>
      </c>
      <c r="B20" s="22">
        <v>478426.90000000008</v>
      </c>
    </row>
    <row r="21" spans="1:2" x14ac:dyDescent="0.3">
      <c r="A21" s="21" t="s">
        <v>110</v>
      </c>
      <c r="B21" s="22">
        <v>457201.29999999993</v>
      </c>
    </row>
    <row r="22" spans="1:2" x14ac:dyDescent="0.3">
      <c r="A22" s="21" t="s">
        <v>306</v>
      </c>
      <c r="B22" s="22">
        <v>433255.49999999988</v>
      </c>
    </row>
    <row r="23" spans="1:2" x14ac:dyDescent="0.3">
      <c r="A23" s="21" t="s">
        <v>44</v>
      </c>
      <c r="B23" s="22">
        <v>419051.50000000006</v>
      </c>
    </row>
    <row r="24" spans="1:2" x14ac:dyDescent="0.3">
      <c r="A24" s="21" t="s">
        <v>284</v>
      </c>
      <c r="B24" s="22">
        <v>371856.69999999995</v>
      </c>
    </row>
    <row r="25" spans="1:2" x14ac:dyDescent="0.3">
      <c r="A25" s="21" t="s">
        <v>265</v>
      </c>
      <c r="B25" s="22">
        <v>341177.39999999991</v>
      </c>
    </row>
    <row r="26" spans="1:2" x14ac:dyDescent="0.3">
      <c r="A26" s="21" t="s">
        <v>418</v>
      </c>
      <c r="B26" s="22">
        <v>318832.89999999997</v>
      </c>
    </row>
    <row r="27" spans="1:2" x14ac:dyDescent="0.3">
      <c r="A27" s="21" t="s">
        <v>22</v>
      </c>
      <c r="B27" s="22">
        <v>297674.30000000005</v>
      </c>
    </row>
    <row r="28" spans="1:2" x14ac:dyDescent="0.3">
      <c r="A28" s="21" t="s">
        <v>197</v>
      </c>
      <c r="B28" s="22">
        <v>297138.3</v>
      </c>
    </row>
    <row r="29" spans="1:2" x14ac:dyDescent="0.3">
      <c r="A29" s="21" t="s">
        <v>80</v>
      </c>
      <c r="B29" s="22">
        <v>295590.59999999998</v>
      </c>
    </row>
    <row r="30" spans="1:2" x14ac:dyDescent="0.3">
      <c r="A30" s="21" t="s">
        <v>167</v>
      </c>
      <c r="B30" s="22">
        <v>265393.7</v>
      </c>
    </row>
    <row r="31" spans="1:2" x14ac:dyDescent="0.3">
      <c r="A31" s="21" t="s">
        <v>230</v>
      </c>
      <c r="B31" s="22">
        <v>253199.7</v>
      </c>
    </row>
    <row r="32" spans="1:2" x14ac:dyDescent="0.3">
      <c r="A32" s="21" t="s">
        <v>59</v>
      </c>
      <c r="B32" s="22">
        <v>207954.59999999998</v>
      </c>
    </row>
    <row r="33" spans="1:2" x14ac:dyDescent="0.3">
      <c r="A33" s="21" t="s">
        <v>360</v>
      </c>
      <c r="B33" s="22">
        <v>202554.4</v>
      </c>
    </row>
    <row r="34" spans="1:2" x14ac:dyDescent="0.3">
      <c r="A34" s="21" t="s">
        <v>1575</v>
      </c>
      <c r="B34" s="22">
        <v>25022557</v>
      </c>
    </row>
    <row r="37" spans="1:2" x14ac:dyDescent="0.3">
      <c r="A37" s="28" t="s">
        <v>1573</v>
      </c>
      <c r="B37" t="s">
        <v>1576</v>
      </c>
    </row>
    <row r="38" spans="1:2" x14ac:dyDescent="0.3">
      <c r="A38" s="21" t="s">
        <v>146</v>
      </c>
      <c r="B38" s="23">
        <v>8.2307692307692299</v>
      </c>
    </row>
    <row r="39" spans="1:2" x14ac:dyDescent="0.3">
      <c r="A39" s="24" t="s">
        <v>1577</v>
      </c>
      <c r="B39" s="23">
        <v>8.2857142857142865</v>
      </c>
    </row>
    <row r="40" spans="1:2" x14ac:dyDescent="0.3">
      <c r="A40" s="24" t="s">
        <v>1578</v>
      </c>
      <c r="B40" s="23">
        <v>8</v>
      </c>
    </row>
    <row r="41" spans="1:2" x14ac:dyDescent="0.3">
      <c r="A41" s="24" t="s">
        <v>1579</v>
      </c>
      <c r="B41" s="23">
        <v>6.8</v>
      </c>
    </row>
    <row r="42" spans="1:2" x14ac:dyDescent="0.3">
      <c r="A42" s="24" t="s">
        <v>1580</v>
      </c>
      <c r="B42" s="23">
        <v>8.6666666666666661</v>
      </c>
    </row>
    <row r="43" spans="1:2" x14ac:dyDescent="0.3">
      <c r="A43" s="24" t="s">
        <v>1581</v>
      </c>
      <c r="B43" s="23">
        <v>10</v>
      </c>
    </row>
    <row r="44" spans="1:2" x14ac:dyDescent="0.3">
      <c r="A44" s="21" t="s">
        <v>73</v>
      </c>
      <c r="B44" s="23">
        <v>8.078125</v>
      </c>
    </row>
    <row r="45" spans="1:2" x14ac:dyDescent="0.3">
      <c r="A45" s="24" t="s">
        <v>1577</v>
      </c>
      <c r="B45" s="23">
        <v>6.8181818181818183</v>
      </c>
    </row>
    <row r="46" spans="1:2" x14ac:dyDescent="0.3">
      <c r="A46" s="24" t="s">
        <v>1578</v>
      </c>
      <c r="B46" s="23">
        <v>8.5294117647058822</v>
      </c>
    </row>
    <row r="47" spans="1:2" x14ac:dyDescent="0.3">
      <c r="A47" s="24" t="s">
        <v>1579</v>
      </c>
      <c r="B47" s="23">
        <v>8</v>
      </c>
    </row>
    <row r="48" spans="1:2" x14ac:dyDescent="0.3">
      <c r="A48" s="24" t="s">
        <v>1580</v>
      </c>
      <c r="B48" s="23">
        <v>8.3125</v>
      </c>
    </row>
    <row r="49" spans="1:6" x14ac:dyDescent="0.3">
      <c r="A49" s="24" t="s">
        <v>1581</v>
      </c>
      <c r="B49" s="23">
        <v>8.5714285714285712</v>
      </c>
    </row>
    <row r="53" spans="1:6" x14ac:dyDescent="0.3">
      <c r="A53" s="28" t="s">
        <v>1573</v>
      </c>
      <c r="B53" t="s">
        <v>1582</v>
      </c>
    </row>
    <row r="54" spans="1:6" x14ac:dyDescent="0.3">
      <c r="A54" s="21" t="s">
        <v>1581</v>
      </c>
      <c r="B54" s="23">
        <v>2329000.4</v>
      </c>
    </row>
    <row r="55" spans="1:6" x14ac:dyDescent="0.3">
      <c r="A55" s="21" t="s">
        <v>1580</v>
      </c>
      <c r="B55" s="23">
        <v>6674151.3999999966</v>
      </c>
    </row>
    <row r="56" spans="1:6" x14ac:dyDescent="0.3">
      <c r="A56" s="21" t="s">
        <v>1579</v>
      </c>
      <c r="B56" s="23">
        <v>5737082.7000000011</v>
      </c>
    </row>
    <row r="57" spans="1:6" x14ac:dyDescent="0.3">
      <c r="A57" s="21" t="s">
        <v>1578</v>
      </c>
      <c r="B57" s="23">
        <v>5165867.5000000019</v>
      </c>
    </row>
    <row r="58" spans="1:6" x14ac:dyDescent="0.3">
      <c r="A58" s="21" t="s">
        <v>1577</v>
      </c>
      <c r="B58" s="23">
        <v>5116455.0000000019</v>
      </c>
    </row>
    <row r="59" spans="1:6" x14ac:dyDescent="0.3">
      <c r="A59" s="21" t="s">
        <v>1575</v>
      </c>
      <c r="B59" s="23">
        <v>25022557</v>
      </c>
    </row>
    <row r="63" spans="1:6" x14ac:dyDescent="0.3">
      <c r="A63" s="28" t="s">
        <v>1598</v>
      </c>
      <c r="B63" s="28" t="s">
        <v>1583</v>
      </c>
    </row>
    <row r="64" spans="1:6" x14ac:dyDescent="0.3">
      <c r="A64" s="28" t="s">
        <v>1573</v>
      </c>
      <c r="B64" t="s">
        <v>1577</v>
      </c>
      <c r="C64" t="s">
        <v>1578</v>
      </c>
      <c r="D64" t="s">
        <v>1579</v>
      </c>
      <c r="E64" t="s">
        <v>1580</v>
      </c>
      <c r="F64" t="s">
        <v>1581</v>
      </c>
    </row>
    <row r="65" spans="1:6" x14ac:dyDescent="0.3">
      <c r="A65" s="21" t="s">
        <v>146</v>
      </c>
      <c r="B65" s="23">
        <v>116</v>
      </c>
      <c r="C65" s="23">
        <v>64</v>
      </c>
      <c r="D65" s="23">
        <v>68</v>
      </c>
      <c r="E65" s="23">
        <v>130</v>
      </c>
      <c r="F65" s="23">
        <v>50</v>
      </c>
    </row>
    <row r="66" spans="1:6" x14ac:dyDescent="0.3">
      <c r="A66" s="21" t="s">
        <v>418</v>
      </c>
      <c r="B66" s="23">
        <v>15</v>
      </c>
      <c r="C66" s="23">
        <v>26</v>
      </c>
      <c r="D66" s="23">
        <v>26</v>
      </c>
      <c r="E66" s="23">
        <v>40</v>
      </c>
      <c r="F66" s="23">
        <v>34</v>
      </c>
    </row>
    <row r="67" spans="1:6" x14ac:dyDescent="0.3">
      <c r="A67" s="21" t="s">
        <v>228</v>
      </c>
      <c r="B67" s="23">
        <v>70</v>
      </c>
      <c r="C67" s="23">
        <v>62</v>
      </c>
      <c r="D67" s="23">
        <v>23</v>
      </c>
      <c r="E67" s="23">
        <v>51</v>
      </c>
      <c r="F67" s="23">
        <v>32</v>
      </c>
    </row>
    <row r="68" spans="1:6" x14ac:dyDescent="0.3">
      <c r="A68" s="21" t="s">
        <v>306</v>
      </c>
      <c r="B68" s="23">
        <v>28</v>
      </c>
      <c r="C68" s="23">
        <v>46</v>
      </c>
      <c r="D68" s="23">
        <v>36</v>
      </c>
      <c r="E68" s="23">
        <v>46</v>
      </c>
      <c r="F68" s="23">
        <v>16</v>
      </c>
    </row>
    <row r="69" spans="1:6" x14ac:dyDescent="0.3">
      <c r="A69" s="21" t="s">
        <v>91</v>
      </c>
      <c r="B69" s="23">
        <v>183</v>
      </c>
      <c r="C69" s="23">
        <v>136</v>
      </c>
      <c r="D69" s="23">
        <v>155</v>
      </c>
      <c r="E69" s="23">
        <v>195</v>
      </c>
      <c r="F69" s="23">
        <v>67</v>
      </c>
    </row>
    <row r="70" spans="1:6" x14ac:dyDescent="0.3">
      <c r="A70" s="21" t="s">
        <v>37</v>
      </c>
      <c r="B70" s="23">
        <v>188</v>
      </c>
      <c r="C70" s="23">
        <v>184</v>
      </c>
      <c r="D70" s="23">
        <v>163</v>
      </c>
      <c r="E70" s="23">
        <v>173</v>
      </c>
      <c r="F70" s="23">
        <v>64</v>
      </c>
    </row>
    <row r="71" spans="1:6" x14ac:dyDescent="0.3">
      <c r="A71" s="21" t="s">
        <v>115</v>
      </c>
      <c r="B71" s="23">
        <v>134</v>
      </c>
      <c r="C71" s="23">
        <v>81</v>
      </c>
      <c r="D71" s="23">
        <v>159</v>
      </c>
      <c r="E71" s="23">
        <v>217</v>
      </c>
      <c r="F71" s="23">
        <v>76</v>
      </c>
    </row>
    <row r="72" spans="1:6" x14ac:dyDescent="0.3">
      <c r="A72" s="21" t="s">
        <v>127</v>
      </c>
      <c r="B72" s="23">
        <v>80</v>
      </c>
      <c r="C72" s="23">
        <v>111</v>
      </c>
      <c r="D72" s="23">
        <v>71</v>
      </c>
      <c r="E72" s="23">
        <v>70</v>
      </c>
      <c r="F72" s="23">
        <v>33</v>
      </c>
    </row>
    <row r="73" spans="1:6" x14ac:dyDescent="0.3">
      <c r="A73" s="21" t="s">
        <v>120</v>
      </c>
      <c r="B73" s="23">
        <v>63</v>
      </c>
      <c r="C73" s="23">
        <v>51</v>
      </c>
      <c r="D73" s="23">
        <v>103</v>
      </c>
      <c r="E73" s="23">
        <v>93</v>
      </c>
      <c r="F73" s="23">
        <v>35</v>
      </c>
    </row>
    <row r="74" spans="1:6" x14ac:dyDescent="0.3">
      <c r="A74" s="21" t="s">
        <v>49</v>
      </c>
      <c r="B74" s="23">
        <v>89</v>
      </c>
      <c r="C74" s="23">
        <v>123</v>
      </c>
      <c r="D74" s="23">
        <v>81</v>
      </c>
      <c r="E74" s="23">
        <v>113</v>
      </c>
      <c r="F74" s="23">
        <v>39</v>
      </c>
    </row>
    <row r="75" spans="1:6" x14ac:dyDescent="0.3">
      <c r="A75" s="21" t="s">
        <v>252</v>
      </c>
      <c r="B75" s="23">
        <v>24</v>
      </c>
      <c r="C75" s="23">
        <v>55</v>
      </c>
      <c r="D75" s="23">
        <v>56</v>
      </c>
      <c r="E75" s="23">
        <v>48</v>
      </c>
      <c r="F75" s="23">
        <v>12</v>
      </c>
    </row>
    <row r="76" spans="1:6" x14ac:dyDescent="0.3">
      <c r="A76" s="21" t="s">
        <v>73</v>
      </c>
      <c r="B76" s="23">
        <v>75</v>
      </c>
      <c r="C76" s="23">
        <v>145</v>
      </c>
      <c r="D76" s="23">
        <v>104</v>
      </c>
      <c r="E76" s="23">
        <v>133</v>
      </c>
      <c r="F76" s="23">
        <v>60</v>
      </c>
    </row>
    <row r="77" spans="1:6" x14ac:dyDescent="0.3">
      <c r="A77" s="21" t="s">
        <v>326</v>
      </c>
      <c r="B77" s="23">
        <v>48</v>
      </c>
      <c r="C77" s="23">
        <v>65</v>
      </c>
      <c r="D77" s="23">
        <v>77</v>
      </c>
      <c r="E77" s="23">
        <v>72</v>
      </c>
      <c r="F77" s="23">
        <v>32</v>
      </c>
    </row>
    <row r="78" spans="1:6" x14ac:dyDescent="0.3">
      <c r="A78" s="21" t="s">
        <v>110</v>
      </c>
      <c r="B78" s="23">
        <v>24</v>
      </c>
      <c r="C78" s="23">
        <v>43</v>
      </c>
      <c r="D78" s="23">
        <v>41</v>
      </c>
      <c r="E78" s="23">
        <v>77</v>
      </c>
      <c r="F78" s="23">
        <v>14</v>
      </c>
    </row>
    <row r="79" spans="1:6" x14ac:dyDescent="0.3">
      <c r="A79" s="21" t="s">
        <v>80</v>
      </c>
      <c r="B79" s="23">
        <v>11</v>
      </c>
      <c r="C79" s="23">
        <v>54</v>
      </c>
      <c r="D79" s="23">
        <v>26</v>
      </c>
      <c r="E79" s="23">
        <v>36</v>
      </c>
      <c r="F79" s="23">
        <v>5</v>
      </c>
    </row>
    <row r="80" spans="1:6" x14ac:dyDescent="0.3">
      <c r="A80" s="21" t="s">
        <v>167</v>
      </c>
      <c r="B80" s="23">
        <v>25</v>
      </c>
      <c r="C80" s="23">
        <v>26</v>
      </c>
      <c r="D80" s="23">
        <v>43</v>
      </c>
      <c r="E80" s="23">
        <v>26</v>
      </c>
      <c r="F80" s="23"/>
    </row>
    <row r="81" spans="1:6" x14ac:dyDescent="0.3">
      <c r="A81" s="21" t="s">
        <v>360</v>
      </c>
      <c r="B81" s="23">
        <v>28</v>
      </c>
      <c r="C81" s="23">
        <v>36</v>
      </c>
      <c r="D81" s="23">
        <v>17</v>
      </c>
      <c r="E81" s="23">
        <v>9</v>
      </c>
      <c r="F81" s="23">
        <v>8</v>
      </c>
    </row>
    <row r="82" spans="1:6" x14ac:dyDescent="0.3">
      <c r="A82" s="21" t="s">
        <v>31</v>
      </c>
      <c r="B82" s="23">
        <v>220</v>
      </c>
      <c r="C82" s="23">
        <v>288</v>
      </c>
      <c r="D82" s="23">
        <v>323</v>
      </c>
      <c r="E82" s="23">
        <v>305</v>
      </c>
      <c r="F82" s="23">
        <v>84</v>
      </c>
    </row>
    <row r="83" spans="1:6" x14ac:dyDescent="0.3">
      <c r="A83" s="21" t="s">
        <v>103</v>
      </c>
      <c r="B83" s="23">
        <v>159</v>
      </c>
      <c r="C83" s="23">
        <v>141</v>
      </c>
      <c r="D83" s="23">
        <v>269</v>
      </c>
      <c r="E83" s="23">
        <v>231</v>
      </c>
      <c r="F83" s="23">
        <v>109</v>
      </c>
    </row>
    <row r="84" spans="1:6" x14ac:dyDescent="0.3">
      <c r="A84" s="21" t="s">
        <v>197</v>
      </c>
      <c r="B84" s="23">
        <v>29</v>
      </c>
      <c r="C84" s="23">
        <v>27</v>
      </c>
      <c r="D84" s="23">
        <v>37</v>
      </c>
      <c r="E84" s="23">
        <v>45</v>
      </c>
      <c r="F84" s="23">
        <v>25</v>
      </c>
    </row>
    <row r="85" spans="1:6" x14ac:dyDescent="0.3">
      <c r="A85" s="21" t="s">
        <v>59</v>
      </c>
      <c r="B85" s="23">
        <v>31</v>
      </c>
      <c r="C85" s="23">
        <v>17</v>
      </c>
      <c r="D85" s="23">
        <v>12</v>
      </c>
      <c r="E85" s="23">
        <v>35</v>
      </c>
      <c r="F85" s="23">
        <v>12</v>
      </c>
    </row>
    <row r="86" spans="1:6" x14ac:dyDescent="0.3">
      <c r="A86" s="21" t="s">
        <v>265</v>
      </c>
      <c r="B86" s="23">
        <v>16</v>
      </c>
      <c r="C86" s="23">
        <v>57</v>
      </c>
      <c r="D86" s="23">
        <v>51</v>
      </c>
      <c r="E86" s="23">
        <v>16</v>
      </c>
      <c r="F86" s="23">
        <v>22</v>
      </c>
    </row>
    <row r="87" spans="1:6" x14ac:dyDescent="0.3">
      <c r="A87" s="21" t="s">
        <v>149</v>
      </c>
      <c r="B87" s="23">
        <v>91</v>
      </c>
      <c r="C87" s="23">
        <v>72</v>
      </c>
      <c r="D87" s="23">
        <v>134</v>
      </c>
      <c r="E87" s="23">
        <v>132</v>
      </c>
      <c r="F87" s="23">
        <v>60</v>
      </c>
    </row>
    <row r="88" spans="1:6" x14ac:dyDescent="0.3">
      <c r="A88" s="21" t="s">
        <v>22</v>
      </c>
      <c r="B88" s="23">
        <v>23</v>
      </c>
      <c r="C88" s="23">
        <v>35</v>
      </c>
      <c r="D88" s="23">
        <v>43</v>
      </c>
      <c r="E88" s="23">
        <v>26</v>
      </c>
      <c r="F88" s="23">
        <v>10</v>
      </c>
    </row>
    <row r="89" spans="1:6" x14ac:dyDescent="0.3">
      <c r="A89" s="21" t="s">
        <v>191</v>
      </c>
      <c r="B89" s="23">
        <v>73</v>
      </c>
      <c r="C89" s="23">
        <v>104</v>
      </c>
      <c r="D89" s="23">
        <v>57</v>
      </c>
      <c r="E89" s="23">
        <v>115</v>
      </c>
      <c r="F89" s="23">
        <v>68</v>
      </c>
    </row>
    <row r="90" spans="1:6" x14ac:dyDescent="0.3">
      <c r="A90" s="21" t="s">
        <v>62</v>
      </c>
      <c r="B90" s="23">
        <v>127</v>
      </c>
      <c r="C90" s="23">
        <v>63</v>
      </c>
      <c r="D90" s="23">
        <v>122</v>
      </c>
      <c r="E90" s="23">
        <v>154</v>
      </c>
      <c r="F90" s="23">
        <v>68</v>
      </c>
    </row>
    <row r="91" spans="1:6" x14ac:dyDescent="0.3">
      <c r="A91" s="21" t="s">
        <v>93</v>
      </c>
      <c r="B91" s="23">
        <v>97</v>
      </c>
      <c r="C91" s="23">
        <v>107</v>
      </c>
      <c r="D91" s="23">
        <v>105</v>
      </c>
      <c r="E91" s="23">
        <v>67</v>
      </c>
      <c r="F91" s="23">
        <v>44</v>
      </c>
    </row>
    <row r="92" spans="1:6" x14ac:dyDescent="0.3">
      <c r="A92" s="21" t="s">
        <v>284</v>
      </c>
      <c r="B92" s="23">
        <v>35</v>
      </c>
      <c r="C92" s="23">
        <v>12</v>
      </c>
      <c r="D92" s="23">
        <v>47</v>
      </c>
      <c r="E92" s="23">
        <v>56</v>
      </c>
      <c r="F92" s="23">
        <v>15</v>
      </c>
    </row>
    <row r="93" spans="1:6" x14ac:dyDescent="0.3">
      <c r="A93" s="21" t="s">
        <v>44</v>
      </c>
      <c r="B93" s="23">
        <v>52</v>
      </c>
      <c r="C93" s="23">
        <v>56</v>
      </c>
      <c r="D93" s="23">
        <v>30</v>
      </c>
      <c r="E93" s="23">
        <v>47</v>
      </c>
      <c r="F93" s="23">
        <v>22</v>
      </c>
    </row>
    <row r="94" spans="1:6" x14ac:dyDescent="0.3">
      <c r="A94" s="21" t="s">
        <v>230</v>
      </c>
      <c r="B94" s="23">
        <v>66</v>
      </c>
      <c r="C94" s="23">
        <v>36</v>
      </c>
      <c r="D94" s="23">
        <v>22</v>
      </c>
      <c r="E94" s="23">
        <v>24</v>
      </c>
      <c r="F94" s="23">
        <v>12</v>
      </c>
    </row>
    <row r="98" spans="1:2" x14ac:dyDescent="0.3">
      <c r="A98" s="28" t="s">
        <v>1573</v>
      </c>
      <c r="B98" t="s">
        <v>1574</v>
      </c>
    </row>
    <row r="99" spans="1:2" x14ac:dyDescent="0.3">
      <c r="A99" s="21" t="s">
        <v>360</v>
      </c>
      <c r="B99" s="22">
        <v>202554.4</v>
      </c>
    </row>
    <row r="100" spans="1:2" x14ac:dyDescent="0.3">
      <c r="A100" s="21" t="s">
        <v>59</v>
      </c>
      <c r="B100" s="22">
        <v>207954.59999999998</v>
      </c>
    </row>
    <row r="101" spans="1:2" x14ac:dyDescent="0.3">
      <c r="A101" s="21" t="s">
        <v>230</v>
      </c>
      <c r="B101" s="22">
        <v>253199.7</v>
      </c>
    </row>
    <row r="102" spans="1:2" x14ac:dyDescent="0.3">
      <c r="A102" s="21" t="s">
        <v>167</v>
      </c>
      <c r="B102" s="22">
        <v>265393.7</v>
      </c>
    </row>
    <row r="103" spans="1:2" x14ac:dyDescent="0.3">
      <c r="A103" s="21" t="s">
        <v>80</v>
      </c>
      <c r="B103" s="22">
        <v>295590.59999999998</v>
      </c>
    </row>
    <row r="104" spans="1:2" x14ac:dyDescent="0.3">
      <c r="A104" s="21" t="s">
        <v>197</v>
      </c>
      <c r="B104" s="22">
        <v>297138.3</v>
      </c>
    </row>
    <row r="105" spans="1:2" x14ac:dyDescent="0.3">
      <c r="A105" s="21" t="s">
        <v>22</v>
      </c>
      <c r="B105" s="22">
        <v>297674.30000000005</v>
      </c>
    </row>
    <row r="106" spans="1:2" x14ac:dyDescent="0.3">
      <c r="A106" s="21" t="s">
        <v>418</v>
      </c>
      <c r="B106" s="22">
        <v>318832.89999999997</v>
      </c>
    </row>
    <row r="107" spans="1:2" x14ac:dyDescent="0.3">
      <c r="A107" s="21" t="s">
        <v>265</v>
      </c>
      <c r="B107" s="22">
        <v>341177.39999999991</v>
      </c>
    </row>
    <row r="108" spans="1:2" x14ac:dyDescent="0.3">
      <c r="A108" s="21" t="s">
        <v>284</v>
      </c>
      <c r="B108" s="22">
        <v>371856.69999999995</v>
      </c>
    </row>
    <row r="109" spans="1:2" x14ac:dyDescent="0.3">
      <c r="A109" s="21" t="s">
        <v>44</v>
      </c>
      <c r="B109" s="22">
        <v>419051.50000000006</v>
      </c>
    </row>
    <row r="110" spans="1:2" x14ac:dyDescent="0.3">
      <c r="A110" s="21" t="s">
        <v>306</v>
      </c>
      <c r="B110" s="22">
        <v>433255.49999999988</v>
      </c>
    </row>
    <row r="111" spans="1:2" x14ac:dyDescent="0.3">
      <c r="A111" s="21" t="s">
        <v>110</v>
      </c>
      <c r="B111" s="22">
        <v>457201.29999999993</v>
      </c>
    </row>
    <row r="112" spans="1:2" x14ac:dyDescent="0.3">
      <c r="A112" s="21" t="s">
        <v>252</v>
      </c>
      <c r="B112" s="22">
        <v>478426.90000000008</v>
      </c>
    </row>
    <row r="113" spans="1:2" x14ac:dyDescent="0.3">
      <c r="A113" s="21" t="s">
        <v>228</v>
      </c>
      <c r="B113" s="22">
        <v>555282.6</v>
      </c>
    </row>
    <row r="114" spans="1:2" x14ac:dyDescent="0.3">
      <c r="A114" s="21" t="s">
        <v>127</v>
      </c>
      <c r="B114" s="22">
        <v>637692.60000000021</v>
      </c>
    </row>
    <row r="115" spans="1:2" x14ac:dyDescent="0.3">
      <c r="A115" s="21" t="s">
        <v>146</v>
      </c>
      <c r="B115" s="22">
        <v>829506.89999999991</v>
      </c>
    </row>
    <row r="116" spans="1:2" x14ac:dyDescent="0.3">
      <c r="A116" s="21" t="s">
        <v>326</v>
      </c>
      <c r="B116" s="22">
        <v>858457.60000000009</v>
      </c>
    </row>
    <row r="117" spans="1:2" x14ac:dyDescent="0.3">
      <c r="A117" s="21" t="s">
        <v>120</v>
      </c>
      <c r="B117" s="22">
        <v>919367.3</v>
      </c>
    </row>
    <row r="118" spans="1:2" x14ac:dyDescent="0.3">
      <c r="A118" s="21" t="s">
        <v>93</v>
      </c>
      <c r="B118" s="22">
        <v>985375.70000000007</v>
      </c>
    </row>
    <row r="119" spans="1:2" x14ac:dyDescent="0.3">
      <c r="A119" s="21" t="s">
        <v>149</v>
      </c>
      <c r="B119" s="22">
        <v>1028148.4999999998</v>
      </c>
    </row>
    <row r="120" spans="1:2" x14ac:dyDescent="0.3">
      <c r="A120" s="21" t="s">
        <v>191</v>
      </c>
      <c r="B120" s="22">
        <v>1101634.1000000001</v>
      </c>
    </row>
    <row r="121" spans="1:2" x14ac:dyDescent="0.3">
      <c r="A121" s="21" t="s">
        <v>73</v>
      </c>
      <c r="B121" s="22">
        <v>1170255.5</v>
      </c>
    </row>
    <row r="122" spans="1:2" x14ac:dyDescent="0.3">
      <c r="A122" s="21" t="s">
        <v>62</v>
      </c>
      <c r="B122" s="22">
        <v>1257724.0000000005</v>
      </c>
    </row>
    <row r="123" spans="1:2" x14ac:dyDescent="0.3">
      <c r="A123" s="21" t="s">
        <v>49</v>
      </c>
      <c r="B123" s="22">
        <v>1287123.6000000001</v>
      </c>
    </row>
    <row r="124" spans="1:2" x14ac:dyDescent="0.3">
      <c r="A124" s="21" t="s">
        <v>115</v>
      </c>
      <c r="B124" s="22">
        <v>1483721.7</v>
      </c>
    </row>
    <row r="125" spans="1:2" x14ac:dyDescent="0.3">
      <c r="A125" s="21" t="s">
        <v>91</v>
      </c>
      <c r="B125" s="22">
        <v>1698577.2999999998</v>
      </c>
    </row>
    <row r="126" spans="1:2" x14ac:dyDescent="0.3">
      <c r="A126" s="21" t="s">
        <v>37</v>
      </c>
      <c r="B126" s="22">
        <v>1841896.9999999998</v>
      </c>
    </row>
    <row r="127" spans="1:2" x14ac:dyDescent="0.3">
      <c r="A127" s="21" t="s">
        <v>103</v>
      </c>
      <c r="B127" s="22">
        <v>2162029.7000000002</v>
      </c>
    </row>
    <row r="128" spans="1:2" x14ac:dyDescent="0.3">
      <c r="A128" s="21" t="s">
        <v>31</v>
      </c>
      <c r="B128" s="22">
        <v>2566455.0999999996</v>
      </c>
    </row>
    <row r="129" spans="1:7" x14ac:dyDescent="0.3">
      <c r="A129" s="21" t="s">
        <v>1575</v>
      </c>
      <c r="B129" s="22">
        <v>25022557</v>
      </c>
    </row>
    <row r="132" spans="1:7" x14ac:dyDescent="0.3">
      <c r="A132" s="21" t="s">
        <v>1584</v>
      </c>
    </row>
    <row r="133" spans="1:7" x14ac:dyDescent="0.3">
      <c r="A133" s="22">
        <v>2000000</v>
      </c>
      <c r="B133" s="22"/>
      <c r="E133" s="25" t="s">
        <v>1585</v>
      </c>
      <c r="F133" t="s">
        <v>1586</v>
      </c>
      <c r="G133" s="23" t="s">
        <v>1584</v>
      </c>
    </row>
    <row r="134" spans="1:7" x14ac:dyDescent="0.3">
      <c r="A134" s="22"/>
      <c r="B134" s="22"/>
      <c r="E134" s="21" t="s">
        <v>31</v>
      </c>
      <c r="F134" s="23">
        <v>1220</v>
      </c>
      <c r="G134" s="25">
        <v>222749.68048201571</v>
      </c>
    </row>
    <row r="135" spans="1:7" x14ac:dyDescent="0.3">
      <c r="A135" s="22"/>
      <c r="B135" s="22"/>
      <c r="E135" s="21" t="s">
        <v>103</v>
      </c>
      <c r="F135" s="23">
        <v>909</v>
      </c>
      <c r="G135" s="25">
        <v>165966.77012963302</v>
      </c>
    </row>
    <row r="136" spans="1:7" x14ac:dyDescent="0.3">
      <c r="A136" s="22"/>
      <c r="B136" s="22"/>
      <c r="E136" s="21" t="s">
        <v>37</v>
      </c>
      <c r="F136" s="23">
        <v>772</v>
      </c>
      <c r="G136" s="25">
        <v>140953.07650173453</v>
      </c>
    </row>
    <row r="137" spans="1:7" x14ac:dyDescent="0.3">
      <c r="A137" s="22"/>
      <c r="B137" s="22"/>
      <c r="E137" s="21" t="s">
        <v>91</v>
      </c>
      <c r="F137" s="23">
        <v>736</v>
      </c>
      <c r="G137" s="25">
        <v>134380.13511046194</v>
      </c>
    </row>
    <row r="138" spans="1:7" x14ac:dyDescent="0.3">
      <c r="A138" s="22"/>
      <c r="B138" s="22"/>
      <c r="E138" s="21" t="s">
        <v>115</v>
      </c>
      <c r="F138" s="23">
        <v>667</v>
      </c>
      <c r="G138" s="25">
        <v>121781.99744385612</v>
      </c>
    </row>
    <row r="139" spans="1:7" x14ac:dyDescent="0.3">
      <c r="A139" s="22"/>
      <c r="B139" s="22"/>
      <c r="E139" s="21" t="s">
        <v>62</v>
      </c>
      <c r="F139" s="23">
        <v>534</v>
      </c>
      <c r="G139" s="25">
        <v>81248.858864341804</v>
      </c>
    </row>
    <row r="140" spans="1:7" x14ac:dyDescent="0.3">
      <c r="A140" s="22"/>
      <c r="B140" s="22"/>
      <c r="E140" s="21" t="s">
        <v>73</v>
      </c>
      <c r="F140" s="23">
        <v>517</v>
      </c>
      <c r="G140" s="25">
        <v>97498.630637210154</v>
      </c>
    </row>
    <row r="141" spans="1:7" x14ac:dyDescent="0.3">
      <c r="A141" s="22"/>
      <c r="B141" s="22"/>
      <c r="E141" s="21" t="s">
        <v>149</v>
      </c>
      <c r="F141" s="23">
        <v>489</v>
      </c>
      <c r="G141" s="25">
        <v>94394.741646886978</v>
      </c>
    </row>
    <row r="142" spans="1:7" x14ac:dyDescent="0.3">
      <c r="A142" s="22"/>
      <c r="B142" s="22"/>
      <c r="E142" s="21" t="s">
        <v>49</v>
      </c>
      <c r="F142" s="23">
        <v>445</v>
      </c>
      <c r="G142" s="25">
        <v>76136.571115574217</v>
      </c>
    </row>
    <row r="143" spans="1:7" x14ac:dyDescent="0.3">
      <c r="A143" s="22"/>
      <c r="B143" s="22"/>
      <c r="E143" s="21" t="s">
        <v>146</v>
      </c>
      <c r="F143" s="23">
        <v>428</v>
      </c>
      <c r="G143" s="25">
        <v>89282.453898119405</v>
      </c>
    </row>
    <row r="144" spans="1:7" x14ac:dyDescent="0.3">
      <c r="A144" s="22"/>
      <c r="B144" s="22"/>
      <c r="E144" s="21" t="s">
        <v>93</v>
      </c>
      <c r="F144" s="23">
        <v>420</v>
      </c>
      <c r="G144" s="25">
        <v>76684.3162315136</v>
      </c>
    </row>
    <row r="145" spans="1:7" x14ac:dyDescent="0.3">
      <c r="A145" s="22"/>
      <c r="B145" s="22"/>
      <c r="E145" s="21" t="s">
        <v>191</v>
      </c>
      <c r="F145" s="23">
        <v>417</v>
      </c>
      <c r="G145" s="25">
        <v>62990.688333029022</v>
      </c>
    </row>
    <row r="146" spans="1:7" x14ac:dyDescent="0.3">
      <c r="A146" s="22"/>
      <c r="B146" s="22"/>
      <c r="E146" s="21" t="s">
        <v>127</v>
      </c>
      <c r="F146" s="23">
        <v>365</v>
      </c>
      <c r="G146" s="25">
        <v>53679.021362059524</v>
      </c>
    </row>
    <row r="147" spans="1:7" x14ac:dyDescent="0.3">
      <c r="A147" s="22"/>
      <c r="B147" s="22"/>
      <c r="E147" s="21" t="s">
        <v>120</v>
      </c>
      <c r="F147" s="23">
        <v>345</v>
      </c>
      <c r="G147" s="25">
        <v>78144.969874018629</v>
      </c>
    </row>
    <row r="148" spans="1:7" x14ac:dyDescent="0.3">
      <c r="A148" s="22"/>
      <c r="B148" s="22"/>
      <c r="E148" s="21" t="s">
        <v>326</v>
      </c>
      <c r="F148" s="23">
        <v>294</v>
      </c>
      <c r="G148" s="25">
        <v>66642.322439291573</v>
      </c>
    </row>
    <row r="149" spans="1:7" x14ac:dyDescent="0.3">
      <c r="A149" s="22"/>
      <c r="B149" s="22"/>
      <c r="E149" s="21" t="s">
        <v>228</v>
      </c>
      <c r="F149" s="23">
        <v>238</v>
      </c>
      <c r="G149" s="25">
        <v>43454.445864524379</v>
      </c>
    </row>
    <row r="150" spans="1:7" x14ac:dyDescent="0.3">
      <c r="A150" s="22"/>
      <c r="B150" s="22"/>
      <c r="E150" s="21" t="s">
        <v>44</v>
      </c>
      <c r="F150" s="23">
        <v>207</v>
      </c>
      <c r="G150" s="25">
        <v>35603.432536059889</v>
      </c>
    </row>
    <row r="151" spans="1:7" x14ac:dyDescent="0.3">
      <c r="A151" s="22"/>
      <c r="B151" s="22"/>
      <c r="E151" s="21" t="s">
        <v>110</v>
      </c>
      <c r="F151" s="23">
        <v>199</v>
      </c>
      <c r="G151" s="25">
        <v>36333.759357312396</v>
      </c>
    </row>
    <row r="152" spans="1:7" x14ac:dyDescent="0.3">
      <c r="A152" s="22"/>
      <c r="B152" s="22"/>
      <c r="E152" s="21" t="s">
        <v>252</v>
      </c>
      <c r="F152" s="23">
        <v>195</v>
      </c>
      <c r="G152" s="25">
        <v>31404.053313857956</v>
      </c>
    </row>
    <row r="153" spans="1:7" x14ac:dyDescent="0.3">
      <c r="A153" s="22"/>
      <c r="B153" s="22"/>
      <c r="E153" s="21" t="s">
        <v>306</v>
      </c>
      <c r="F153" s="23">
        <v>172</v>
      </c>
      <c r="G153" s="25">
        <v>37794.412999817418</v>
      </c>
    </row>
    <row r="154" spans="1:7" x14ac:dyDescent="0.3">
      <c r="A154" s="22"/>
      <c r="B154" s="22"/>
      <c r="E154" s="21" t="s">
        <v>284</v>
      </c>
      <c r="F154" s="23">
        <v>165</v>
      </c>
      <c r="G154" s="25">
        <v>30125.981376666059</v>
      </c>
    </row>
    <row r="155" spans="1:7" x14ac:dyDescent="0.3">
      <c r="A155" s="22"/>
      <c r="B155" s="22"/>
      <c r="E155" s="21" t="s">
        <v>197</v>
      </c>
      <c r="F155" s="23">
        <v>163</v>
      </c>
      <c r="G155" s="25">
        <v>29578.236260726673</v>
      </c>
    </row>
    <row r="156" spans="1:7" x14ac:dyDescent="0.3">
      <c r="A156" s="22"/>
      <c r="B156" s="22"/>
      <c r="E156" s="21" t="s">
        <v>265</v>
      </c>
      <c r="F156" s="23">
        <v>162</v>
      </c>
      <c r="G156" s="25">
        <v>25744.020449150994</v>
      </c>
    </row>
    <row r="157" spans="1:7" x14ac:dyDescent="0.3">
      <c r="A157" s="22"/>
      <c r="B157" s="22"/>
      <c r="E157" s="21" t="s">
        <v>230</v>
      </c>
      <c r="F157" s="23">
        <v>160</v>
      </c>
      <c r="G157" s="25">
        <v>25013.693627898483</v>
      </c>
    </row>
    <row r="158" spans="1:7" x14ac:dyDescent="0.3">
      <c r="A158" s="22"/>
      <c r="B158" s="22"/>
      <c r="E158" s="21" t="s">
        <v>418</v>
      </c>
      <c r="F158" s="23">
        <v>141</v>
      </c>
      <c r="G158" s="25">
        <v>29760.817966039802</v>
      </c>
    </row>
    <row r="159" spans="1:7" x14ac:dyDescent="0.3">
      <c r="A159" s="22"/>
      <c r="B159" s="22"/>
      <c r="E159" s="21" t="s">
        <v>22</v>
      </c>
      <c r="F159" s="23">
        <v>137</v>
      </c>
      <c r="G159" s="25">
        <v>24100.785101332847</v>
      </c>
    </row>
    <row r="160" spans="1:7" x14ac:dyDescent="0.3">
      <c r="A160" s="22"/>
      <c r="B160" s="22"/>
      <c r="E160" s="21" t="s">
        <v>80</v>
      </c>
      <c r="F160" s="23">
        <v>132</v>
      </c>
      <c r="G160" s="25">
        <v>21909.804637575315</v>
      </c>
    </row>
    <row r="161" spans="1:7" x14ac:dyDescent="0.3">
      <c r="A161" s="22"/>
      <c r="B161" s="22"/>
      <c r="E161" s="21" t="s">
        <v>167</v>
      </c>
      <c r="F161" s="23">
        <v>120</v>
      </c>
      <c r="G161" s="25">
        <v>29213.07285010042</v>
      </c>
    </row>
    <row r="162" spans="1:7" x14ac:dyDescent="0.3">
      <c r="A162" s="22"/>
      <c r="B162" s="22"/>
      <c r="E162" s="21" t="s">
        <v>59</v>
      </c>
      <c r="F162" s="23">
        <v>107</v>
      </c>
      <c r="G162" s="25">
        <v>19536.242468504657</v>
      </c>
    </row>
    <row r="163" spans="1:7" x14ac:dyDescent="0.3">
      <c r="B163" s="22"/>
      <c r="E163" s="21" t="s">
        <v>360</v>
      </c>
      <c r="F163" s="23">
        <v>98</v>
      </c>
      <c r="G163" s="25">
        <v>17893.007120686507</v>
      </c>
    </row>
    <row r="164" spans="1:7" x14ac:dyDescent="0.3">
      <c r="F164" s="26">
        <v>10954</v>
      </c>
    </row>
    <row r="171" spans="1:7" x14ac:dyDescent="0.3">
      <c r="E171" s="23"/>
    </row>
    <row r="172" spans="1:7" x14ac:dyDescent="0.3">
      <c r="E172" s="23"/>
    </row>
    <row r="173" spans="1:7" x14ac:dyDescent="0.3">
      <c r="E173" s="23"/>
    </row>
    <row r="174" spans="1:7" x14ac:dyDescent="0.3">
      <c r="E174" s="23"/>
    </row>
    <row r="175" spans="1:7" x14ac:dyDescent="0.3">
      <c r="E175" s="23"/>
    </row>
    <row r="176" spans="1:7" x14ac:dyDescent="0.3">
      <c r="E176" s="23"/>
    </row>
    <row r="177" spans="5:12" x14ac:dyDescent="0.3">
      <c r="E177" s="23"/>
    </row>
    <row r="178" spans="5:12" x14ac:dyDescent="0.3">
      <c r="E178" s="23"/>
    </row>
    <row r="179" spans="5:12" x14ac:dyDescent="0.3">
      <c r="E179" s="23"/>
    </row>
    <row r="180" spans="5:12" x14ac:dyDescent="0.3">
      <c r="E180" s="23"/>
    </row>
    <row r="181" spans="5:12" x14ac:dyDescent="0.3">
      <c r="E181" s="23"/>
    </row>
    <row r="182" spans="5:12" x14ac:dyDescent="0.3">
      <c r="E182" s="23"/>
    </row>
    <row r="183" spans="5:12" x14ac:dyDescent="0.3">
      <c r="E183" s="23"/>
    </row>
    <row r="184" spans="5:12" x14ac:dyDescent="0.3">
      <c r="E184" s="23"/>
    </row>
    <row r="185" spans="5:12" x14ac:dyDescent="0.3">
      <c r="E185" s="23"/>
    </row>
    <row r="186" spans="5:12" x14ac:dyDescent="0.3">
      <c r="E186" s="23"/>
    </row>
    <row r="187" spans="5:12" x14ac:dyDescent="0.3">
      <c r="E187" s="23"/>
    </row>
    <row r="188" spans="5:12" x14ac:dyDescent="0.3">
      <c r="E188" s="23"/>
    </row>
    <row r="189" spans="5:12" x14ac:dyDescent="0.3">
      <c r="E189" s="23"/>
      <c r="J189" t="s">
        <v>1587</v>
      </c>
      <c r="K189" t="s">
        <v>1588</v>
      </c>
      <c r="L189" t="s">
        <v>1589</v>
      </c>
    </row>
    <row r="190" spans="5:12" x14ac:dyDescent="0.3">
      <c r="E190" s="23"/>
      <c r="K190" t="s">
        <v>1590</v>
      </c>
      <c r="L190" s="27" t="s">
        <v>1591</v>
      </c>
    </row>
    <row r="191" spans="5:12" x14ac:dyDescent="0.3">
      <c r="E191" s="23"/>
      <c r="K191" t="s">
        <v>1592</v>
      </c>
      <c r="L191" s="27" t="s">
        <v>1593</v>
      </c>
    </row>
    <row r="192" spans="5:12" x14ac:dyDescent="0.3">
      <c r="E192" s="23"/>
    </row>
    <row r="193" spans="5:5" x14ac:dyDescent="0.3">
      <c r="E193" s="23"/>
    </row>
    <row r="194" spans="5:5" x14ac:dyDescent="0.3">
      <c r="E194" s="23"/>
    </row>
    <row r="195" spans="5:5" x14ac:dyDescent="0.3">
      <c r="E195" s="23"/>
    </row>
    <row r="196" spans="5:5" x14ac:dyDescent="0.3">
      <c r="E196" s="23"/>
    </row>
    <row r="197" spans="5:5" x14ac:dyDescent="0.3">
      <c r="E197" s="23"/>
    </row>
    <row r="198" spans="5:5" x14ac:dyDescent="0.3">
      <c r="E198" s="23"/>
    </row>
    <row r="199" spans="5:5" x14ac:dyDescent="0.3">
      <c r="E199" s="23"/>
    </row>
    <row r="200" spans="5:5" x14ac:dyDescent="0.3">
      <c r="E200" s="23"/>
    </row>
  </sheetData>
  <conditionalFormatting pivot="1" sqref="B54:B58">
    <cfRule type="top10" dxfId="1" priority="1" rank="1"/>
  </conditionalFormatting>
  <hyperlinks>
    <hyperlink ref="L190" r:id="rId6" xr:uid="{F6E481A0-180C-428C-AB90-D512FB42969E}"/>
    <hyperlink ref="L191" r:id="rId7" display="up@" xr:uid="{63E2F61C-A678-4F14-861C-66FD44C8C13F}"/>
  </hyperlink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F86E-DE84-4474-8349-5F3C43911746}">
  <dimension ref="A1:P159"/>
  <sheetViews>
    <sheetView tabSelected="1" topLeftCell="A116" workbookViewId="0">
      <selection activeCell="D30" sqref="D30"/>
    </sheetView>
  </sheetViews>
  <sheetFormatPr defaultRowHeight="14.4" x14ac:dyDescent="0.3"/>
  <cols>
    <col min="1" max="1" width="27.33203125" bestFit="1" customWidth="1"/>
    <col min="2" max="2" width="22" bestFit="1" customWidth="1"/>
  </cols>
  <sheetData>
    <row r="1" spans="1:9" ht="31.2" x14ac:dyDescent="0.6">
      <c r="D1" s="32" t="s">
        <v>1603</v>
      </c>
      <c r="E1" s="32"/>
      <c r="F1" s="32"/>
      <c r="G1" s="32"/>
      <c r="H1" s="32"/>
      <c r="I1" s="32"/>
    </row>
    <row r="3" spans="1:9" x14ac:dyDescent="0.3">
      <c r="A3" s="30" t="s">
        <v>1594</v>
      </c>
    </row>
    <row r="4" spans="1:9" x14ac:dyDescent="0.3">
      <c r="A4" t="s">
        <v>1595</v>
      </c>
    </row>
    <row r="6" spans="1:9" x14ac:dyDescent="0.3">
      <c r="A6" s="28" t="s">
        <v>1573</v>
      </c>
      <c r="B6" t="s">
        <v>1574</v>
      </c>
    </row>
    <row r="7" spans="1:9" x14ac:dyDescent="0.3">
      <c r="A7" s="21" t="s">
        <v>31</v>
      </c>
      <c r="B7" s="29">
        <v>2566455.0999999996</v>
      </c>
    </row>
    <row r="8" spans="1:9" x14ac:dyDescent="0.3">
      <c r="A8" s="21" t="s">
        <v>103</v>
      </c>
      <c r="B8" s="29">
        <v>2162029.7000000002</v>
      </c>
    </row>
    <row r="9" spans="1:9" x14ac:dyDescent="0.3">
      <c r="A9" s="21" t="s">
        <v>37</v>
      </c>
      <c r="B9" s="29">
        <v>1841896.9999999998</v>
      </c>
    </row>
    <row r="10" spans="1:9" x14ac:dyDescent="0.3">
      <c r="A10" s="21" t="s">
        <v>91</v>
      </c>
      <c r="B10" s="29">
        <v>1698577.2999999998</v>
      </c>
    </row>
    <row r="11" spans="1:9" x14ac:dyDescent="0.3">
      <c r="A11" s="21" t="s">
        <v>115</v>
      </c>
      <c r="B11" s="29">
        <v>1483721.7</v>
      </c>
    </row>
    <row r="12" spans="1:9" x14ac:dyDescent="0.3">
      <c r="A12" s="21" t="s">
        <v>49</v>
      </c>
      <c r="B12" s="29">
        <v>1287123.6000000001</v>
      </c>
    </row>
    <row r="13" spans="1:9" x14ac:dyDescent="0.3">
      <c r="A13" s="21" t="s">
        <v>62</v>
      </c>
      <c r="B13" s="29">
        <v>1257724.0000000005</v>
      </c>
    </row>
    <row r="14" spans="1:9" x14ac:dyDescent="0.3">
      <c r="A14" s="21" t="s">
        <v>73</v>
      </c>
      <c r="B14" s="29">
        <v>1170255.5</v>
      </c>
    </row>
    <row r="15" spans="1:9" x14ac:dyDescent="0.3">
      <c r="A15" s="21" t="s">
        <v>191</v>
      </c>
      <c r="B15" s="29">
        <v>1101634.1000000001</v>
      </c>
    </row>
    <row r="16" spans="1:9" x14ac:dyDescent="0.3">
      <c r="A16" s="21" t="s">
        <v>149</v>
      </c>
      <c r="B16" s="29">
        <v>1028148.4999999998</v>
      </c>
    </row>
    <row r="17" spans="1:2" x14ac:dyDescent="0.3">
      <c r="A17" s="21" t="s">
        <v>93</v>
      </c>
      <c r="B17" s="29">
        <v>985375.70000000007</v>
      </c>
    </row>
    <row r="18" spans="1:2" x14ac:dyDescent="0.3">
      <c r="A18" s="21" t="s">
        <v>120</v>
      </c>
      <c r="B18" s="29">
        <v>919367.3</v>
      </c>
    </row>
    <row r="19" spans="1:2" x14ac:dyDescent="0.3">
      <c r="A19" s="21" t="s">
        <v>326</v>
      </c>
      <c r="B19" s="29">
        <v>858457.60000000009</v>
      </c>
    </row>
    <row r="20" spans="1:2" x14ac:dyDescent="0.3">
      <c r="A20" s="21" t="s">
        <v>146</v>
      </c>
      <c r="B20" s="29">
        <v>829506.89999999991</v>
      </c>
    </row>
    <row r="21" spans="1:2" x14ac:dyDescent="0.3">
      <c r="A21" s="21" t="s">
        <v>127</v>
      </c>
      <c r="B21" s="29">
        <v>637692.60000000021</v>
      </c>
    </row>
    <row r="22" spans="1:2" x14ac:dyDescent="0.3">
      <c r="A22" s="21" t="s">
        <v>228</v>
      </c>
      <c r="B22" s="29">
        <v>555282.6</v>
      </c>
    </row>
    <row r="23" spans="1:2" x14ac:dyDescent="0.3">
      <c r="A23" s="21" t="s">
        <v>252</v>
      </c>
      <c r="B23" s="29">
        <v>478426.90000000008</v>
      </c>
    </row>
    <row r="24" spans="1:2" x14ac:dyDescent="0.3">
      <c r="A24" s="21" t="s">
        <v>110</v>
      </c>
      <c r="B24" s="29">
        <v>457201.29999999993</v>
      </c>
    </row>
    <row r="25" spans="1:2" x14ac:dyDescent="0.3">
      <c r="A25" s="21" t="s">
        <v>306</v>
      </c>
      <c r="B25" s="29">
        <v>433255.49999999988</v>
      </c>
    </row>
    <row r="26" spans="1:2" x14ac:dyDescent="0.3">
      <c r="A26" s="21" t="s">
        <v>44</v>
      </c>
      <c r="B26" s="29">
        <v>419051.50000000006</v>
      </c>
    </row>
    <row r="27" spans="1:2" x14ac:dyDescent="0.3">
      <c r="A27" s="21" t="s">
        <v>284</v>
      </c>
      <c r="B27" s="29">
        <v>371856.69999999995</v>
      </c>
    </row>
    <row r="28" spans="1:2" x14ac:dyDescent="0.3">
      <c r="A28" s="21" t="s">
        <v>265</v>
      </c>
      <c r="B28" s="29">
        <v>341177.39999999991</v>
      </c>
    </row>
    <row r="29" spans="1:2" x14ac:dyDescent="0.3">
      <c r="A29" s="21" t="s">
        <v>418</v>
      </c>
      <c r="B29" s="29">
        <v>318832.89999999997</v>
      </c>
    </row>
    <row r="30" spans="1:2" x14ac:dyDescent="0.3">
      <c r="A30" s="21" t="s">
        <v>22</v>
      </c>
      <c r="B30" s="29">
        <v>297674.30000000005</v>
      </c>
    </row>
    <row r="31" spans="1:2" x14ac:dyDescent="0.3">
      <c r="A31" s="21" t="s">
        <v>197</v>
      </c>
      <c r="B31" s="29">
        <v>297138.3</v>
      </c>
    </row>
    <row r="32" spans="1:2" x14ac:dyDescent="0.3">
      <c r="A32" s="21" t="s">
        <v>80</v>
      </c>
      <c r="B32" s="29">
        <v>295590.59999999998</v>
      </c>
    </row>
    <row r="33" spans="1:2" x14ac:dyDescent="0.3">
      <c r="A33" s="21" t="s">
        <v>167</v>
      </c>
      <c r="B33" s="29">
        <v>265393.7</v>
      </c>
    </row>
    <row r="34" spans="1:2" x14ac:dyDescent="0.3">
      <c r="A34" s="21" t="s">
        <v>230</v>
      </c>
      <c r="B34" s="29">
        <v>253199.7</v>
      </c>
    </row>
    <row r="35" spans="1:2" x14ac:dyDescent="0.3">
      <c r="A35" s="21" t="s">
        <v>59</v>
      </c>
      <c r="B35" s="29">
        <v>207954.59999999998</v>
      </c>
    </row>
    <row r="36" spans="1:2" x14ac:dyDescent="0.3">
      <c r="A36" s="21" t="s">
        <v>360</v>
      </c>
      <c r="B36" s="29">
        <v>202554.4</v>
      </c>
    </row>
    <row r="37" spans="1:2" x14ac:dyDescent="0.3">
      <c r="A37" s="21" t="s">
        <v>1575</v>
      </c>
      <c r="B37" s="29">
        <v>25022557</v>
      </c>
    </row>
    <row r="39" spans="1:2" x14ac:dyDescent="0.3">
      <c r="A39" s="21" t="s">
        <v>1596</v>
      </c>
    </row>
    <row r="41" spans="1:2" x14ac:dyDescent="0.3">
      <c r="A41" s="28" t="s">
        <v>1573</v>
      </c>
      <c r="B41" t="s">
        <v>1576</v>
      </c>
    </row>
    <row r="42" spans="1:2" x14ac:dyDescent="0.3">
      <c r="A42" s="21" t="s">
        <v>146</v>
      </c>
      <c r="B42" s="23">
        <v>8.2307692307692299</v>
      </c>
    </row>
    <row r="43" spans="1:2" x14ac:dyDescent="0.3">
      <c r="A43" s="24" t="s">
        <v>1577</v>
      </c>
      <c r="B43" s="23">
        <v>8.2857142857142865</v>
      </c>
    </row>
    <row r="44" spans="1:2" x14ac:dyDescent="0.3">
      <c r="A44" s="24" t="s">
        <v>1578</v>
      </c>
      <c r="B44" s="23">
        <v>8</v>
      </c>
    </row>
    <row r="45" spans="1:2" x14ac:dyDescent="0.3">
      <c r="A45" s="24" t="s">
        <v>1579</v>
      </c>
      <c r="B45" s="23">
        <v>6.8</v>
      </c>
    </row>
    <row r="46" spans="1:2" x14ac:dyDescent="0.3">
      <c r="A46" s="24" t="s">
        <v>1580</v>
      </c>
      <c r="B46" s="23">
        <v>8.6666666666666661</v>
      </c>
    </row>
    <row r="47" spans="1:2" x14ac:dyDescent="0.3">
      <c r="A47" s="24" t="s">
        <v>1581</v>
      </c>
      <c r="B47" s="23">
        <v>10</v>
      </c>
    </row>
    <row r="48" spans="1:2" x14ac:dyDescent="0.3">
      <c r="A48" s="21" t="s">
        <v>73</v>
      </c>
      <c r="B48" s="23">
        <v>8.078125</v>
      </c>
    </row>
    <row r="49" spans="1:2" x14ac:dyDescent="0.3">
      <c r="A49" s="24" t="s">
        <v>1577</v>
      </c>
      <c r="B49" s="23">
        <v>6.8181818181818183</v>
      </c>
    </row>
    <row r="50" spans="1:2" x14ac:dyDescent="0.3">
      <c r="A50" s="24" t="s">
        <v>1578</v>
      </c>
      <c r="B50" s="23">
        <v>8.5294117647058822</v>
      </c>
    </row>
    <row r="51" spans="1:2" x14ac:dyDescent="0.3">
      <c r="A51" s="24" t="s">
        <v>1579</v>
      </c>
      <c r="B51" s="23">
        <v>8</v>
      </c>
    </row>
    <row r="52" spans="1:2" x14ac:dyDescent="0.3">
      <c r="A52" s="24" t="s">
        <v>1580</v>
      </c>
      <c r="B52" s="23">
        <v>8.3125</v>
      </c>
    </row>
    <row r="53" spans="1:2" x14ac:dyDescent="0.3">
      <c r="A53" s="24" t="s">
        <v>1581</v>
      </c>
      <c r="B53" s="23">
        <v>8.5714285714285712</v>
      </c>
    </row>
    <row r="56" spans="1:2" x14ac:dyDescent="0.3">
      <c r="A56" s="24" t="s">
        <v>1597</v>
      </c>
    </row>
    <row r="58" spans="1:2" x14ac:dyDescent="0.3">
      <c r="A58" s="28" t="s">
        <v>1573</v>
      </c>
      <c r="B58" t="s">
        <v>1582</v>
      </c>
    </row>
    <row r="59" spans="1:2" x14ac:dyDescent="0.3">
      <c r="A59" s="21" t="s">
        <v>1581</v>
      </c>
      <c r="B59" s="23">
        <v>2329000.4</v>
      </c>
    </row>
    <row r="60" spans="1:2" x14ac:dyDescent="0.3">
      <c r="A60" s="21" t="s">
        <v>1580</v>
      </c>
      <c r="B60" s="23">
        <v>6674151.3999999966</v>
      </c>
    </row>
    <row r="61" spans="1:2" x14ac:dyDescent="0.3">
      <c r="A61" s="21" t="s">
        <v>1579</v>
      </c>
      <c r="B61" s="23">
        <v>5737082.7000000011</v>
      </c>
    </row>
    <row r="62" spans="1:2" x14ac:dyDescent="0.3">
      <c r="A62" s="21" t="s">
        <v>1578</v>
      </c>
      <c r="B62" s="23">
        <v>5165867.5000000019</v>
      </c>
    </row>
    <row r="63" spans="1:2" x14ac:dyDescent="0.3">
      <c r="A63" s="21" t="s">
        <v>1577</v>
      </c>
      <c r="B63" s="23">
        <v>5116455.0000000019</v>
      </c>
    </row>
    <row r="64" spans="1:2" x14ac:dyDescent="0.3">
      <c r="A64" s="21" t="s">
        <v>1575</v>
      </c>
      <c r="B64" s="23">
        <v>25022557</v>
      </c>
    </row>
    <row r="67" spans="1:1" x14ac:dyDescent="0.3">
      <c r="A67" s="31" t="s">
        <v>1599</v>
      </c>
    </row>
    <row r="68" spans="1:1" x14ac:dyDescent="0.3">
      <c r="A68" s="21" t="s">
        <v>1600</v>
      </c>
    </row>
    <row r="99" spans="1:1" x14ac:dyDescent="0.3">
      <c r="A99" t="s">
        <v>1601</v>
      </c>
    </row>
    <row r="126" spans="1:1" x14ac:dyDescent="0.3">
      <c r="A126" t="s">
        <v>1602</v>
      </c>
    </row>
    <row r="152" spans="1:16" x14ac:dyDescent="0.3">
      <c r="A152" s="30" t="s">
        <v>1604</v>
      </c>
    </row>
    <row r="154" spans="1:16" x14ac:dyDescent="0.3">
      <c r="A154" t="s">
        <v>1605</v>
      </c>
      <c r="G154" t="s">
        <v>1607</v>
      </c>
      <c r="P154" t="s">
        <v>1606</v>
      </c>
    </row>
    <row r="158" spans="1:16" x14ac:dyDescent="0.3">
      <c r="A158" s="34"/>
    </row>
    <row r="159" spans="1:16" x14ac:dyDescent="0.3">
      <c r="A159" s="33"/>
    </row>
  </sheetData>
  <mergeCells count="1">
    <mergeCell ref="D1:I1"/>
  </mergeCells>
  <conditionalFormatting pivot="1" sqref="B59:B63">
    <cfRule type="top10" dxfId="0" priority="1" rank="1"/>
  </conditionalFormatting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</vt:lpstr>
      <vt:lpstr>Assignment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Kirti M</dc:creator>
  <cp:lastModifiedBy>Laxman Kirti M</cp:lastModifiedBy>
  <cp:lastPrinted>2025-11-16T13:41:02Z</cp:lastPrinted>
  <dcterms:created xsi:type="dcterms:W3CDTF">2025-11-16T10:37:40Z</dcterms:created>
  <dcterms:modified xsi:type="dcterms:W3CDTF">2025-11-16T16:35:21Z</dcterms:modified>
</cp:coreProperties>
</file>